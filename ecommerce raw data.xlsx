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chartEx3.xml" ContentType="application/vnd.ms-office.chartex+xml"/>
  <Override PartName="/xl/charts/style11.xml" ContentType="application/vnd.ms-office.chartstyle+xml"/>
  <Override PartName="/xl/charts/colors11.xml" ContentType="application/vnd.ms-office.chartcolorstyle+xml"/>
  <Override PartName="/xl/charts/chartEx4.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charu\Downloads\"/>
    </mc:Choice>
  </mc:AlternateContent>
  <xr:revisionPtr revIDLastSave="0" documentId="13_ncr:1_{4513A668-EE13-4BD6-8494-8F1C906A177B}" xr6:coauthVersionLast="47" xr6:coauthVersionMax="47" xr10:uidLastSave="{00000000-0000-0000-0000-000000000000}"/>
  <bookViews>
    <workbookView xWindow="-108" yWindow="-108" windowWidth="23256" windowHeight="12456" activeTab="2" xr2:uid="{346724B3-1C49-40AE-AA36-C77CF5D6DD09}"/>
  </bookViews>
  <sheets>
    <sheet name="Data" sheetId="1" r:id="rId1"/>
    <sheet name="PivoteTable" sheetId="5" r:id="rId2"/>
    <sheet name="Dashboard" sheetId="6" r:id="rId3"/>
  </sheets>
  <definedNames>
    <definedName name="_xlchart.v5.0" hidden="1">PivoteTable!$F$92:$G$92</definedName>
    <definedName name="_xlchart.v5.1" hidden="1">PivoteTable!$F$93:$G$150</definedName>
    <definedName name="_xlchart.v5.10" hidden="1">PivoteTable!$H$92</definedName>
    <definedName name="_xlchart.v5.11" hidden="1">PivoteTable!$H$93:$H$150</definedName>
    <definedName name="_xlchart.v5.12" hidden="1">PivoteTable!$O$92:$P$92</definedName>
    <definedName name="_xlchart.v5.13" hidden="1">PivoteTable!$O$93:$P$150</definedName>
    <definedName name="_xlchart.v5.14" hidden="1">PivoteTable!$Q$92</definedName>
    <definedName name="_xlchart.v5.15" hidden="1">PivoteTable!$Q$93:$Q$150</definedName>
    <definedName name="_xlchart.v5.2" hidden="1">PivoteTable!$H$92</definedName>
    <definedName name="_xlchart.v5.3" hidden="1">PivoteTable!$H$93:$H$150</definedName>
    <definedName name="_xlchart.v5.4" hidden="1">PivoteTable!$O$92:$P$92</definedName>
    <definedName name="_xlchart.v5.5" hidden="1">PivoteTable!$O$93:$P$150</definedName>
    <definedName name="_xlchart.v5.6" hidden="1">PivoteTable!$Q$92</definedName>
    <definedName name="_xlchart.v5.7" hidden="1">PivoteTable!$Q$93:$Q$150</definedName>
    <definedName name="_xlchart.v5.8" hidden="1">PivoteTable!$F$92:$G$92</definedName>
    <definedName name="_xlchart.v5.9" hidden="1">PivoteTable!$F$93:$G$150</definedName>
    <definedName name="Slicer_Gender_Value">#N/A</definedName>
    <definedName name="Slicer_Order_Mode">#N/A</definedName>
    <definedName name="Slicer_Rating_C">#N/A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34" i="5" l="1"/>
  <c r="T34" i="5"/>
  <c r="U34" i="5"/>
  <c r="V34" i="5"/>
  <c r="S35" i="5"/>
  <c r="T35" i="5"/>
  <c r="U35" i="5"/>
  <c r="V35" i="5"/>
  <c r="S36" i="5"/>
  <c r="T36" i="5"/>
  <c r="U36" i="5"/>
  <c r="V36" i="5"/>
  <c r="S37" i="5"/>
  <c r="T37" i="5"/>
  <c r="U37" i="5"/>
  <c r="V37" i="5"/>
  <c r="S38" i="5"/>
  <c r="T38" i="5"/>
  <c r="U38" i="5"/>
  <c r="V38" i="5"/>
  <c r="S39" i="5"/>
  <c r="T39" i="5"/>
  <c r="U39" i="5"/>
  <c r="V39" i="5"/>
  <c r="R36" i="5"/>
  <c r="R37" i="5"/>
  <c r="R38" i="5"/>
  <c r="R39" i="5"/>
  <c r="R35" i="5"/>
  <c r="L9" i="5"/>
  <c r="M9" i="5"/>
  <c r="N9" i="5"/>
  <c r="K9" i="5"/>
  <c r="O9" i="5"/>
  <c r="J9" i="5"/>
  <c r="O2401" i="1" a="1"/>
  <c r="O2401" i="1" s="1"/>
  <c r="N2401" i="1"/>
  <c r="M2401" i="1"/>
  <c r="O2400" i="1" a="1"/>
  <c r="O2400" i="1" s="1"/>
  <c r="N2400" i="1"/>
  <c r="M2400" i="1"/>
  <c r="O2399" i="1" a="1"/>
  <c r="O2399" i="1" s="1"/>
  <c r="N2399" i="1"/>
  <c r="M2399" i="1"/>
  <c r="O2398" i="1" a="1"/>
  <c r="O2398" i="1" s="1"/>
  <c r="N2398" i="1"/>
  <c r="M2398" i="1"/>
  <c r="O2397" i="1" a="1"/>
  <c r="O2397" i="1" s="1"/>
  <c r="N2397" i="1"/>
  <c r="M2397" i="1"/>
  <c r="O2396" i="1" a="1"/>
  <c r="O2396" i="1" s="1"/>
  <c r="N2396" i="1"/>
  <c r="M2396" i="1"/>
  <c r="O2395" i="1" a="1"/>
  <c r="O2395" i="1" s="1"/>
  <c r="N2395" i="1"/>
  <c r="M2395" i="1"/>
  <c r="O2394" i="1" a="1"/>
  <c r="O2394" i="1" s="1"/>
  <c r="N2394" i="1"/>
  <c r="M2394" i="1"/>
  <c r="O2393" i="1" a="1"/>
  <c r="O2393" i="1" s="1"/>
  <c r="N2393" i="1"/>
  <c r="M2393" i="1"/>
  <c r="O2392" i="1" a="1"/>
  <c r="O2392" i="1" s="1"/>
  <c r="N2392" i="1"/>
  <c r="M2392" i="1"/>
  <c r="O2391" i="1" a="1"/>
  <c r="O2391" i="1" s="1"/>
  <c r="N2391" i="1"/>
  <c r="M2391" i="1"/>
  <c r="O2390" i="1" a="1"/>
  <c r="O2390" i="1" s="1"/>
  <c r="N2390" i="1"/>
  <c r="M2390" i="1"/>
  <c r="O2389" i="1" a="1"/>
  <c r="O2389" i="1" s="1"/>
  <c r="N2389" i="1"/>
  <c r="M2389" i="1"/>
  <c r="O2388" i="1" a="1"/>
  <c r="O2388" i="1" s="1"/>
  <c r="N2388" i="1"/>
  <c r="M2388" i="1"/>
  <c r="O2387" i="1" a="1"/>
  <c r="O2387" i="1" s="1"/>
  <c r="N2387" i="1"/>
  <c r="M2387" i="1"/>
  <c r="O2386" i="1" a="1"/>
  <c r="O2386" i="1" s="1"/>
  <c r="N2386" i="1"/>
  <c r="M2386" i="1"/>
  <c r="O2385" i="1" a="1"/>
  <c r="O2385" i="1" s="1"/>
  <c r="N2385" i="1"/>
  <c r="M2385" i="1"/>
  <c r="O2384" i="1" a="1"/>
  <c r="O2384" i="1" s="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a="1"/>
  <c r="O2377" i="1" s="1"/>
  <c r="N2377" i="1"/>
  <c r="M2377" i="1"/>
  <c r="O2376" i="1" a="1"/>
  <c r="O2376" i="1" s="1"/>
  <c r="N2376" i="1"/>
  <c r="M2376" i="1"/>
  <c r="O2375" i="1" a="1"/>
  <c r="O2375" i="1" s="1"/>
  <c r="N2375" i="1"/>
  <c r="M2375" i="1"/>
  <c r="O2374" i="1" a="1"/>
  <c r="O2374" i="1" s="1"/>
  <c r="N2374" i="1"/>
  <c r="M2374" i="1"/>
  <c r="O2373" i="1" a="1"/>
  <c r="O2373" i="1" s="1"/>
  <c r="N2373" i="1"/>
  <c r="M2373" i="1"/>
  <c r="O2372" i="1" a="1"/>
  <c r="O2372" i="1" s="1"/>
  <c r="N2372" i="1"/>
  <c r="M2372" i="1"/>
  <c r="O2371" i="1" a="1"/>
  <c r="O2371" i="1" s="1"/>
  <c r="N2371" i="1"/>
  <c r="M2371" i="1"/>
  <c r="O2370" i="1" a="1"/>
  <c r="O2370" i="1" s="1"/>
  <c r="N2370" i="1"/>
  <c r="M2370" i="1"/>
  <c r="O2369" i="1" a="1"/>
  <c r="O2369" i="1" s="1"/>
  <c r="N2369" i="1"/>
  <c r="M2369" i="1"/>
  <c r="O2368" i="1" a="1"/>
  <c r="O2368" i="1" s="1"/>
  <c r="N2368" i="1"/>
  <c r="M2368" i="1"/>
  <c r="O2367" i="1" a="1"/>
  <c r="O2367" i="1" s="1"/>
  <c r="N2367" i="1"/>
  <c r="M2367" i="1"/>
  <c r="O2366" i="1" a="1"/>
  <c r="O2366" i="1" s="1"/>
  <c r="N2366" i="1"/>
  <c r="M2366" i="1"/>
  <c r="O2365" i="1" a="1"/>
  <c r="O2365" i="1" s="1"/>
  <c r="N2365" i="1"/>
  <c r="M2365" i="1"/>
  <c r="O2364" i="1" a="1"/>
  <c r="O2364" i="1" s="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a="1"/>
  <c r="O2358" i="1" s="1"/>
  <c r="N2358" i="1"/>
  <c r="M2358" i="1"/>
  <c r="O2357" i="1" a="1"/>
  <c r="O2357" i="1" s="1"/>
  <c r="N2357" i="1"/>
  <c r="M2357" i="1"/>
  <c r="O2356" i="1" a="1"/>
  <c r="O2356" i="1" s="1"/>
  <c r="N2356" i="1"/>
  <c r="M2356" i="1"/>
  <c r="O2355" i="1" a="1"/>
  <c r="O2355" i="1" s="1"/>
  <c r="N2355" i="1"/>
  <c r="M2355" i="1"/>
  <c r="O2354" i="1" a="1"/>
  <c r="O2354" i="1" s="1"/>
  <c r="N2354" i="1"/>
  <c r="M2354" i="1"/>
  <c r="O2353" i="1" a="1"/>
  <c r="O2353" i="1" s="1"/>
  <c r="N2353" i="1"/>
  <c r="M2353" i="1"/>
  <c r="O2352" i="1" a="1"/>
  <c r="O2352" i="1" s="1"/>
  <c r="N2352" i="1"/>
  <c r="M2352" i="1"/>
  <c r="O2351" i="1" a="1"/>
  <c r="O2351" i="1" s="1"/>
  <c r="N2351" i="1"/>
  <c r="M2351" i="1"/>
  <c r="O2350" i="1" a="1"/>
  <c r="O2350" i="1" s="1"/>
  <c r="N2350" i="1"/>
  <c r="M2350" i="1"/>
  <c r="O2349" i="1" a="1"/>
  <c r="O2349" i="1" s="1"/>
  <c r="N2349" i="1"/>
  <c r="M2349" i="1"/>
  <c r="O2348" i="1" a="1"/>
  <c r="O2348" i="1" s="1"/>
  <c r="N2348" i="1"/>
  <c r="M2348" i="1"/>
  <c r="O2347" i="1" a="1"/>
  <c r="O2347" i="1" s="1"/>
  <c r="N2347" i="1"/>
  <c r="M2347" i="1"/>
  <c r="O2346" i="1" a="1"/>
  <c r="O2346" i="1" s="1"/>
  <c r="N2346" i="1"/>
  <c r="M2346" i="1"/>
  <c r="O2345" i="1" a="1"/>
  <c r="O2345" i="1" s="1"/>
  <c r="N2345" i="1"/>
  <c r="M2345" i="1"/>
  <c r="O2344" i="1" a="1"/>
  <c r="O2344" i="1" s="1"/>
  <c r="N2344" i="1"/>
  <c r="M2344" i="1"/>
  <c r="O2343" i="1" a="1"/>
  <c r="O2343" i="1" s="1"/>
  <c r="N2343" i="1"/>
  <c r="M2343" i="1"/>
  <c r="O2342" i="1" a="1"/>
  <c r="O2342" i="1" s="1"/>
  <c r="N2342" i="1"/>
  <c r="M2342" i="1"/>
  <c r="O2341" i="1" a="1"/>
  <c r="O2341" i="1" s="1"/>
  <c r="N2341" i="1"/>
  <c r="M2341" i="1"/>
  <c r="O2340" i="1" a="1"/>
  <c r="O2340" i="1" s="1"/>
  <c r="N2340" i="1"/>
  <c r="M2340" i="1"/>
  <c r="O2339" i="1" a="1"/>
  <c r="O2339" i="1" s="1"/>
  <c r="N2339" i="1"/>
  <c r="M2339" i="1"/>
  <c r="O2338" i="1" a="1"/>
  <c r="O2338" i="1" s="1"/>
  <c r="N2338" i="1"/>
  <c r="M2338" i="1"/>
  <c r="O2337" i="1" a="1"/>
  <c r="O2337" i="1" s="1"/>
  <c r="N2337" i="1"/>
  <c r="M2337" i="1"/>
  <c r="O2336" i="1" a="1"/>
  <c r="O2336" i="1" s="1"/>
  <c r="N2336" i="1"/>
  <c r="M2336" i="1"/>
  <c r="O2335" i="1" a="1"/>
  <c r="O2335" i="1" s="1"/>
  <c r="N2335" i="1"/>
  <c r="M2335" i="1"/>
  <c r="O2334" i="1" a="1"/>
  <c r="O2334" i="1" s="1"/>
  <c r="N2334" i="1"/>
  <c r="M2334" i="1"/>
  <c r="O2333" i="1" a="1"/>
  <c r="O2333" i="1" s="1"/>
  <c r="N2333" i="1"/>
  <c r="M2333" i="1"/>
  <c r="O2332" i="1" a="1"/>
  <c r="O2332" i="1" s="1"/>
  <c r="N2332" i="1"/>
  <c r="M2332" i="1"/>
  <c r="O2331" i="1" a="1"/>
  <c r="O2331" i="1" s="1"/>
  <c r="N2331" i="1"/>
  <c r="M2331" i="1"/>
  <c r="O2330" i="1" a="1"/>
  <c r="O2330" i="1" s="1"/>
  <c r="N2330" i="1"/>
  <c r="M2330" i="1"/>
  <c r="O2329" i="1" a="1"/>
  <c r="O2329" i="1" s="1"/>
  <c r="N2329" i="1"/>
  <c r="M2329" i="1"/>
  <c r="O2328" i="1" a="1"/>
  <c r="O2328" i="1" s="1"/>
  <c r="N2328" i="1"/>
  <c r="M2328" i="1"/>
  <c r="O2327" i="1" a="1"/>
  <c r="O2327" i="1" s="1"/>
  <c r="N2327" i="1"/>
  <c r="M2327" i="1"/>
  <c r="O2326" i="1" a="1"/>
  <c r="O2326" i="1" s="1"/>
  <c r="N2326" i="1"/>
  <c r="M2326" i="1"/>
  <c r="O2325" i="1" a="1"/>
  <c r="O2325" i="1" s="1"/>
  <c r="N2325" i="1"/>
  <c r="M2325" i="1"/>
  <c r="O2324" i="1" a="1"/>
  <c r="O2324" i="1" s="1"/>
  <c r="N2324" i="1"/>
  <c r="M2324" i="1"/>
  <c r="O2323" i="1" a="1"/>
  <c r="O2323" i="1" s="1"/>
  <c r="N2323" i="1"/>
  <c r="M2323" i="1"/>
  <c r="O2322" i="1" a="1"/>
  <c r="O2322" i="1" s="1"/>
  <c r="N2322" i="1"/>
  <c r="M2322" i="1"/>
  <c r="O2321" i="1" a="1"/>
  <c r="O2321" i="1" s="1"/>
  <c r="N2321" i="1"/>
  <c r="M2321" i="1"/>
  <c r="O2320" i="1" a="1"/>
  <c r="O2320" i="1" s="1"/>
  <c r="N2320" i="1"/>
  <c r="M2320" i="1"/>
  <c r="O2319" i="1" a="1"/>
  <c r="O2319" i="1" s="1"/>
  <c r="N2319" i="1"/>
  <c r="M2319" i="1"/>
  <c r="O2318" i="1" a="1"/>
  <c r="O2318" i="1" s="1"/>
  <c r="N2318" i="1"/>
  <c r="M2318" i="1"/>
  <c r="O2317" i="1" a="1"/>
  <c r="O2317" i="1" s="1"/>
  <c r="N2317" i="1"/>
  <c r="M2317" i="1"/>
  <c r="O2316" i="1" a="1"/>
  <c r="O2316" i="1" s="1"/>
  <c r="N2316" i="1"/>
  <c r="M2316" i="1"/>
  <c r="O2315" i="1" a="1"/>
  <c r="O2315" i="1" s="1"/>
  <c r="N2315" i="1"/>
  <c r="M2315" i="1"/>
  <c r="O2314" i="1" a="1"/>
  <c r="O2314" i="1" s="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a="1"/>
  <c r="O2308" i="1" s="1"/>
  <c r="N2308" i="1"/>
  <c r="M2308" i="1"/>
  <c r="O2307" i="1" a="1"/>
  <c r="O2307" i="1" s="1"/>
  <c r="N2307" i="1"/>
  <c r="M2307" i="1"/>
  <c r="O2306" i="1" a="1"/>
  <c r="O2306" i="1" s="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a="1"/>
  <c r="O2300" i="1" s="1"/>
  <c r="N2300" i="1"/>
  <c r="M2300" i="1"/>
  <c r="O2299" i="1" a="1"/>
  <c r="O2299" i="1" s="1"/>
  <c r="N2299" i="1"/>
  <c r="M2299" i="1"/>
  <c r="O2298" i="1" a="1"/>
  <c r="O2298" i="1" s="1"/>
  <c r="N2298" i="1"/>
  <c r="M2298" i="1"/>
  <c r="O2297" i="1" a="1"/>
  <c r="O2297" i="1" s="1"/>
  <c r="N2297" i="1"/>
  <c r="M2297" i="1"/>
  <c r="O2296" i="1" a="1"/>
  <c r="O2296" i="1" s="1"/>
  <c r="N2296" i="1"/>
  <c r="M2296" i="1"/>
  <c r="O2295" i="1" a="1"/>
  <c r="O2295" i="1" s="1"/>
  <c r="N2295" i="1"/>
  <c r="M2295" i="1"/>
  <c r="O2294" i="1" a="1"/>
  <c r="O2294" i="1" s="1"/>
  <c r="N2294" i="1"/>
  <c r="M2294" i="1"/>
  <c r="O2293" i="1" a="1"/>
  <c r="O2293" i="1" s="1"/>
  <c r="N2293" i="1"/>
  <c r="M2293" i="1"/>
  <c r="O2292" i="1" a="1"/>
  <c r="O2292" i="1" s="1"/>
  <c r="N2292" i="1"/>
  <c r="M2292" i="1"/>
  <c r="O2291" i="1" a="1"/>
  <c r="O2291" i="1" s="1"/>
  <c r="N2291" i="1"/>
  <c r="M2291" i="1"/>
  <c r="O2290" i="1" a="1"/>
  <c r="O2290" i="1" s="1"/>
  <c r="N2290" i="1"/>
  <c r="M2290" i="1"/>
  <c r="O2289" i="1" a="1"/>
  <c r="O2289" i="1" s="1"/>
  <c r="N2289" i="1"/>
  <c r="M2289" i="1"/>
  <c r="O2288" i="1" a="1"/>
  <c r="O2288" i="1" s="1"/>
  <c r="N2288" i="1"/>
  <c r="M2288" i="1"/>
  <c r="O2287" i="1" a="1"/>
  <c r="O2287" i="1" s="1"/>
  <c r="N2287" i="1"/>
  <c r="M2287" i="1"/>
  <c r="O2286" i="1" a="1"/>
  <c r="O2286" i="1" s="1"/>
  <c r="N2286" i="1"/>
  <c r="M2286" i="1"/>
  <c r="O2285" i="1" a="1"/>
  <c r="O2285" i="1" s="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a="1"/>
  <c r="O2279" i="1" s="1"/>
  <c r="N2279" i="1"/>
  <c r="M2279" i="1"/>
  <c r="O2278" i="1" a="1"/>
  <c r="O2278" i="1" s="1"/>
  <c r="N2278" i="1"/>
  <c r="M2278" i="1"/>
  <c r="O2277" i="1" a="1"/>
  <c r="O2277" i="1" s="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a="1"/>
  <c r="O2271" i="1" s="1"/>
  <c r="N2271" i="1"/>
  <c r="M2271" i="1"/>
  <c r="O2270" i="1" a="1"/>
  <c r="O2270" i="1" s="1"/>
  <c r="N2270" i="1"/>
  <c r="M2270" i="1"/>
  <c r="O2269" i="1" a="1"/>
  <c r="O2269" i="1" s="1"/>
  <c r="N2269" i="1"/>
  <c r="M2269" i="1"/>
  <c r="O2268" i="1" a="1"/>
  <c r="O2268" i="1" s="1"/>
  <c r="N2268" i="1"/>
  <c r="M2268" i="1"/>
  <c r="O2267" i="1" a="1"/>
  <c r="O2267" i="1" s="1"/>
  <c r="N2267" i="1"/>
  <c r="M2267" i="1"/>
  <c r="O2266" i="1" a="1"/>
  <c r="O2266" i="1" s="1"/>
  <c r="N2266" i="1"/>
  <c r="M2266" i="1"/>
  <c r="O2265" i="1" a="1"/>
  <c r="O2265" i="1" s="1"/>
  <c r="N2265" i="1"/>
  <c r="M2265" i="1"/>
  <c r="O2264" i="1" a="1"/>
  <c r="O2264" i="1" s="1"/>
  <c r="N2264" i="1"/>
  <c r="M2264" i="1"/>
  <c r="O2263" i="1" a="1"/>
  <c r="O2263" i="1" s="1"/>
  <c r="N2263" i="1"/>
  <c r="M2263" i="1"/>
  <c r="O2262" i="1" a="1"/>
  <c r="O2262" i="1" s="1"/>
  <c r="N2262" i="1"/>
  <c r="M2262" i="1"/>
  <c r="O2261" i="1" a="1"/>
  <c r="O2261" i="1" s="1"/>
  <c r="N2261" i="1"/>
  <c r="M2261" i="1"/>
  <c r="O2260" i="1" a="1"/>
  <c r="O2260" i="1" s="1"/>
  <c r="N2260" i="1"/>
  <c r="M2260" i="1"/>
  <c r="O2259" i="1" a="1"/>
  <c r="O2259" i="1" s="1"/>
  <c r="N2259" i="1"/>
  <c r="M2259" i="1"/>
  <c r="O2258" i="1" a="1"/>
  <c r="O2258" i="1" s="1"/>
  <c r="N2258" i="1"/>
  <c r="M2258" i="1"/>
  <c r="O2257" i="1" a="1"/>
  <c r="O2257" i="1" s="1"/>
  <c r="N2257" i="1"/>
  <c r="M2257" i="1"/>
  <c r="O2256" i="1" a="1"/>
  <c r="O2256" i="1" s="1"/>
  <c r="N2256" i="1"/>
  <c r="M2256" i="1"/>
  <c r="O2255" i="1" a="1"/>
  <c r="O2255" i="1" s="1"/>
  <c r="N2255" i="1"/>
  <c r="M2255" i="1"/>
  <c r="O2254" i="1" a="1"/>
  <c r="O2254" i="1" s="1"/>
  <c r="N2254" i="1"/>
  <c r="M2254" i="1"/>
  <c r="O2253" i="1" a="1"/>
  <c r="O2253" i="1" s="1"/>
  <c r="N2253" i="1"/>
  <c r="M2253" i="1"/>
  <c r="O2252" i="1" a="1"/>
  <c r="O2252" i="1" s="1"/>
  <c r="N2252" i="1"/>
  <c r="M2252" i="1"/>
  <c r="O2251" i="1" a="1"/>
  <c r="O2251" i="1" s="1"/>
  <c r="N2251" i="1"/>
  <c r="M2251" i="1"/>
  <c r="O2250" i="1" a="1"/>
  <c r="O2250" i="1" s="1"/>
  <c r="N2250" i="1"/>
  <c r="M2250" i="1"/>
  <c r="O2249" i="1" a="1"/>
  <c r="O2249" i="1" s="1"/>
  <c r="N2249" i="1"/>
  <c r="M2249" i="1"/>
  <c r="O2248" i="1" a="1"/>
  <c r="O2248" i="1" s="1"/>
  <c r="N2248" i="1"/>
  <c r="M2248" i="1"/>
  <c r="O2247" i="1" a="1"/>
  <c r="O2247" i="1" s="1"/>
  <c r="N2247" i="1"/>
  <c r="M2247" i="1"/>
  <c r="O2246" i="1" a="1"/>
  <c r="O2246" i="1" s="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a="1"/>
  <c r="O2239" i="1" s="1"/>
  <c r="N2239" i="1"/>
  <c r="M2239" i="1"/>
  <c r="O2238" i="1" a="1"/>
  <c r="O2238" i="1" s="1"/>
  <c r="N2238" i="1"/>
  <c r="M2238" i="1"/>
  <c r="O2237" i="1" a="1"/>
  <c r="O2237" i="1" s="1"/>
  <c r="N2237" i="1"/>
  <c r="M2237" i="1"/>
  <c r="O2236" i="1" a="1"/>
  <c r="O2236" i="1" s="1"/>
  <c r="N2236" i="1"/>
  <c r="M2236" i="1"/>
  <c r="O2235" i="1" a="1"/>
  <c r="O2235" i="1" s="1"/>
  <c r="N2235" i="1"/>
  <c r="M2235" i="1"/>
  <c r="O2234" i="1" a="1"/>
  <c r="O2234" i="1" s="1"/>
  <c r="N2234" i="1"/>
  <c r="M2234" i="1"/>
  <c r="O2233" i="1" a="1"/>
  <c r="O2233" i="1" s="1"/>
  <c r="N2233" i="1"/>
  <c r="M2233" i="1"/>
  <c r="O2232" i="1" a="1"/>
  <c r="O2232" i="1" s="1"/>
  <c r="N2232" i="1"/>
  <c r="M2232" i="1"/>
  <c r="O2231" i="1" a="1"/>
  <c r="O2231" i="1" s="1"/>
  <c r="N2231" i="1"/>
  <c r="M2231" i="1"/>
  <c r="O2230" i="1" a="1"/>
  <c r="O2230" i="1" s="1"/>
  <c r="N2230" i="1"/>
  <c r="M2230" i="1"/>
  <c r="O2229" i="1" a="1"/>
  <c r="O2229" i="1" s="1"/>
  <c r="N2229" i="1"/>
  <c r="M2229" i="1"/>
  <c r="O2228" i="1" a="1"/>
  <c r="O2228" i="1" s="1"/>
  <c r="N2228" i="1"/>
  <c r="M2228" i="1"/>
  <c r="O2227" i="1" a="1"/>
  <c r="O2227" i="1" s="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a="1"/>
  <c r="O2220" i="1" s="1"/>
  <c r="N2220" i="1"/>
  <c r="M2220" i="1"/>
  <c r="O2219" i="1" a="1"/>
  <c r="O2219" i="1" s="1"/>
  <c r="N2219" i="1"/>
  <c r="M2219" i="1"/>
  <c r="O2218" i="1" a="1"/>
  <c r="O2218" i="1" s="1"/>
  <c r="N2218" i="1"/>
  <c r="M2218" i="1"/>
  <c r="O2217" i="1" a="1"/>
  <c r="O2217" i="1" s="1"/>
  <c r="N2217" i="1"/>
  <c r="M2217" i="1"/>
  <c r="O2216" i="1" a="1"/>
  <c r="O2216" i="1" s="1"/>
  <c r="N2216" i="1"/>
  <c r="M2216" i="1"/>
  <c r="O2215" i="1" a="1"/>
  <c r="O2215" i="1" s="1"/>
  <c r="N2215" i="1"/>
  <c r="M2215" i="1"/>
  <c r="O2214" i="1" a="1"/>
  <c r="O2214" i="1" s="1"/>
  <c r="N2214" i="1"/>
  <c r="M2214" i="1"/>
  <c r="O2213" i="1" a="1"/>
  <c r="O2213" i="1" s="1"/>
  <c r="N2213" i="1"/>
  <c r="M2213" i="1"/>
  <c r="O2212" i="1" a="1"/>
  <c r="O2212" i="1" s="1"/>
  <c r="N2212" i="1"/>
  <c r="M2212" i="1"/>
  <c r="O2211" i="1" a="1"/>
  <c r="O2211" i="1" s="1"/>
  <c r="N2211" i="1"/>
  <c r="M2211" i="1"/>
  <c r="O2210" i="1" a="1"/>
  <c r="O2210" i="1" s="1"/>
  <c r="N2210" i="1"/>
  <c r="M2210" i="1"/>
  <c r="O2209" i="1" a="1"/>
  <c r="O2209" i="1" s="1"/>
  <c r="N2209" i="1"/>
  <c r="M2209" i="1"/>
  <c r="O2208" i="1" a="1"/>
  <c r="O2208" i="1" s="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a="1"/>
  <c r="O2200" i="1" s="1"/>
  <c r="N2200" i="1"/>
  <c r="M2200" i="1"/>
  <c r="O2199" i="1" a="1"/>
  <c r="O2199" i="1" s="1"/>
  <c r="N2199" i="1"/>
  <c r="M2199" i="1"/>
  <c r="O2198" i="1" a="1"/>
  <c r="O2198" i="1" s="1"/>
  <c r="N2198" i="1"/>
  <c r="M2198" i="1"/>
  <c r="O2197" i="1" a="1"/>
  <c r="O2197" i="1" s="1"/>
  <c r="N2197" i="1"/>
  <c r="M2197" i="1"/>
  <c r="O2196" i="1" a="1"/>
  <c r="O2196" i="1" s="1"/>
  <c r="N2196" i="1"/>
  <c r="M2196" i="1"/>
  <c r="O2195" i="1" a="1"/>
  <c r="O2195" i="1" s="1"/>
  <c r="N2195" i="1"/>
  <c r="M2195" i="1"/>
  <c r="O2194" i="1" a="1"/>
  <c r="O2194" i="1" s="1"/>
  <c r="N2194" i="1"/>
  <c r="M2194" i="1"/>
  <c r="O2193" i="1" a="1"/>
  <c r="O2193" i="1" s="1"/>
  <c r="N2193" i="1"/>
  <c r="M2193" i="1"/>
  <c r="O2192" i="1" a="1"/>
  <c r="O2192" i="1" s="1"/>
  <c r="N2192" i="1"/>
  <c r="M2192" i="1"/>
  <c r="O2191" i="1" a="1"/>
  <c r="O2191" i="1" s="1"/>
  <c r="N2191" i="1"/>
  <c r="M2191" i="1"/>
  <c r="O2190" i="1" a="1"/>
  <c r="O2190" i="1" s="1"/>
  <c r="N2190" i="1"/>
  <c r="M2190" i="1"/>
  <c r="O2189" i="1" a="1"/>
  <c r="O2189" i="1" s="1"/>
  <c r="N2189" i="1"/>
  <c r="M2189" i="1"/>
  <c r="O2188" i="1" a="1"/>
  <c r="O2188" i="1" s="1"/>
  <c r="N2188" i="1"/>
  <c r="M2188" i="1"/>
  <c r="O2187" i="1" a="1"/>
  <c r="O2187" i="1" s="1"/>
  <c r="N2187" i="1"/>
  <c r="M2187"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2180" i="1" a="1"/>
  <c r="O2180" i="1" s="1"/>
  <c r="N2180" i="1"/>
  <c r="M2180" i="1"/>
  <c r="O2179" i="1" a="1"/>
  <c r="O2179" i="1" s="1"/>
  <c r="N2179" i="1"/>
  <c r="M2179" i="1"/>
  <c r="O2178" i="1" a="1"/>
  <c r="O2178" i="1" s="1"/>
  <c r="N2178" i="1"/>
  <c r="M2178" i="1"/>
  <c r="O2177" i="1" a="1"/>
  <c r="O2177" i="1" s="1"/>
  <c r="N2177" i="1"/>
  <c r="M2177" i="1"/>
  <c r="O2176" i="1" a="1"/>
  <c r="O2176" i="1" s="1"/>
  <c r="N2176" i="1"/>
  <c r="M2176" i="1"/>
  <c r="O2175" i="1" a="1"/>
  <c r="O2175" i="1" s="1"/>
  <c r="N2175" i="1"/>
  <c r="M2175" i="1"/>
  <c r="O2174" i="1" a="1"/>
  <c r="O2174" i="1" s="1"/>
  <c r="N2174" i="1"/>
  <c r="M2174" i="1"/>
  <c r="O2173" i="1" a="1"/>
  <c r="O2173" i="1" s="1"/>
  <c r="N2173" i="1"/>
  <c r="M2173" i="1"/>
  <c r="O2172" i="1" a="1"/>
  <c r="O2172" i="1" s="1"/>
  <c r="N2172" i="1"/>
  <c r="M2172" i="1"/>
  <c r="O2171" i="1" a="1"/>
  <c r="O2171" i="1" s="1"/>
  <c r="N2171" i="1"/>
  <c r="M2171" i="1"/>
  <c r="O2170" i="1" a="1"/>
  <c r="O2170" i="1" s="1"/>
  <c r="N2170" i="1"/>
  <c r="M2170" i="1"/>
  <c r="O2169" i="1" a="1"/>
  <c r="O2169" i="1" s="1"/>
  <c r="N2169" i="1"/>
  <c r="M2169" i="1"/>
  <c r="O2168" i="1" a="1"/>
  <c r="O2168" i="1" s="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a="1"/>
  <c r="O2159" i="1" s="1"/>
  <c r="N2159" i="1"/>
  <c r="M2159" i="1"/>
  <c r="O2158" i="1" a="1"/>
  <c r="O2158" i="1" s="1"/>
  <c r="N2158" i="1"/>
  <c r="M2158" i="1"/>
  <c r="O2157" i="1" a="1"/>
  <c r="O2157" i="1" s="1"/>
  <c r="N2157" i="1"/>
  <c r="M2157" i="1"/>
  <c r="O2156" i="1" a="1"/>
  <c r="O2156" i="1" s="1"/>
  <c r="N2156" i="1"/>
  <c r="M2156" i="1"/>
  <c r="O2155" i="1" a="1"/>
  <c r="O2155" i="1" s="1"/>
  <c r="N2155" i="1"/>
  <c r="M2155" i="1"/>
  <c r="O2154" i="1" a="1"/>
  <c r="O2154" i="1" s="1"/>
  <c r="N2154" i="1"/>
  <c r="M2154" i="1"/>
  <c r="O2153" i="1" a="1"/>
  <c r="O2153" i="1" s="1"/>
  <c r="N2153" i="1"/>
  <c r="M2153" i="1"/>
  <c r="O2152" i="1" a="1"/>
  <c r="O2152" i="1" s="1"/>
  <c r="N2152" i="1"/>
  <c r="M2152" i="1"/>
  <c r="O2151" i="1" a="1"/>
  <c r="O2151" i="1" s="1"/>
  <c r="N2151" i="1"/>
  <c r="M2151" i="1"/>
  <c r="O2150" i="1" a="1"/>
  <c r="O2150" i="1" s="1"/>
  <c r="N2150" i="1"/>
  <c r="M2150" i="1"/>
  <c r="O2149" i="1" a="1"/>
  <c r="O2149" i="1" s="1"/>
  <c r="N2149" i="1"/>
  <c r="M2149" i="1"/>
  <c r="O2148" i="1" a="1"/>
  <c r="O2148" i="1" s="1"/>
  <c r="N2148" i="1"/>
  <c r="M2148" i="1"/>
  <c r="O2147" i="1" a="1"/>
  <c r="O2147" i="1" s="1"/>
  <c r="N2147" i="1"/>
  <c r="M2147" i="1"/>
  <c r="O2146" i="1" a="1"/>
  <c r="O2146" i="1" s="1"/>
  <c r="N2146" i="1"/>
  <c r="M2146" i="1"/>
  <c r="O2145" i="1" a="1"/>
  <c r="O2145" i="1" s="1"/>
  <c r="N2145" i="1"/>
  <c r="M2145" i="1"/>
  <c r="O2144" i="1" a="1"/>
  <c r="O2144" i="1" s="1"/>
  <c r="N2144" i="1"/>
  <c r="M2144" i="1"/>
  <c r="O2143" i="1" a="1"/>
  <c r="O2143" i="1" s="1"/>
  <c r="N2143" i="1"/>
  <c r="M2143" i="1"/>
  <c r="O2142" i="1" a="1"/>
  <c r="O2142" i="1" s="1"/>
  <c r="N2142" i="1"/>
  <c r="M2142" i="1"/>
  <c r="O2141" i="1" a="1"/>
  <c r="O2141" i="1" s="1"/>
  <c r="N2141" i="1"/>
  <c r="M2141" i="1"/>
  <c r="O2140" i="1" a="1"/>
  <c r="O2140" i="1" s="1"/>
  <c r="N2140" i="1"/>
  <c r="M2140" i="1"/>
  <c r="O2139" i="1" a="1"/>
  <c r="O2139" i="1" s="1"/>
  <c r="N2139" i="1"/>
  <c r="M2139" i="1"/>
  <c r="O2138" i="1" a="1"/>
  <c r="O2138" i="1" s="1"/>
  <c r="N2138" i="1"/>
  <c r="M2138" i="1"/>
  <c r="O2137" i="1" a="1"/>
  <c r="O2137" i="1" s="1"/>
  <c r="N2137" i="1"/>
  <c r="M2137" i="1"/>
  <c r="O2136" i="1" a="1"/>
  <c r="O2136" i="1" s="1"/>
  <c r="N2136" i="1"/>
  <c r="M2136" i="1"/>
  <c r="O2135" i="1" a="1"/>
  <c r="O2135" i="1" s="1"/>
  <c r="N2135" i="1"/>
  <c r="M2135" i="1"/>
  <c r="O2134" i="1" a="1"/>
  <c r="O2134" i="1" s="1"/>
  <c r="N2134" i="1"/>
  <c r="M2134" i="1"/>
  <c r="O2133" i="1" a="1"/>
  <c r="O2133" i="1" s="1"/>
  <c r="N2133" i="1"/>
  <c r="M2133" i="1"/>
  <c r="O2132" i="1" a="1"/>
  <c r="O2132" i="1" s="1"/>
  <c r="N2132" i="1"/>
  <c r="M2132" i="1"/>
  <c r="O2131" i="1" a="1"/>
  <c r="O2131" i="1" s="1"/>
  <c r="N2131" i="1"/>
  <c r="M2131" i="1"/>
  <c r="O2130" i="1" a="1"/>
  <c r="O2130" i="1" s="1"/>
  <c r="N2130" i="1"/>
  <c r="M2130" i="1"/>
  <c r="O2129" i="1" a="1"/>
  <c r="O2129" i="1" s="1"/>
  <c r="N2129" i="1"/>
  <c r="M2129" i="1"/>
  <c r="O2128" i="1" a="1"/>
  <c r="O2128" i="1" s="1"/>
  <c r="N2128" i="1"/>
  <c r="M2128" i="1"/>
  <c r="O2127" i="1" a="1"/>
  <c r="O2127" i="1" s="1"/>
  <c r="N2127" i="1"/>
  <c r="M2127" i="1"/>
  <c r="O2126" i="1" a="1"/>
  <c r="O2126" i="1" s="1"/>
  <c r="N2126" i="1"/>
  <c r="M2126" i="1"/>
  <c r="O2125" i="1" a="1"/>
  <c r="O2125" i="1" s="1"/>
  <c r="N2125" i="1"/>
  <c r="M2125" i="1"/>
  <c r="O2124" i="1" a="1"/>
  <c r="O2124" i="1" s="1"/>
  <c r="N2124" i="1"/>
  <c r="M2124" i="1"/>
  <c r="O2123" i="1" a="1"/>
  <c r="O2123" i="1" s="1"/>
  <c r="N2123" i="1"/>
  <c r="M2123" i="1"/>
  <c r="O2122" i="1" a="1"/>
  <c r="O2122" i="1" s="1"/>
  <c r="N2122" i="1"/>
  <c r="M2122" i="1"/>
  <c r="O2121" i="1" a="1"/>
  <c r="O2121" i="1" s="1"/>
  <c r="N2121" i="1"/>
  <c r="M2121" i="1"/>
  <c r="O2120" i="1" a="1"/>
  <c r="O2120" i="1" s="1"/>
  <c r="N2120" i="1"/>
  <c r="M2120" i="1"/>
  <c r="O2119" i="1" a="1"/>
  <c r="O2119" i="1" s="1"/>
  <c r="N2119" i="1"/>
  <c r="M2119" i="1"/>
  <c r="O2118" i="1" a="1"/>
  <c r="O2118" i="1" s="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a="1"/>
  <c r="O2112" i="1" s="1"/>
  <c r="N2112" i="1"/>
  <c r="M2112" i="1"/>
  <c r="O2111" i="1" a="1"/>
  <c r="O2111" i="1" s="1"/>
  <c r="N2111" i="1"/>
  <c r="M2111" i="1"/>
  <c r="O2110" i="1" a="1"/>
  <c r="O2110" i="1" s="1"/>
  <c r="N2110" i="1"/>
  <c r="M2110" i="1"/>
  <c r="O2109" i="1" a="1"/>
  <c r="O2109" i="1" s="1"/>
  <c r="N2109" i="1"/>
  <c r="M2109" i="1"/>
  <c r="O2108" i="1" a="1"/>
  <c r="O2108" i="1" s="1"/>
  <c r="N2108" i="1"/>
  <c r="M2108" i="1"/>
  <c r="O2107" i="1" a="1"/>
  <c r="O2107" i="1" s="1"/>
  <c r="N2107" i="1"/>
  <c r="M2107" i="1"/>
  <c r="O2106" i="1" a="1"/>
  <c r="O2106" i="1" s="1"/>
  <c r="N2106" i="1"/>
  <c r="M2106" i="1"/>
  <c r="O2105" i="1" a="1"/>
  <c r="O2105" i="1" s="1"/>
  <c r="N2105" i="1"/>
  <c r="M2105" i="1"/>
  <c r="O2104" i="1" a="1"/>
  <c r="O2104" i="1" s="1"/>
  <c r="N2104" i="1"/>
  <c r="M2104" i="1"/>
  <c r="O2103" i="1" a="1"/>
  <c r="O2103" i="1" s="1"/>
  <c r="N2103" i="1"/>
  <c r="M2103" i="1"/>
  <c r="O2102" i="1" a="1"/>
  <c r="O2102" i="1" s="1"/>
  <c r="N2102" i="1"/>
  <c r="M2102" i="1"/>
  <c r="O2101" i="1" a="1"/>
  <c r="O2101" i="1" s="1"/>
  <c r="N2101" i="1"/>
  <c r="M2101" i="1"/>
  <c r="O2100" i="1" a="1"/>
  <c r="O2100" i="1" s="1"/>
  <c r="N2100" i="1"/>
  <c r="M2100" i="1"/>
  <c r="O2099" i="1" a="1"/>
  <c r="O2099" i="1" s="1"/>
  <c r="N2099" i="1"/>
  <c r="M2099" i="1"/>
  <c r="O2098" i="1" a="1"/>
  <c r="O2098" i="1" s="1"/>
  <c r="N2098" i="1"/>
  <c r="M2098" i="1"/>
  <c r="O2097" i="1" a="1"/>
  <c r="O2097" i="1" s="1"/>
  <c r="N2097" i="1"/>
  <c r="M2097" i="1"/>
  <c r="O2096" i="1" a="1"/>
  <c r="O2096" i="1" s="1"/>
  <c r="N2096" i="1"/>
  <c r="M2096" i="1"/>
  <c r="O2095" i="1" a="1"/>
  <c r="O2095" i="1" s="1"/>
  <c r="N2095" i="1"/>
  <c r="M2095" i="1"/>
  <c r="O2094" i="1" a="1"/>
  <c r="O2094" i="1" s="1"/>
  <c r="N2094" i="1"/>
  <c r="M2094" i="1"/>
  <c r="O2093" i="1" a="1"/>
  <c r="O2093" i="1" s="1"/>
  <c r="N2093" i="1"/>
  <c r="M2093" i="1"/>
  <c r="O2092" i="1" a="1"/>
  <c r="O2092" i="1" s="1"/>
  <c r="N2092" i="1"/>
  <c r="M2092" i="1"/>
  <c r="O2091" i="1" a="1"/>
  <c r="O2091" i="1" s="1"/>
  <c r="N2091" i="1"/>
  <c r="M2091" i="1"/>
  <c r="O2090" i="1" a="1"/>
  <c r="O2090" i="1" s="1"/>
  <c r="N2090" i="1"/>
  <c r="M2090" i="1"/>
  <c r="O2089" i="1" a="1"/>
  <c r="O2089" i="1" s="1"/>
  <c r="N2089" i="1"/>
  <c r="M2089" i="1"/>
  <c r="O2088" i="1" a="1"/>
  <c r="O2088" i="1" s="1"/>
  <c r="N2088" i="1"/>
  <c r="M2088" i="1"/>
  <c r="O2087" i="1" a="1"/>
  <c r="O2087" i="1" s="1"/>
  <c r="N2087" i="1"/>
  <c r="M2087" i="1"/>
  <c r="O2086" i="1" a="1"/>
  <c r="O2086" i="1" s="1"/>
  <c r="N2086" i="1"/>
  <c r="M2086" i="1"/>
  <c r="O2085" i="1" a="1"/>
  <c r="O2085" i="1" s="1"/>
  <c r="N2085" i="1"/>
  <c r="M2085" i="1"/>
  <c r="O2084" i="1" a="1"/>
  <c r="O2084" i="1" s="1"/>
  <c r="N2084" i="1"/>
  <c r="M2084" i="1"/>
  <c r="O2083" i="1" a="1"/>
  <c r="O2083" i="1" s="1"/>
  <c r="N2083" i="1"/>
  <c r="M2083" i="1"/>
  <c r="O2082" i="1" a="1"/>
  <c r="O2082" i="1" s="1"/>
  <c r="N2082" i="1"/>
  <c r="M2082" i="1"/>
  <c r="O2081" i="1" a="1"/>
  <c r="O2081" i="1" s="1"/>
  <c r="N2081" i="1"/>
  <c r="M2081" i="1"/>
  <c r="O2080" i="1" a="1"/>
  <c r="O2080" i="1" s="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a="1"/>
  <c r="O2071" i="1" s="1"/>
  <c r="N2071" i="1"/>
  <c r="M2071" i="1"/>
  <c r="O2070" i="1" a="1"/>
  <c r="O2070" i="1" s="1"/>
  <c r="N2070" i="1"/>
  <c r="M2070" i="1"/>
  <c r="O2069" i="1" a="1"/>
  <c r="O2069" i="1" s="1"/>
  <c r="N2069" i="1"/>
  <c r="M2069" i="1"/>
  <c r="O2068" i="1" a="1"/>
  <c r="O2068" i="1" s="1"/>
  <c r="N2068" i="1"/>
  <c r="M2068" i="1"/>
  <c r="O2067" i="1" a="1"/>
  <c r="O2067" i="1" s="1"/>
  <c r="N2067" i="1"/>
  <c r="M2067" i="1"/>
  <c r="O2066" i="1" a="1"/>
  <c r="O2066" i="1" s="1"/>
  <c r="N2066" i="1"/>
  <c r="M2066" i="1"/>
  <c r="O2065" i="1" a="1"/>
  <c r="O2065" i="1" s="1"/>
  <c r="N2065" i="1"/>
  <c r="M2065" i="1"/>
  <c r="O2064" i="1" a="1"/>
  <c r="O2064" i="1" s="1"/>
  <c r="N2064" i="1"/>
  <c r="M2064" i="1"/>
  <c r="O2063" i="1" a="1"/>
  <c r="O2063" i="1" s="1"/>
  <c r="N2063" i="1"/>
  <c r="M2063" i="1"/>
  <c r="O2062" i="1" a="1"/>
  <c r="O2062" i="1" s="1"/>
  <c r="N2062" i="1"/>
  <c r="M2062" i="1"/>
  <c r="O2061" i="1" a="1"/>
  <c r="O2061" i="1" s="1"/>
  <c r="N2061" i="1"/>
  <c r="M2061" i="1"/>
  <c r="O2060" i="1" a="1"/>
  <c r="O2060" i="1" s="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a="1"/>
  <c r="O2053" i="1" s="1"/>
  <c r="N2053" i="1"/>
  <c r="M2053" i="1"/>
  <c r="O2052" i="1" a="1"/>
  <c r="O2052" i="1" s="1"/>
  <c r="N2052" i="1"/>
  <c r="M2052" i="1"/>
  <c r="O2051" i="1" a="1"/>
  <c r="O2051" i="1" s="1"/>
  <c r="N2051" i="1"/>
  <c r="M2051" i="1"/>
  <c r="O2050" i="1" a="1"/>
  <c r="O2050" i="1" s="1"/>
  <c r="N2050" i="1"/>
  <c r="M2050" i="1"/>
  <c r="O2049" i="1" a="1"/>
  <c r="O2049" i="1" s="1"/>
  <c r="N2049" i="1"/>
  <c r="M2049" i="1"/>
  <c r="O2048" i="1" a="1"/>
  <c r="O2048" i="1" s="1"/>
  <c r="N2048" i="1"/>
  <c r="M2048" i="1"/>
  <c r="O2047" i="1" a="1"/>
  <c r="O2047" i="1" s="1"/>
  <c r="N2047" i="1"/>
  <c r="M2047" i="1"/>
  <c r="O2046" i="1" a="1"/>
  <c r="O2046" i="1" s="1"/>
  <c r="N2046" i="1"/>
  <c r="M2046" i="1"/>
  <c r="O2045" i="1" a="1"/>
  <c r="O2045" i="1" s="1"/>
  <c r="N2045" i="1"/>
  <c r="M2045" i="1"/>
  <c r="O2044" i="1" a="1"/>
  <c r="O2044" i="1" s="1"/>
  <c r="N2044" i="1"/>
  <c r="M2044" i="1"/>
  <c r="O2043" i="1" a="1"/>
  <c r="O2043" i="1" s="1"/>
  <c r="N2043" i="1"/>
  <c r="M2043" i="1"/>
  <c r="O2042" i="1" a="1"/>
  <c r="O2042" i="1" s="1"/>
  <c r="N2042" i="1"/>
  <c r="M2042" i="1"/>
  <c r="O2041" i="1" a="1"/>
  <c r="O2041" i="1" s="1"/>
  <c r="N2041" i="1"/>
  <c r="M2041" i="1"/>
  <c r="O2040" i="1" a="1"/>
  <c r="O2040" i="1" s="1"/>
  <c r="N2040" i="1"/>
  <c r="M2040" i="1"/>
  <c r="O2039" i="1" a="1"/>
  <c r="O2039" i="1" s="1"/>
  <c r="N2039" i="1"/>
  <c r="M2039" i="1"/>
  <c r="O2038" i="1" a="1"/>
  <c r="O2038" i="1" s="1"/>
  <c r="N2038" i="1"/>
  <c r="M2038" i="1"/>
  <c r="O2037" i="1" a="1"/>
  <c r="O2037" i="1" s="1"/>
  <c r="N2037" i="1"/>
  <c r="M2037" i="1"/>
  <c r="O2036" i="1" a="1"/>
  <c r="O2036" i="1" s="1"/>
  <c r="N2036" i="1"/>
  <c r="M2036" i="1"/>
  <c r="O2035" i="1" a="1"/>
  <c r="O2035" i="1" s="1"/>
  <c r="N2035" i="1"/>
  <c r="M2035" i="1"/>
  <c r="O2034" i="1" a="1"/>
  <c r="O2034" i="1" s="1"/>
  <c r="N2034" i="1"/>
  <c r="M2034" i="1"/>
  <c r="O2033" i="1" a="1"/>
  <c r="O2033" i="1" s="1"/>
  <c r="N2033" i="1"/>
  <c r="M2033" i="1"/>
  <c r="O2032" i="1" a="1"/>
  <c r="O2032" i="1" s="1"/>
  <c r="N2032" i="1"/>
  <c r="M2032" i="1"/>
  <c r="O2031" i="1" a="1"/>
  <c r="O2031" i="1" s="1"/>
  <c r="N2031" i="1"/>
  <c r="M2031" i="1"/>
  <c r="O2030" i="1" a="1"/>
  <c r="O2030" i="1" s="1"/>
  <c r="N2030" i="1"/>
  <c r="M2030" i="1"/>
  <c r="O2029" i="1" a="1"/>
  <c r="O2029" i="1" s="1"/>
  <c r="N2029" i="1"/>
  <c r="M2029" i="1"/>
  <c r="O2028" i="1" a="1"/>
  <c r="O2028" i="1" s="1"/>
  <c r="N2028" i="1"/>
  <c r="M2028" i="1"/>
  <c r="O2027" i="1" a="1"/>
  <c r="O2027" i="1" s="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a="1"/>
  <c r="O2021" i="1" s="1"/>
  <c r="N2021" i="1"/>
  <c r="M2021" i="1"/>
  <c r="O2020" i="1" a="1"/>
  <c r="O2020" i="1" s="1"/>
  <c r="N2020" i="1"/>
  <c r="M2020" i="1"/>
  <c r="O2019" i="1" a="1"/>
  <c r="O2019" i="1" s="1"/>
  <c r="N2019" i="1"/>
  <c r="M2019" i="1"/>
  <c r="O2018" i="1" a="1"/>
  <c r="O2018" i="1" s="1"/>
  <c r="N2018" i="1"/>
  <c r="M2018" i="1"/>
  <c r="O2017" i="1" a="1"/>
  <c r="O2017" i="1" s="1"/>
  <c r="N2017" i="1"/>
  <c r="M2017" i="1"/>
  <c r="O2016" i="1" a="1"/>
  <c r="O2016" i="1" s="1"/>
  <c r="N2016" i="1"/>
  <c r="M2016" i="1"/>
  <c r="O2015" i="1" a="1"/>
  <c r="O2015" i="1" s="1"/>
  <c r="N2015" i="1"/>
  <c r="M2015" i="1"/>
  <c r="O2014" i="1" a="1"/>
  <c r="O2014" i="1" s="1"/>
  <c r="N2014" i="1"/>
  <c r="M2014" i="1"/>
  <c r="O2013" i="1" a="1"/>
  <c r="O2013" i="1" s="1"/>
  <c r="N2013" i="1"/>
  <c r="M2013" i="1"/>
  <c r="O2012" i="1" a="1"/>
  <c r="O2012" i="1" s="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a="1"/>
  <c r="O2005" i="1" s="1"/>
  <c r="N2005" i="1"/>
  <c r="M2005" i="1"/>
  <c r="O2004" i="1" a="1"/>
  <c r="O2004" i="1" s="1"/>
  <c r="N2004" i="1"/>
  <c r="M2004" i="1"/>
  <c r="O2003" i="1" a="1"/>
  <c r="O2003" i="1" s="1"/>
  <c r="N2003" i="1"/>
  <c r="M2003" i="1"/>
  <c r="O2002" i="1" a="1"/>
  <c r="O2002" i="1" s="1"/>
  <c r="N2002" i="1"/>
  <c r="M2002" i="1"/>
  <c r="O2001" i="1" a="1"/>
  <c r="O2001" i="1" s="1"/>
  <c r="N2001" i="1"/>
  <c r="M2001" i="1"/>
  <c r="O2000" i="1" a="1"/>
  <c r="O2000" i="1" s="1"/>
  <c r="N2000" i="1"/>
  <c r="M2000" i="1"/>
  <c r="O1999" i="1" a="1"/>
  <c r="O1999" i="1" s="1"/>
  <c r="N1999" i="1"/>
  <c r="M1999" i="1"/>
  <c r="O1998" i="1" a="1"/>
  <c r="O1998" i="1" s="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a="1"/>
  <c r="O1992" i="1" s="1"/>
  <c r="N1992" i="1"/>
  <c r="M1992" i="1"/>
  <c r="O1991" i="1" a="1"/>
  <c r="O1991" i="1" s="1"/>
  <c r="N1991" i="1"/>
  <c r="M1991" i="1"/>
  <c r="O1990" i="1" a="1"/>
  <c r="O1990" i="1" s="1"/>
  <c r="N1990" i="1"/>
  <c r="M1990" i="1"/>
  <c r="O1989" i="1" a="1"/>
  <c r="O1989" i="1" s="1"/>
  <c r="N1989" i="1"/>
  <c r="M1989" i="1"/>
  <c r="O1988" i="1" a="1"/>
  <c r="O1988" i="1" s="1"/>
  <c r="N1988" i="1"/>
  <c r="M1988" i="1"/>
  <c r="O1987" i="1" a="1"/>
  <c r="O1987" i="1" s="1"/>
  <c r="N1987" i="1"/>
  <c r="M1987" i="1"/>
  <c r="O1986" i="1" a="1"/>
  <c r="O1986" i="1" s="1"/>
  <c r="N1986" i="1"/>
  <c r="M1986" i="1"/>
  <c r="O1985" i="1" a="1"/>
  <c r="O1985" i="1" s="1"/>
  <c r="N1985" i="1"/>
  <c r="M1985" i="1"/>
  <c r="O1984" i="1" a="1"/>
  <c r="O1984" i="1" s="1"/>
  <c r="N1984" i="1"/>
  <c r="M1984" i="1"/>
  <c r="O1983" i="1" a="1"/>
  <c r="O1983" i="1" s="1"/>
  <c r="N1983" i="1"/>
  <c r="M1983" i="1"/>
  <c r="O1982" i="1" a="1"/>
  <c r="O1982" i="1" s="1"/>
  <c r="N1982" i="1"/>
  <c r="M1982" i="1"/>
  <c r="O1981" i="1" a="1"/>
  <c r="O1981" i="1" s="1"/>
  <c r="N1981" i="1"/>
  <c r="M1981" i="1"/>
  <c r="O1980" i="1" a="1"/>
  <c r="O1980" i="1" s="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a="1"/>
  <c r="O1973" i="1" s="1"/>
  <c r="N1973" i="1"/>
  <c r="M1973" i="1"/>
  <c r="O1972" i="1" a="1"/>
  <c r="O1972" i="1" s="1"/>
  <c r="N1972" i="1"/>
  <c r="M1972" i="1"/>
  <c r="O1971" i="1" a="1"/>
  <c r="O1971" i="1" s="1"/>
  <c r="N1971" i="1"/>
  <c r="M1971" i="1"/>
  <c r="O1970" i="1" a="1"/>
  <c r="O1970" i="1" s="1"/>
  <c r="N1970" i="1"/>
  <c r="M1970" i="1"/>
  <c r="O1969" i="1" a="1"/>
  <c r="O1969" i="1" s="1"/>
  <c r="N1969" i="1"/>
  <c r="M1969" i="1"/>
  <c r="O1968" i="1" a="1"/>
  <c r="O1968" i="1" s="1"/>
  <c r="N1968" i="1"/>
  <c r="M1968" i="1"/>
  <c r="O1967" i="1" a="1"/>
  <c r="O1967" i="1" s="1"/>
  <c r="N1967" i="1"/>
  <c r="M1967" i="1"/>
  <c r="O1966" i="1" a="1"/>
  <c r="O1966" i="1" s="1"/>
  <c r="N1966" i="1"/>
  <c r="M1966" i="1"/>
  <c r="O1965" i="1" a="1"/>
  <c r="O1965" i="1" s="1"/>
  <c r="N1965" i="1"/>
  <c r="M1965" i="1"/>
  <c r="O1964" i="1" a="1"/>
  <c r="O1964" i="1" s="1"/>
  <c r="N1964" i="1"/>
  <c r="M1964" i="1"/>
  <c r="O1963" i="1" a="1"/>
  <c r="O1963" i="1" s="1"/>
  <c r="N1963" i="1"/>
  <c r="M1963" i="1"/>
  <c r="O1962" i="1" a="1"/>
  <c r="O1962" i="1" s="1"/>
  <c r="N1962" i="1"/>
  <c r="M1962" i="1"/>
  <c r="O1961" i="1" a="1"/>
  <c r="O1961" i="1" s="1"/>
  <c r="N1961" i="1"/>
  <c r="M1961" i="1"/>
  <c r="O1960" i="1" a="1"/>
  <c r="O1960" i="1" s="1"/>
  <c r="N1960" i="1"/>
  <c r="M1960" i="1"/>
  <c r="O1959" i="1" a="1"/>
  <c r="O1959" i="1" s="1"/>
  <c r="N1959" i="1"/>
  <c r="M1959" i="1"/>
  <c r="O1958" i="1" a="1"/>
  <c r="O1958" i="1" s="1"/>
  <c r="N1958" i="1"/>
  <c r="M1958" i="1"/>
  <c r="O1957" i="1" a="1"/>
  <c r="O1957" i="1" s="1"/>
  <c r="N1957" i="1"/>
  <c r="M1957" i="1"/>
  <c r="O1956" i="1" a="1"/>
  <c r="O1956" i="1" s="1"/>
  <c r="N1956" i="1"/>
  <c r="M1956" i="1"/>
  <c r="O1955" i="1" a="1"/>
  <c r="O1955" i="1" s="1"/>
  <c r="N1955" i="1"/>
  <c r="M1955" i="1"/>
  <c r="O1954" i="1" a="1"/>
  <c r="O1954" i="1" s="1"/>
  <c r="N1954" i="1"/>
  <c r="M1954" i="1"/>
  <c r="O1953" i="1" a="1"/>
  <c r="O1953" i="1" s="1"/>
  <c r="N1953" i="1"/>
  <c r="M1953" i="1"/>
  <c r="O1952" i="1" a="1"/>
  <c r="O1952" i="1" s="1"/>
  <c r="N1952" i="1"/>
  <c r="M1952" i="1"/>
  <c r="O1951" i="1" a="1"/>
  <c r="O1951" i="1" s="1"/>
  <c r="N1951" i="1"/>
  <c r="M1951" i="1"/>
  <c r="O1950" i="1" a="1"/>
  <c r="O1950" i="1" s="1"/>
  <c r="N1950" i="1"/>
  <c r="M1950" i="1"/>
  <c r="O1949" i="1" a="1"/>
  <c r="O1949" i="1" s="1"/>
  <c r="N1949" i="1"/>
  <c r="M1949" i="1"/>
  <c r="O1948" i="1" a="1"/>
  <c r="O1948" i="1" s="1"/>
  <c r="N1948" i="1"/>
  <c r="M1948" i="1"/>
  <c r="O1947" i="1" a="1"/>
  <c r="O1947" i="1" s="1"/>
  <c r="N1947" i="1"/>
  <c r="M1947" i="1"/>
  <c r="O1946" i="1" a="1"/>
  <c r="O1946" i="1" s="1"/>
  <c r="N1946" i="1"/>
  <c r="M1946" i="1"/>
  <c r="O1945" i="1" a="1"/>
  <c r="O1945" i="1" s="1"/>
  <c r="N1945" i="1"/>
  <c r="M1945" i="1"/>
  <c r="O1944" i="1" a="1"/>
  <c r="O1944" i="1" s="1"/>
  <c r="N1944" i="1"/>
  <c r="M1944" i="1"/>
  <c r="O1943" i="1" a="1"/>
  <c r="O1943" i="1" s="1"/>
  <c r="N1943" i="1"/>
  <c r="M1943" i="1"/>
  <c r="O1942" i="1" a="1"/>
  <c r="O1942" i="1" s="1"/>
  <c r="N1942" i="1"/>
  <c r="M1942" i="1"/>
  <c r="O1941" i="1" a="1"/>
  <c r="O1941" i="1" s="1"/>
  <c r="N1941" i="1"/>
  <c r="M1941" i="1"/>
  <c r="O1940" i="1" a="1"/>
  <c r="O1940" i="1" s="1"/>
  <c r="N1940" i="1"/>
  <c r="M1940" i="1"/>
  <c r="O1939" i="1" a="1"/>
  <c r="O1939" i="1" s="1"/>
  <c r="N1939" i="1"/>
  <c r="M1939" i="1"/>
  <c r="O1938" i="1" a="1"/>
  <c r="O1938" i="1" s="1"/>
  <c r="N1938" i="1"/>
  <c r="M1938" i="1"/>
  <c r="O1937" i="1" a="1"/>
  <c r="O1937" i="1" s="1"/>
  <c r="N1937" i="1"/>
  <c r="M1937" i="1"/>
  <c r="O1936" i="1" a="1"/>
  <c r="O1936" i="1" s="1"/>
  <c r="N1936" i="1"/>
  <c r="M1936" i="1"/>
  <c r="O1935" i="1" a="1"/>
  <c r="O1935" i="1" s="1"/>
  <c r="N1935" i="1"/>
  <c r="M1935" i="1"/>
  <c r="O1934" i="1" a="1"/>
  <c r="O1934" i="1" s="1"/>
  <c r="N1934" i="1"/>
  <c r="M1934" i="1"/>
  <c r="O1933" i="1" a="1"/>
  <c r="O1933" i="1" s="1"/>
  <c r="N1933" i="1"/>
  <c r="M1933" i="1"/>
  <c r="O1932" i="1" a="1"/>
  <c r="O1932" i="1" s="1"/>
  <c r="N1932" i="1"/>
  <c r="M1932" i="1"/>
  <c r="O1931" i="1" a="1"/>
  <c r="O1931" i="1" s="1"/>
  <c r="N1931" i="1"/>
  <c r="M1931" i="1"/>
  <c r="O1930" i="1" a="1"/>
  <c r="O1930" i="1" s="1"/>
  <c r="N1930" i="1"/>
  <c r="M1930" i="1"/>
  <c r="O1929" i="1" a="1"/>
  <c r="O1929" i="1" s="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a="1"/>
  <c r="O1922" i="1" s="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a="1"/>
  <c r="O1914" i="1" s="1"/>
  <c r="N1914" i="1"/>
  <c r="M1914" i="1"/>
  <c r="O1913" i="1" a="1"/>
  <c r="O1913" i="1" s="1"/>
  <c r="N1913" i="1"/>
  <c r="M1913" i="1"/>
  <c r="O1912" i="1" a="1"/>
  <c r="O1912" i="1" s="1"/>
  <c r="N1912" i="1"/>
  <c r="M1912" i="1"/>
  <c r="O1911" i="1" a="1"/>
  <c r="O1911" i="1" s="1"/>
  <c r="N1911" i="1"/>
  <c r="M1911" i="1"/>
  <c r="O1910" i="1" a="1"/>
  <c r="O1910" i="1" s="1"/>
  <c r="N1910" i="1"/>
  <c r="M1910" i="1"/>
  <c r="O1909" i="1" a="1"/>
  <c r="O1909" i="1" s="1"/>
  <c r="N1909" i="1"/>
  <c r="M1909" i="1"/>
  <c r="O1908" i="1" a="1"/>
  <c r="O1908" i="1" s="1"/>
  <c r="N1908" i="1"/>
  <c r="M1908" i="1"/>
  <c r="O1907" i="1" a="1"/>
  <c r="O1907" i="1" s="1"/>
  <c r="N1907" i="1"/>
  <c r="M1907" i="1"/>
  <c r="O1906" i="1" a="1"/>
  <c r="O1906" i="1" s="1"/>
  <c r="N1906" i="1"/>
  <c r="M1906" i="1"/>
  <c r="O1905" i="1" a="1"/>
  <c r="O1905" i="1" s="1"/>
  <c r="N1905" i="1"/>
  <c r="M1905" i="1"/>
  <c r="O1904" i="1" a="1"/>
  <c r="O1904" i="1" s="1"/>
  <c r="N1904" i="1"/>
  <c r="M1904" i="1"/>
  <c r="O1903" i="1" a="1"/>
  <c r="O1903" i="1" s="1"/>
  <c r="N1903" i="1"/>
  <c r="M1903" i="1"/>
  <c r="O1902" i="1" a="1"/>
  <c r="O1902" i="1" s="1"/>
  <c r="N1902" i="1"/>
  <c r="M1902" i="1"/>
  <c r="O1901" i="1" a="1"/>
  <c r="O1901" i="1" s="1"/>
  <c r="N1901" i="1"/>
  <c r="M1901" i="1"/>
  <c r="O1900" i="1" a="1"/>
  <c r="O1900" i="1" s="1"/>
  <c r="N1900" i="1"/>
  <c r="M1900" i="1"/>
  <c r="O1899" i="1" a="1"/>
  <c r="O1899" i="1" s="1"/>
  <c r="N1899" i="1"/>
  <c r="M1899" i="1"/>
  <c r="O1898" i="1" a="1"/>
  <c r="O1898" i="1" s="1"/>
  <c r="N1898" i="1"/>
  <c r="M1898" i="1"/>
  <c r="O1897" i="1" a="1"/>
  <c r="O1897" i="1" s="1"/>
  <c r="N1897" i="1"/>
  <c r="M1897" i="1"/>
  <c r="O1896" i="1" a="1"/>
  <c r="O1896" i="1" s="1"/>
  <c r="N1896" i="1"/>
  <c r="M1896" i="1"/>
  <c r="O1895" i="1" a="1"/>
  <c r="O1895" i="1" s="1"/>
  <c r="N1895" i="1"/>
  <c r="M1895" i="1"/>
  <c r="O1894" i="1" a="1"/>
  <c r="O1894" i="1" s="1"/>
  <c r="N1894" i="1"/>
  <c r="M1894" i="1"/>
  <c r="O1893" i="1" a="1"/>
  <c r="O1893" i="1" s="1"/>
  <c r="N1893" i="1"/>
  <c r="M1893" i="1"/>
  <c r="O1892" i="1" a="1"/>
  <c r="O1892" i="1" s="1"/>
  <c r="N1892" i="1"/>
  <c r="M1892" i="1"/>
  <c r="O1891" i="1" a="1"/>
  <c r="O1891" i="1" s="1"/>
  <c r="N1891" i="1"/>
  <c r="M1891" i="1"/>
  <c r="O1890" i="1" a="1"/>
  <c r="O1890" i="1" s="1"/>
  <c r="N1890" i="1"/>
  <c r="M1890" i="1"/>
  <c r="O1889" i="1" a="1"/>
  <c r="O1889" i="1" s="1"/>
  <c r="N1889" i="1"/>
  <c r="M1889" i="1"/>
  <c r="O1888" i="1" a="1"/>
  <c r="O1888" i="1" s="1"/>
  <c r="N1888" i="1"/>
  <c r="M1888" i="1"/>
  <c r="O1887" i="1" a="1"/>
  <c r="O1887" i="1" s="1"/>
  <c r="N1887" i="1"/>
  <c r="M1887" i="1"/>
  <c r="O1886" i="1" a="1"/>
  <c r="O1886" i="1" s="1"/>
  <c r="N1886" i="1"/>
  <c r="M1886" i="1"/>
  <c r="O1885" i="1" a="1"/>
  <c r="O1885" i="1" s="1"/>
  <c r="N1885" i="1"/>
  <c r="M1885"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a="1"/>
  <c r="O1877" i="1" s="1"/>
  <c r="N1877" i="1"/>
  <c r="M1877" i="1"/>
  <c r="O1876" i="1" a="1"/>
  <c r="O1876" i="1" s="1"/>
  <c r="N1876" i="1"/>
  <c r="M1876" i="1"/>
  <c r="O1875" i="1" a="1"/>
  <c r="O1875" i="1" s="1"/>
  <c r="N1875" i="1"/>
  <c r="M1875" i="1"/>
  <c r="O1874" i="1" a="1"/>
  <c r="O1874" i="1" s="1"/>
  <c r="N1874" i="1"/>
  <c r="M1874" i="1"/>
  <c r="O1873" i="1" a="1"/>
  <c r="O1873" i="1" s="1"/>
  <c r="N1873" i="1"/>
  <c r="M1873" i="1"/>
  <c r="O1872" i="1" a="1"/>
  <c r="O1872" i="1" s="1"/>
  <c r="N1872" i="1"/>
  <c r="M1872" i="1"/>
  <c r="O1871" i="1" a="1"/>
  <c r="O1871" i="1" s="1"/>
  <c r="N1871" i="1"/>
  <c r="M1871" i="1"/>
  <c r="O1870" i="1" a="1"/>
  <c r="O1870" i="1" s="1"/>
  <c r="N1870" i="1"/>
  <c r="M1870" i="1"/>
  <c r="O1869" i="1" a="1"/>
  <c r="O1869" i="1" s="1"/>
  <c r="N1869" i="1"/>
  <c r="M1869" i="1"/>
  <c r="O1868" i="1" a="1"/>
  <c r="O1868" i="1" s="1"/>
  <c r="N1868" i="1"/>
  <c r="M1868" i="1"/>
  <c r="O1867" i="1" a="1"/>
  <c r="O1867" i="1" s="1"/>
  <c r="N1867" i="1"/>
  <c r="M1867" i="1"/>
  <c r="O1866" i="1" a="1"/>
  <c r="O1866" i="1" s="1"/>
  <c r="N1866" i="1"/>
  <c r="M1866" i="1"/>
  <c r="O1865" i="1" a="1"/>
  <c r="O1865" i="1" s="1"/>
  <c r="N1865" i="1"/>
  <c r="M1865" i="1"/>
  <c r="O1864" i="1" a="1"/>
  <c r="O1864" i="1" s="1"/>
  <c r="N1864" i="1"/>
  <c r="M1864" i="1"/>
  <c r="O1863" i="1" a="1"/>
  <c r="O1863" i="1" s="1"/>
  <c r="N1863" i="1"/>
  <c r="M1863" i="1"/>
  <c r="O1862" i="1" a="1"/>
  <c r="O1862" i="1" s="1"/>
  <c r="N1862" i="1"/>
  <c r="M1862" i="1"/>
  <c r="O1861" i="1" a="1"/>
  <c r="O1861" i="1" s="1"/>
  <c r="N1861" i="1"/>
  <c r="M1861" i="1"/>
  <c r="O1860" i="1" a="1"/>
  <c r="O1860" i="1" s="1"/>
  <c r="N1860" i="1"/>
  <c r="M1860" i="1"/>
  <c r="O1859" i="1" a="1"/>
  <c r="O1859" i="1" s="1"/>
  <c r="N1859" i="1"/>
  <c r="M1859"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a="1"/>
  <c r="O1836" i="1" s="1"/>
  <c r="N1836" i="1"/>
  <c r="M1836" i="1"/>
  <c r="O1835" i="1" a="1"/>
  <c r="O1835" i="1" s="1"/>
  <c r="N1835" i="1"/>
  <c r="M1835" i="1"/>
  <c r="O1834" i="1" a="1"/>
  <c r="O1834" i="1" s="1"/>
  <c r="N1834" i="1"/>
  <c r="M1834" i="1"/>
  <c r="O1833" i="1" a="1"/>
  <c r="O1833" i="1" s="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a="1"/>
  <c r="O1825" i="1" s="1"/>
  <c r="N1825" i="1"/>
  <c r="M1825" i="1"/>
  <c r="O1824" i="1" a="1"/>
  <c r="O1824" i="1" s="1"/>
  <c r="N1824" i="1"/>
  <c r="M1824" i="1"/>
  <c r="O1823" i="1" a="1"/>
  <c r="O1823" i="1" s="1"/>
  <c r="N1823" i="1"/>
  <c r="M1823" i="1"/>
  <c r="O1822" i="1" a="1"/>
  <c r="O1822" i="1" s="1"/>
  <c r="N1822" i="1"/>
  <c r="M1822" i="1"/>
  <c r="O1821" i="1" a="1"/>
  <c r="O1821" i="1" s="1"/>
  <c r="N1821" i="1"/>
  <c r="M1821" i="1"/>
  <c r="O1820" i="1" a="1"/>
  <c r="O1820" i="1" s="1"/>
  <c r="N1820" i="1"/>
  <c r="M1820" i="1"/>
  <c r="O1819" i="1" a="1"/>
  <c r="O1819" i="1" s="1"/>
  <c r="N1819" i="1"/>
  <c r="M1819" i="1"/>
  <c r="O1818" i="1" a="1"/>
  <c r="O1818" i="1" s="1"/>
  <c r="N1818" i="1"/>
  <c r="M1818" i="1"/>
  <c r="O1817" i="1" a="1"/>
  <c r="O1817" i="1" s="1"/>
  <c r="N1817" i="1"/>
  <c r="M1817" i="1"/>
  <c r="O1816" i="1" a="1"/>
  <c r="O1816" i="1" s="1"/>
  <c r="N1816" i="1"/>
  <c r="M1816" i="1"/>
  <c r="O1815" i="1" a="1"/>
  <c r="O1815" i="1" s="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789" i="1" a="1"/>
  <c r="O1789" i="1" s="1"/>
  <c r="N1789" i="1"/>
  <c r="M1789" i="1"/>
  <c r="O1788" i="1" a="1"/>
  <c r="O1788" i="1" s="1"/>
  <c r="N1788" i="1"/>
  <c r="M1788" i="1"/>
  <c r="O1787" i="1" a="1"/>
  <c r="O1787" i="1" s="1"/>
  <c r="N1787" i="1"/>
  <c r="M1787" i="1"/>
  <c r="O1786" i="1" a="1"/>
  <c r="O1786" i="1" s="1"/>
  <c r="N1786" i="1"/>
  <c r="M1786" i="1"/>
  <c r="O1785" i="1" a="1"/>
  <c r="O1785" i="1" s="1"/>
  <c r="N1785" i="1"/>
  <c r="M1785" i="1"/>
  <c r="O1784" i="1" a="1"/>
  <c r="O1784" i="1" s="1"/>
  <c r="N1784" i="1"/>
  <c r="M1784" i="1"/>
  <c r="O1783" i="1" a="1"/>
  <c r="O1783" i="1" s="1"/>
  <c r="N1783" i="1"/>
  <c r="M1783" i="1"/>
  <c r="O1782" i="1" a="1"/>
  <c r="O1782" i="1" s="1"/>
  <c r="N1782" i="1"/>
  <c r="M1782" i="1"/>
  <c r="O1781" i="1" a="1"/>
  <c r="O1781" i="1" s="1"/>
  <c r="N1781" i="1"/>
  <c r="M1781" i="1"/>
  <c r="O1780" i="1" a="1"/>
  <c r="O1780" i="1" s="1"/>
  <c r="N1780" i="1"/>
  <c r="M1780" i="1"/>
  <c r="O1779" i="1" a="1"/>
  <c r="O1779" i="1" s="1"/>
  <c r="N1779" i="1"/>
  <c r="M1779" i="1"/>
  <c r="O1778" i="1" a="1"/>
  <c r="O1778" i="1" s="1"/>
  <c r="N1778" i="1"/>
  <c r="M1778"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771" i="1" a="1"/>
  <c r="O1771" i="1" s="1"/>
  <c r="N1771" i="1"/>
  <c r="M1771" i="1"/>
  <c r="O1770" i="1" a="1"/>
  <c r="O1770" i="1" s="1"/>
  <c r="N1770" i="1"/>
  <c r="M1770" i="1"/>
  <c r="O1769" i="1" a="1"/>
  <c r="O1769" i="1" s="1"/>
  <c r="N1769" i="1"/>
  <c r="M1769" i="1"/>
  <c r="O1768" i="1" a="1"/>
  <c r="O1768" i="1" s="1"/>
  <c r="N1768" i="1"/>
  <c r="M1768" i="1"/>
  <c r="O1767" i="1" a="1"/>
  <c r="O1767" i="1" s="1"/>
  <c r="N1767" i="1"/>
  <c r="M1767" i="1"/>
  <c r="O1766" i="1" a="1"/>
  <c r="O1766" i="1" s="1"/>
  <c r="N1766" i="1"/>
  <c r="M1766" i="1"/>
  <c r="O1765" i="1" a="1"/>
  <c r="O1765" i="1" s="1"/>
  <c r="N1765" i="1"/>
  <c r="M1765" i="1"/>
  <c r="O1764" i="1" a="1"/>
  <c r="O1764" i="1" s="1"/>
  <c r="N1764" i="1"/>
  <c r="M1764" i="1"/>
  <c r="O1763" i="1" a="1"/>
  <c r="O1763" i="1" s="1"/>
  <c r="N1763" i="1"/>
  <c r="M1763" i="1"/>
  <c r="O1762" i="1" a="1"/>
  <c r="O1762" i="1" s="1"/>
  <c r="N1762" i="1"/>
  <c r="M1762" i="1"/>
  <c r="O1761" i="1" a="1"/>
  <c r="O1761" i="1" s="1"/>
  <c r="N1761" i="1"/>
  <c r="M1761" i="1"/>
  <c r="O1760" i="1" a="1"/>
  <c r="O1760" i="1" s="1"/>
  <c r="N1760" i="1"/>
  <c r="M1760" i="1"/>
  <c r="O1759" i="1" a="1"/>
  <c r="O1759" i="1" s="1"/>
  <c r="N1759" i="1"/>
  <c r="M1759" i="1"/>
  <c r="O1758" i="1" a="1"/>
  <c r="O1758" i="1" s="1"/>
  <c r="N1758" i="1"/>
  <c r="M1758" i="1"/>
  <c r="O1757" i="1" a="1"/>
  <c r="O1757" i="1" s="1"/>
  <c r="N1757" i="1"/>
  <c r="M1757" i="1"/>
  <c r="O1756" i="1" a="1"/>
  <c r="O1756" i="1" s="1"/>
  <c r="N1756" i="1"/>
  <c r="M1756" i="1"/>
  <c r="O1755" i="1" a="1"/>
  <c r="O1755" i="1" s="1"/>
  <c r="N1755" i="1"/>
  <c r="M1755" i="1"/>
  <c r="O1754" i="1" a="1"/>
  <c r="O1754" i="1" s="1"/>
  <c r="N1754" i="1"/>
  <c r="M1754" i="1"/>
  <c r="O1753" i="1" a="1"/>
  <c r="O1753" i="1" s="1"/>
  <c r="N1753" i="1"/>
  <c r="M1753" i="1"/>
  <c r="O1752" i="1" a="1"/>
  <c r="O1752" i="1" s="1"/>
  <c r="N1752" i="1"/>
  <c r="M1752" i="1"/>
  <c r="O1751" i="1" a="1"/>
  <c r="O1751" i="1" s="1"/>
  <c r="N1751" i="1"/>
  <c r="M1751"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744" i="1" a="1"/>
  <c r="O1744" i="1" s="1"/>
  <c r="N1744" i="1"/>
  <c r="M1744" i="1"/>
  <c r="O1743" i="1" a="1"/>
  <c r="O1743" i="1" s="1"/>
  <c r="N1743" i="1"/>
  <c r="M1743" i="1"/>
  <c r="O1742" i="1" a="1"/>
  <c r="O1742" i="1" s="1"/>
  <c r="N1742" i="1"/>
  <c r="M1742" i="1"/>
  <c r="O1741" i="1" a="1"/>
  <c r="O1741" i="1" s="1"/>
  <c r="N1741" i="1"/>
  <c r="M1741" i="1"/>
  <c r="O1740" i="1" a="1"/>
  <c r="O1740" i="1" s="1"/>
  <c r="N1740" i="1"/>
  <c r="M1740" i="1"/>
  <c r="O1739" i="1" a="1"/>
  <c r="O1739" i="1" s="1"/>
  <c r="N1739" i="1"/>
  <c r="M1739" i="1"/>
  <c r="O1738" i="1" a="1"/>
  <c r="O1738" i="1" s="1"/>
  <c r="N1738" i="1"/>
  <c r="M1738" i="1"/>
  <c r="O1737" i="1" a="1"/>
  <c r="O1737" i="1" s="1"/>
  <c r="N1737" i="1"/>
  <c r="M1737" i="1"/>
  <c r="O1736" i="1" a="1"/>
  <c r="O1736" i="1" s="1"/>
  <c r="N1736" i="1"/>
  <c r="M1736" i="1"/>
  <c r="O1735" i="1" a="1"/>
  <c r="O1735" i="1" s="1"/>
  <c r="N1735" i="1"/>
  <c r="M1735" i="1"/>
  <c r="O1734" i="1" a="1"/>
  <c r="O1734" i="1" s="1"/>
  <c r="N1734" i="1"/>
  <c r="M1734" i="1"/>
  <c r="O1733" i="1" a="1"/>
  <c r="O1733" i="1" s="1"/>
  <c r="N1733" i="1"/>
  <c r="M1733" i="1"/>
  <c r="O1732" i="1" a="1"/>
  <c r="O1732" i="1" s="1"/>
  <c r="N1732" i="1"/>
  <c r="M1732" i="1"/>
  <c r="O1731" i="1" a="1"/>
  <c r="O1731" i="1" s="1"/>
  <c r="N1731" i="1"/>
  <c r="M1731" i="1"/>
  <c r="O1730" i="1" a="1"/>
  <c r="O1730" i="1" s="1"/>
  <c r="N1730" i="1"/>
  <c r="M173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724" i="1" a="1"/>
  <c r="O1724" i="1" s="1"/>
  <c r="N1724" i="1"/>
  <c r="M1724" i="1"/>
  <c r="O1723" i="1" a="1"/>
  <c r="O1723" i="1" s="1"/>
  <c r="N1723" i="1"/>
  <c r="M1723"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715" i="1" a="1"/>
  <c r="O1715" i="1" s="1"/>
  <c r="N1715" i="1"/>
  <c r="M1715" i="1"/>
  <c r="O1714" i="1" a="1"/>
  <c r="O1714" i="1" s="1"/>
  <c r="N1714" i="1"/>
  <c r="M1714" i="1"/>
  <c r="O1713" i="1" a="1"/>
  <c r="O1713" i="1" s="1"/>
  <c r="N1713" i="1"/>
  <c r="M1713" i="1"/>
  <c r="O1712" i="1" a="1"/>
  <c r="O1712" i="1" s="1"/>
  <c r="N1712" i="1"/>
  <c r="M1712" i="1"/>
  <c r="O1711" i="1" a="1"/>
  <c r="O1711" i="1" s="1"/>
  <c r="N1711" i="1"/>
  <c r="M1711" i="1"/>
  <c r="O1710" i="1" a="1"/>
  <c r="O1710" i="1" s="1"/>
  <c r="N1710" i="1"/>
  <c r="M1710" i="1"/>
  <c r="O1709" i="1" a="1"/>
  <c r="O1709" i="1" s="1"/>
  <c r="N1709" i="1"/>
  <c r="M1709" i="1"/>
  <c r="O1708" i="1" a="1"/>
  <c r="O1708" i="1" s="1"/>
  <c r="N1708" i="1"/>
  <c r="M1708" i="1"/>
  <c r="O1707" i="1" a="1"/>
  <c r="O1707" i="1" s="1"/>
  <c r="N1707" i="1"/>
  <c r="M1707" i="1"/>
  <c r="O1706" i="1" a="1"/>
  <c r="O1706" i="1" s="1"/>
  <c r="N1706" i="1"/>
  <c r="M1706" i="1"/>
  <c r="O1705" i="1" a="1"/>
  <c r="O1705" i="1" s="1"/>
  <c r="N1705" i="1"/>
  <c r="M1705" i="1"/>
  <c r="O1704" i="1" a="1"/>
  <c r="O1704" i="1" s="1"/>
  <c r="N1704" i="1"/>
  <c r="M1704" i="1"/>
  <c r="O1703" i="1" a="1"/>
  <c r="O1703" i="1" s="1"/>
  <c r="N1703" i="1"/>
  <c r="M170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697" i="1" a="1"/>
  <c r="O1697" i="1" s="1"/>
  <c r="N1697" i="1"/>
  <c r="M1697" i="1"/>
  <c r="O1696" i="1" a="1"/>
  <c r="O1696" i="1" s="1"/>
  <c r="N1696" i="1"/>
  <c r="M1696" i="1"/>
  <c r="O1695" i="1" a="1"/>
  <c r="O1695" i="1" s="1"/>
  <c r="N1695" i="1"/>
  <c r="M1695" i="1"/>
  <c r="O1694" i="1" a="1"/>
  <c r="O1694" i="1" s="1"/>
  <c r="N1694" i="1"/>
  <c r="M1694" i="1"/>
  <c r="O1693" i="1" a="1"/>
  <c r="O1693" i="1" s="1"/>
  <c r="N1693" i="1"/>
  <c r="M1693" i="1"/>
  <c r="O1692" i="1" a="1"/>
  <c r="O1692" i="1" s="1"/>
  <c r="N1692" i="1"/>
  <c r="M1692" i="1"/>
  <c r="O1691" i="1" a="1"/>
  <c r="O1691" i="1" s="1"/>
  <c r="N1691" i="1"/>
  <c r="M1691" i="1"/>
  <c r="O1690" i="1" a="1"/>
  <c r="O1690" i="1" s="1"/>
  <c r="N1690" i="1"/>
  <c r="M1690" i="1"/>
  <c r="O1689" i="1" a="1"/>
  <c r="O1689" i="1" s="1"/>
  <c r="N1689" i="1"/>
  <c r="M1689"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682" i="1" a="1"/>
  <c r="O1682" i="1" s="1"/>
  <c r="N1682" i="1"/>
  <c r="M1682" i="1"/>
  <c r="O1681" i="1" a="1"/>
  <c r="O1681" i="1" s="1"/>
  <c r="N1681" i="1"/>
  <c r="M1681" i="1"/>
  <c r="O1680" i="1" a="1"/>
  <c r="O1680" i="1" s="1"/>
  <c r="N1680" i="1"/>
  <c r="M1680" i="1"/>
  <c r="O1679" i="1" a="1"/>
  <c r="O1679" i="1" s="1"/>
  <c r="N1679" i="1"/>
  <c r="M1679" i="1"/>
  <c r="O1678" i="1" a="1"/>
  <c r="O1678" i="1" s="1"/>
  <c r="N1678" i="1"/>
  <c r="M1678" i="1"/>
  <c r="O1677" i="1" a="1"/>
  <c r="O1677" i="1" s="1"/>
  <c r="N1677" i="1"/>
  <c r="M1677" i="1"/>
  <c r="O1676" i="1" a="1"/>
  <c r="O1676" i="1" s="1"/>
  <c r="N1676" i="1"/>
  <c r="M1676" i="1"/>
  <c r="O1675" i="1" a="1"/>
  <c r="O1675" i="1" s="1"/>
  <c r="N1675" i="1"/>
  <c r="M1675" i="1"/>
  <c r="O1674" i="1" a="1"/>
  <c r="O1674" i="1" s="1"/>
  <c r="N1674" i="1"/>
  <c r="M1674" i="1"/>
  <c r="O1673" i="1" a="1"/>
  <c r="O1673" i="1" s="1"/>
  <c r="N1673" i="1"/>
  <c r="M1673" i="1"/>
  <c r="O1672" i="1" a="1"/>
  <c r="O1672" i="1" s="1"/>
  <c r="N1672" i="1"/>
  <c r="M1672" i="1"/>
  <c r="O1671" i="1" a="1"/>
  <c r="O1671" i="1" s="1"/>
  <c r="N1671" i="1"/>
  <c r="M1671" i="1"/>
  <c r="O1670" i="1" a="1"/>
  <c r="O1670" i="1" s="1"/>
  <c r="N1670" i="1"/>
  <c r="M1670" i="1"/>
  <c r="O1669" i="1" a="1"/>
  <c r="O1669" i="1" s="1"/>
  <c r="N1669" i="1"/>
  <c r="M1669" i="1"/>
  <c r="O1668" i="1" a="1"/>
  <c r="O1668" i="1" s="1"/>
  <c r="N1668" i="1"/>
  <c r="M1668" i="1"/>
  <c r="O1667" i="1" a="1"/>
  <c r="O1667" i="1" s="1"/>
  <c r="N1667" i="1"/>
  <c r="M1667" i="1"/>
  <c r="O1666" i="1" a="1"/>
  <c r="O1666" i="1" s="1"/>
  <c r="N1666" i="1"/>
  <c r="M166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660" i="1" a="1"/>
  <c r="O1660" i="1" s="1"/>
  <c r="N1660" i="1"/>
  <c r="M1660" i="1"/>
  <c r="O1659" i="1" a="1"/>
  <c r="O1659" i="1" s="1"/>
  <c r="N1659" i="1"/>
  <c r="M1659" i="1"/>
  <c r="O1658" i="1" a="1"/>
  <c r="O1658" i="1" s="1"/>
  <c r="N1658" i="1"/>
  <c r="M1658"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a="1"/>
  <c r="O1645" i="1" s="1"/>
  <c r="N1645" i="1"/>
  <c r="M1645" i="1"/>
  <c r="O1644" i="1" a="1"/>
  <c r="O1644" i="1" s="1"/>
  <c r="N1644" i="1"/>
  <c r="M1644" i="1"/>
  <c r="O1643" i="1" a="1"/>
  <c r="O1643" i="1" s="1"/>
  <c r="N1643" i="1"/>
  <c r="M1643" i="1"/>
  <c r="O1642" i="1" a="1"/>
  <c r="O1642" i="1" s="1"/>
  <c r="N1642" i="1"/>
  <c r="M164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635" i="1" a="1"/>
  <c r="O1635" i="1" s="1"/>
  <c r="N1635" i="1"/>
  <c r="M1635" i="1"/>
  <c r="O1634" i="1" a="1"/>
  <c r="O1634" i="1" s="1"/>
  <c r="N1634" i="1"/>
  <c r="M1634" i="1"/>
  <c r="O1633" i="1" a="1"/>
  <c r="O1633" i="1" s="1"/>
  <c r="N1633" i="1"/>
  <c r="M1633" i="1"/>
  <c r="O1632" i="1" a="1"/>
  <c r="O1632" i="1" s="1"/>
  <c r="N1632" i="1"/>
  <c r="M1632" i="1"/>
  <c r="O1631" i="1" a="1"/>
  <c r="O1631" i="1" s="1"/>
  <c r="N1631" i="1"/>
  <c r="M1631" i="1"/>
  <c r="O1630" i="1" a="1"/>
  <c r="O1630" i="1" s="1"/>
  <c r="N1630" i="1"/>
  <c r="M1630" i="1"/>
  <c r="O1629" i="1" a="1"/>
  <c r="O1629" i="1" s="1"/>
  <c r="N1629" i="1"/>
  <c r="M1629" i="1"/>
  <c r="O1628" i="1" a="1"/>
  <c r="O1628" i="1" s="1"/>
  <c r="N1628" i="1"/>
  <c r="M1628" i="1"/>
  <c r="O1627" i="1" a="1"/>
  <c r="O1627" i="1" s="1"/>
  <c r="N1627" i="1"/>
  <c r="M1627" i="1"/>
  <c r="O1626" i="1" a="1"/>
  <c r="O1626" i="1" s="1"/>
  <c r="N1626" i="1"/>
  <c r="M1626" i="1"/>
  <c r="O1625" i="1" a="1"/>
  <c r="O1625" i="1" s="1"/>
  <c r="N1625" i="1"/>
  <c r="M1625" i="1"/>
  <c r="O1624" i="1" a="1"/>
  <c r="O1624" i="1" s="1"/>
  <c r="N1624" i="1"/>
  <c r="M1624" i="1"/>
  <c r="O1623" i="1" a="1"/>
  <c r="O1623" i="1" s="1"/>
  <c r="N1623" i="1"/>
  <c r="M1623" i="1"/>
  <c r="O1622" i="1" a="1"/>
  <c r="O1622" i="1" s="1"/>
  <c r="N1622" i="1"/>
  <c r="M1622" i="1"/>
  <c r="O1621" i="1" a="1"/>
  <c r="O1621" i="1" s="1"/>
  <c r="N1621" i="1"/>
  <c r="M1621" i="1"/>
  <c r="O1620" i="1" a="1"/>
  <c r="O1620" i="1" s="1"/>
  <c r="N1620" i="1"/>
  <c r="M1620" i="1"/>
  <c r="O1619" i="1" a="1"/>
  <c r="O1619" i="1" s="1"/>
  <c r="N1619" i="1"/>
  <c r="M1619" i="1"/>
  <c r="O1618" i="1" a="1"/>
  <c r="O1618" i="1" s="1"/>
  <c r="N1618" i="1"/>
  <c r="M1618" i="1"/>
  <c r="O1617" i="1" a="1"/>
  <c r="O1617" i="1" s="1"/>
  <c r="N1617" i="1"/>
  <c r="M1617" i="1"/>
  <c r="O1616" i="1" a="1"/>
  <c r="O1616" i="1" s="1"/>
  <c r="N1616" i="1"/>
  <c r="M1616" i="1"/>
  <c r="O1615" i="1" a="1"/>
  <c r="O1615" i="1" s="1"/>
  <c r="N1615" i="1"/>
  <c r="M1615" i="1"/>
  <c r="O1614" i="1" a="1"/>
  <c r="O1614" i="1" s="1"/>
  <c r="N1614" i="1"/>
  <c r="M1614" i="1"/>
  <c r="O1613" i="1" a="1"/>
  <c r="O1613" i="1" s="1"/>
  <c r="N1613" i="1"/>
  <c r="M1613" i="1"/>
  <c r="O1612" i="1" a="1"/>
  <c r="O1612" i="1" s="1"/>
  <c r="N1612" i="1"/>
  <c r="M1612" i="1"/>
  <c r="O1611" i="1" a="1"/>
  <c r="O1611" i="1" s="1"/>
  <c r="N1611" i="1"/>
  <c r="M1611" i="1"/>
  <c r="O1610" i="1" a="1"/>
  <c r="O1610" i="1" s="1"/>
  <c r="N1610" i="1"/>
  <c r="M1610" i="1"/>
  <c r="O1609" i="1" a="1"/>
  <c r="O1609" i="1" s="1"/>
  <c r="N1609" i="1"/>
  <c r="M1609" i="1"/>
  <c r="O1608" i="1" a="1"/>
  <c r="O1608" i="1" s="1"/>
  <c r="N1608" i="1"/>
  <c r="M1608" i="1"/>
  <c r="O1607" i="1" a="1"/>
  <c r="O1607" i="1" s="1"/>
  <c r="N1607" i="1"/>
  <c r="M1607" i="1"/>
  <c r="O1606" i="1" a="1"/>
  <c r="O1606" i="1" s="1"/>
  <c r="N1606" i="1"/>
  <c r="M1606" i="1"/>
  <c r="O1605" i="1" a="1"/>
  <c r="O1605" i="1" s="1"/>
  <c r="N1605" i="1"/>
  <c r="M1605" i="1"/>
  <c r="O1604" i="1" a="1"/>
  <c r="O1604" i="1" s="1"/>
  <c r="N1604" i="1"/>
  <c r="M1604" i="1"/>
  <c r="O1603" i="1" a="1"/>
  <c r="O1603" i="1" s="1"/>
  <c r="N1603" i="1"/>
  <c r="M1603" i="1"/>
  <c r="O1602" i="1" a="1"/>
  <c r="O1602" i="1" s="1"/>
  <c r="N1602" i="1"/>
  <c r="M1602" i="1"/>
  <c r="O1601" i="1" a="1"/>
  <c r="O1601" i="1" s="1"/>
  <c r="N1601" i="1"/>
  <c r="M1601"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a="1"/>
  <c r="O1589" i="1" s="1"/>
  <c r="N1589" i="1"/>
  <c r="M1589" i="1"/>
  <c r="O1588" i="1" a="1"/>
  <c r="O1588" i="1" s="1"/>
  <c r="N1588" i="1"/>
  <c r="M1588" i="1"/>
  <c r="O1587" i="1" a="1"/>
  <c r="O1587" i="1" s="1"/>
  <c r="N1587" i="1"/>
  <c r="M1587" i="1"/>
  <c r="O1586" i="1" a="1"/>
  <c r="O1586" i="1" s="1"/>
  <c r="N1586" i="1"/>
  <c r="M1586" i="1"/>
  <c r="O1585" i="1" a="1"/>
  <c r="O1585" i="1" s="1"/>
  <c r="N1585" i="1"/>
  <c r="M1585" i="1"/>
  <c r="O1584" i="1" a="1"/>
  <c r="O1584" i="1" s="1"/>
  <c r="N1584" i="1"/>
  <c r="M1584" i="1"/>
  <c r="O1583" i="1" a="1"/>
  <c r="O1583" i="1" s="1"/>
  <c r="N1583" i="1"/>
  <c r="M1583" i="1"/>
  <c r="O1582" i="1" a="1"/>
  <c r="O1582" i="1" s="1"/>
  <c r="N1582" i="1"/>
  <c r="M1582" i="1"/>
  <c r="O1581" i="1" a="1"/>
  <c r="O1581" i="1" s="1"/>
  <c r="N1581" i="1"/>
  <c r="M1581" i="1"/>
  <c r="O1580" i="1" a="1"/>
  <c r="O1580" i="1" s="1"/>
  <c r="N1580" i="1"/>
  <c r="M1580" i="1"/>
  <c r="O1579" i="1" a="1"/>
  <c r="O1579" i="1" s="1"/>
  <c r="N1579" i="1"/>
  <c r="M1579" i="1"/>
  <c r="O1578" i="1" a="1"/>
  <c r="O1578" i="1" s="1"/>
  <c r="N1578" i="1"/>
  <c r="M1578" i="1"/>
  <c r="O1577" i="1" a="1"/>
  <c r="O1577" i="1" s="1"/>
  <c r="N1577" i="1"/>
  <c r="M1577" i="1"/>
  <c r="O1576" i="1" a="1"/>
  <c r="O1576" i="1" s="1"/>
  <c r="N1576" i="1"/>
  <c r="M1576" i="1"/>
  <c r="O1575" i="1" a="1"/>
  <c r="O1575" i="1" s="1"/>
  <c r="N1575" i="1"/>
  <c r="M1575" i="1"/>
  <c r="O1574" i="1" a="1"/>
  <c r="O1574" i="1" s="1"/>
  <c r="N1574" i="1"/>
  <c r="M1574" i="1"/>
  <c r="O1573" i="1" a="1"/>
  <c r="O1573" i="1" s="1"/>
  <c r="N1573" i="1"/>
  <c r="M1573" i="1"/>
  <c r="O1572" i="1" a="1"/>
  <c r="O1572" i="1" s="1"/>
  <c r="N1572" i="1"/>
  <c r="M1572" i="1"/>
  <c r="O1571" i="1" a="1"/>
  <c r="O1571" i="1" s="1"/>
  <c r="N1571" i="1"/>
  <c r="M1571" i="1"/>
  <c r="O1570" i="1" a="1"/>
  <c r="O1570" i="1" s="1"/>
  <c r="N1570" i="1"/>
  <c r="M1570" i="1"/>
  <c r="O1569" i="1" a="1"/>
  <c r="O1569" i="1" s="1"/>
  <c r="N1569" i="1"/>
  <c r="M1569" i="1"/>
  <c r="O1568" i="1" a="1"/>
  <c r="O1568" i="1" s="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556" i="1" a="1"/>
  <c r="O1556" i="1" s="1"/>
  <c r="N1556" i="1"/>
  <c r="M1556" i="1"/>
  <c r="O1555" i="1" a="1"/>
  <c r="O1555" i="1" s="1"/>
  <c r="N1555" i="1"/>
  <c r="M1555" i="1"/>
  <c r="O1554" i="1" a="1"/>
  <c r="O1554" i="1" s="1"/>
  <c r="N1554" i="1"/>
  <c r="M1554" i="1"/>
  <c r="O1553" i="1" a="1"/>
  <c r="O1553" i="1" s="1"/>
  <c r="N1553" i="1"/>
  <c r="M1553" i="1"/>
  <c r="O1552" i="1" a="1"/>
  <c r="O1552" i="1" s="1"/>
  <c r="N1552" i="1"/>
  <c r="M1552" i="1"/>
  <c r="O1551" i="1" a="1"/>
  <c r="O1551" i="1" s="1"/>
  <c r="N1551" i="1"/>
  <c r="M1551" i="1"/>
  <c r="O1550" i="1" a="1"/>
  <c r="O1550" i="1" s="1"/>
  <c r="N1550" i="1"/>
  <c r="M1550" i="1"/>
  <c r="O1549" i="1" a="1"/>
  <c r="O1549" i="1" s="1"/>
  <c r="N1549" i="1"/>
  <c r="M1549" i="1"/>
  <c r="O1548" i="1" a="1"/>
  <c r="O1548" i="1" s="1"/>
  <c r="N1548" i="1"/>
  <c r="M1548" i="1"/>
  <c r="O1547" i="1" a="1"/>
  <c r="O1547" i="1" s="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a="1"/>
  <c r="O1540" i="1" s="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a="1"/>
  <c r="O1533" i="1" s="1"/>
  <c r="N1533" i="1"/>
  <c r="M1533" i="1"/>
  <c r="O1532" i="1" a="1"/>
  <c r="O1532" i="1" s="1"/>
  <c r="N1532" i="1"/>
  <c r="M1532" i="1"/>
  <c r="O1531" i="1" a="1"/>
  <c r="O1531" i="1" s="1"/>
  <c r="N1531" i="1"/>
  <c r="M1531" i="1"/>
  <c r="O1530" i="1" a="1"/>
  <c r="O1530" i="1" s="1"/>
  <c r="N1530" i="1"/>
  <c r="M1530" i="1"/>
  <c r="O1529" i="1" a="1"/>
  <c r="O1529" i="1" s="1"/>
  <c r="N1529" i="1"/>
  <c r="M1529" i="1"/>
  <c r="O1528" i="1" a="1"/>
  <c r="O1528" i="1" s="1"/>
  <c r="N1528" i="1"/>
  <c r="M1528" i="1"/>
  <c r="O1527" i="1" a="1"/>
  <c r="O1527" i="1" s="1"/>
  <c r="N1527" i="1"/>
  <c r="M1527" i="1"/>
  <c r="O1526" i="1" a="1"/>
  <c r="O1526" i="1" s="1"/>
  <c r="N1526" i="1"/>
  <c r="M1526" i="1"/>
  <c r="O1525" i="1" a="1"/>
  <c r="O1525" i="1" s="1"/>
  <c r="N1525" i="1"/>
  <c r="M1525" i="1"/>
  <c r="O1524" i="1" a="1"/>
  <c r="O1524" i="1" s="1"/>
  <c r="N1524" i="1"/>
  <c r="M1524" i="1"/>
  <c r="O1523" i="1" a="1"/>
  <c r="O1523" i="1" s="1"/>
  <c r="N1523" i="1"/>
  <c r="M1523" i="1"/>
  <c r="O1522" i="1" a="1"/>
  <c r="O1522" i="1" s="1"/>
  <c r="N1522" i="1"/>
  <c r="M1522" i="1"/>
  <c r="O1521" i="1" a="1"/>
  <c r="O1521" i="1" s="1"/>
  <c r="N1521" i="1"/>
  <c r="M1521" i="1"/>
  <c r="O1520" i="1" a="1"/>
  <c r="O1520" i="1" s="1"/>
  <c r="N1520" i="1"/>
  <c r="M1520" i="1"/>
  <c r="O1519" i="1" a="1"/>
  <c r="O1519" i="1" s="1"/>
  <c r="N1519" i="1"/>
  <c r="M1519" i="1"/>
  <c r="O1518" i="1" a="1"/>
  <c r="O1518" i="1" s="1"/>
  <c r="N1518" i="1"/>
  <c r="M1518" i="1"/>
  <c r="O1517" i="1" a="1"/>
  <c r="O1517" i="1" s="1"/>
  <c r="N1517" i="1"/>
  <c r="M1517" i="1"/>
  <c r="O1516" i="1" a="1"/>
  <c r="O1516" i="1" s="1"/>
  <c r="N1516" i="1"/>
  <c r="M1516" i="1"/>
  <c r="O1515" i="1" a="1"/>
  <c r="O1515" i="1" s="1"/>
  <c r="N1515" i="1"/>
  <c r="M1515" i="1"/>
  <c r="O1514" i="1" a="1"/>
  <c r="O1514" i="1" s="1"/>
  <c r="N1514" i="1"/>
  <c r="M1514" i="1"/>
  <c r="O1513" i="1" a="1"/>
  <c r="O1513" i="1" s="1"/>
  <c r="N1513" i="1"/>
  <c r="M1513" i="1"/>
  <c r="O1512" i="1" a="1"/>
  <c r="O1512" i="1" s="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a="1"/>
  <c r="O1505" i="1" s="1"/>
  <c r="N1505" i="1"/>
  <c r="M1505" i="1"/>
  <c r="O1504" i="1" a="1"/>
  <c r="O1504" i="1" s="1"/>
  <c r="N1504" i="1"/>
  <c r="M1504" i="1"/>
  <c r="O1503" i="1" a="1"/>
  <c r="O1503" i="1" s="1"/>
  <c r="N1503" i="1"/>
  <c r="M1503" i="1"/>
  <c r="O1502" i="1" a="1"/>
  <c r="O1502" i="1" s="1"/>
  <c r="N1502" i="1"/>
  <c r="M1502" i="1"/>
  <c r="O1501" i="1" a="1"/>
  <c r="O1501" i="1" s="1"/>
  <c r="N1501" i="1"/>
  <c r="M1501" i="1"/>
  <c r="O1500" i="1" a="1"/>
  <c r="O1500" i="1" s="1"/>
  <c r="N1500" i="1"/>
  <c r="M1500" i="1"/>
  <c r="O1499" i="1" a="1"/>
  <c r="O1499" i="1" s="1"/>
  <c r="N1499" i="1"/>
  <c r="M1499" i="1"/>
  <c r="O1498" i="1" a="1"/>
  <c r="O1498" i="1" s="1"/>
  <c r="N1498" i="1"/>
  <c r="M1498" i="1"/>
  <c r="O1497" i="1" a="1"/>
  <c r="O1497" i="1" s="1"/>
  <c r="N1497" i="1"/>
  <c r="M1497" i="1"/>
  <c r="O1496" i="1" a="1"/>
  <c r="O1496" i="1" s="1"/>
  <c r="N1496" i="1"/>
  <c r="M1496" i="1"/>
  <c r="O1495" i="1" a="1"/>
  <c r="O1495" i="1" s="1"/>
  <c r="N1495" i="1"/>
  <c r="M1495" i="1"/>
  <c r="O1494" i="1" a="1"/>
  <c r="O1494" i="1" s="1"/>
  <c r="N1494" i="1"/>
  <c r="M1494" i="1"/>
  <c r="O1493" i="1" a="1"/>
  <c r="O1493" i="1" s="1"/>
  <c r="N1493" i="1"/>
  <c r="M1493" i="1"/>
  <c r="O1492" i="1" a="1"/>
  <c r="O1492" i="1" s="1"/>
  <c r="N1492" i="1"/>
  <c r="M1492" i="1"/>
  <c r="O1491" i="1" a="1"/>
  <c r="O1491" i="1" s="1"/>
  <c r="N1491" i="1"/>
  <c r="M1491" i="1"/>
  <c r="O1490" i="1" a="1"/>
  <c r="O1490" i="1" s="1"/>
  <c r="N1490" i="1"/>
  <c r="M1490" i="1"/>
  <c r="O1489" i="1" a="1"/>
  <c r="O1489" i="1" s="1"/>
  <c r="N1489" i="1"/>
  <c r="M1489" i="1"/>
  <c r="O1488" i="1" a="1"/>
  <c r="O1488" i="1" s="1"/>
  <c r="N1488" i="1"/>
  <c r="M1488" i="1"/>
  <c r="O1487" i="1" a="1"/>
  <c r="O1487" i="1" s="1"/>
  <c r="N1487" i="1"/>
  <c r="M1487" i="1"/>
  <c r="O1486" i="1" a="1"/>
  <c r="O1486" i="1" s="1"/>
  <c r="N1486" i="1"/>
  <c r="M1486" i="1"/>
  <c r="O1485" i="1" a="1"/>
  <c r="O1485" i="1" s="1"/>
  <c r="N1485" i="1"/>
  <c r="M1485" i="1"/>
  <c r="O1484" i="1" a="1"/>
  <c r="O1484" i="1" s="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a="1"/>
  <c r="O1477" i="1" s="1"/>
  <c r="N1477" i="1"/>
  <c r="M1477" i="1"/>
  <c r="O1476" i="1" a="1"/>
  <c r="O1476" i="1" s="1"/>
  <c r="N1476" i="1"/>
  <c r="M1476" i="1"/>
  <c r="O1475" i="1" a="1"/>
  <c r="O1475" i="1" s="1"/>
  <c r="N1475" i="1"/>
  <c r="M1475" i="1"/>
  <c r="O1474" i="1" a="1"/>
  <c r="O1474" i="1" s="1"/>
  <c r="N1474" i="1"/>
  <c r="M1474" i="1"/>
  <c r="O1473" i="1" a="1"/>
  <c r="O1473" i="1" s="1"/>
  <c r="N1473" i="1"/>
  <c r="M1473" i="1"/>
  <c r="O1472" i="1" a="1"/>
  <c r="O1472" i="1" s="1"/>
  <c r="N1472" i="1"/>
  <c r="M1472" i="1"/>
  <c r="O1471" i="1" a="1"/>
  <c r="O1471" i="1" s="1"/>
  <c r="N1471" i="1"/>
  <c r="M1471" i="1"/>
  <c r="O1470" i="1" a="1"/>
  <c r="O1470" i="1" s="1"/>
  <c r="N1470" i="1"/>
  <c r="M1470" i="1"/>
  <c r="O1469" i="1" a="1"/>
  <c r="O1469" i="1" s="1"/>
  <c r="N1469" i="1"/>
  <c r="M1469" i="1"/>
  <c r="O1468" i="1" a="1"/>
  <c r="O1468" i="1" s="1"/>
  <c r="N1468" i="1"/>
  <c r="M1468" i="1"/>
  <c r="O1467" i="1" a="1"/>
  <c r="O1467" i="1" s="1"/>
  <c r="N1467" i="1"/>
  <c r="M1467" i="1"/>
  <c r="O1466" i="1" a="1"/>
  <c r="O1466" i="1" s="1"/>
  <c r="N1466" i="1"/>
  <c r="M1466" i="1"/>
  <c r="O1465" i="1" a="1"/>
  <c r="O1465" i="1" s="1"/>
  <c r="N1465" i="1"/>
  <c r="M1465" i="1"/>
  <c r="O1464" i="1" a="1"/>
  <c r="O1464" i="1" s="1"/>
  <c r="N1464" i="1"/>
  <c r="M1464" i="1"/>
  <c r="O1463" i="1" a="1"/>
  <c r="O1463" i="1" s="1"/>
  <c r="N1463" i="1"/>
  <c r="M1463" i="1"/>
  <c r="O1462" i="1" a="1"/>
  <c r="O1462" i="1" s="1"/>
  <c r="N1462" i="1"/>
  <c r="M1462" i="1"/>
  <c r="O1461" i="1" a="1"/>
  <c r="O1461" i="1" s="1"/>
  <c r="N1461" i="1"/>
  <c r="M1461" i="1"/>
  <c r="O1460" i="1" a="1"/>
  <c r="O1460" i="1" s="1"/>
  <c r="N1460" i="1"/>
  <c r="M1460" i="1"/>
  <c r="O1459" i="1" a="1"/>
  <c r="O1459" i="1" s="1"/>
  <c r="N1459" i="1"/>
  <c r="M1459" i="1"/>
  <c r="O1458" i="1" a="1"/>
  <c r="O1458" i="1" s="1"/>
  <c r="N1458" i="1"/>
  <c r="M1458" i="1"/>
  <c r="O1457" i="1" a="1"/>
  <c r="O1457" i="1" s="1"/>
  <c r="N1457" i="1"/>
  <c r="M1457" i="1"/>
  <c r="O1456" i="1" a="1"/>
  <c r="O1456" i="1" s="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a="1"/>
  <c r="O1449" i="1" s="1"/>
  <c r="N1449" i="1"/>
  <c r="M1449" i="1"/>
  <c r="O1448" i="1" a="1"/>
  <c r="O1448" i="1" s="1"/>
  <c r="N1448" i="1"/>
  <c r="M1448" i="1"/>
  <c r="O1447" i="1" a="1"/>
  <c r="O1447" i="1" s="1"/>
  <c r="N1447" i="1"/>
  <c r="M1447" i="1"/>
  <c r="O1446" i="1" a="1"/>
  <c r="O1446" i="1" s="1"/>
  <c r="N1446" i="1"/>
  <c r="M1446" i="1"/>
  <c r="O1445" i="1" a="1"/>
  <c r="O1445" i="1" s="1"/>
  <c r="N1445" i="1"/>
  <c r="M1445" i="1"/>
  <c r="O1444" i="1" a="1"/>
  <c r="O1444" i="1" s="1"/>
  <c r="N1444" i="1"/>
  <c r="M1444" i="1"/>
  <c r="O1443" i="1" a="1"/>
  <c r="O1443" i="1" s="1"/>
  <c r="N1443" i="1"/>
  <c r="M1443" i="1"/>
  <c r="O1442" i="1" a="1"/>
  <c r="O1442" i="1" s="1"/>
  <c r="N1442" i="1"/>
  <c r="M1442" i="1"/>
  <c r="O1441" i="1" a="1"/>
  <c r="O1441" i="1" s="1"/>
  <c r="N1441" i="1"/>
  <c r="M1441" i="1"/>
  <c r="O1440" i="1" a="1"/>
  <c r="O1440" i="1" s="1"/>
  <c r="N1440" i="1"/>
  <c r="M1440" i="1"/>
  <c r="O1439" i="1" a="1"/>
  <c r="O1439" i="1" s="1"/>
  <c r="N1439" i="1"/>
  <c r="M1439" i="1"/>
  <c r="O1438" i="1" a="1"/>
  <c r="O1438" i="1" s="1"/>
  <c r="N1438" i="1"/>
  <c r="M1438" i="1"/>
  <c r="O1437" i="1" a="1"/>
  <c r="O1437" i="1" s="1"/>
  <c r="N1437" i="1"/>
  <c r="M1437" i="1"/>
  <c r="O1436" i="1" a="1"/>
  <c r="O1436" i="1" s="1"/>
  <c r="N1436" i="1"/>
  <c r="M1436" i="1"/>
  <c r="O1435" i="1" a="1"/>
  <c r="O1435" i="1" s="1"/>
  <c r="N1435" i="1"/>
  <c r="M1435" i="1"/>
  <c r="O1434" i="1" a="1"/>
  <c r="O1434" i="1" s="1"/>
  <c r="N1434" i="1"/>
  <c r="M1434" i="1"/>
  <c r="O1433" i="1" a="1"/>
  <c r="O1433" i="1" s="1"/>
  <c r="N1433" i="1"/>
  <c r="M1433" i="1"/>
  <c r="O1432" i="1" a="1"/>
  <c r="O1432" i="1" s="1"/>
  <c r="N1432" i="1"/>
  <c r="M1432" i="1"/>
  <c r="O1431" i="1" a="1"/>
  <c r="O1431" i="1" s="1"/>
  <c r="N1431" i="1"/>
  <c r="M1431" i="1"/>
  <c r="O1430" i="1" a="1"/>
  <c r="O1430" i="1" s="1"/>
  <c r="N1430" i="1"/>
  <c r="M1430" i="1"/>
  <c r="O1429" i="1" a="1"/>
  <c r="O1429" i="1" s="1"/>
  <c r="N1429" i="1"/>
  <c r="M1429" i="1"/>
  <c r="O1428" i="1" a="1"/>
  <c r="O1428" i="1" s="1"/>
  <c r="N1428" i="1"/>
  <c r="M1428" i="1"/>
  <c r="O1427" i="1" a="1"/>
  <c r="O1427" i="1" s="1"/>
  <c r="N1427" i="1"/>
  <c r="M1427" i="1"/>
  <c r="O1426" i="1" a="1"/>
  <c r="O1426" i="1" s="1"/>
  <c r="N1426" i="1"/>
  <c r="M1426" i="1"/>
  <c r="O1425" i="1" a="1"/>
  <c r="O1425" i="1" s="1"/>
  <c r="N1425" i="1"/>
  <c r="M1425" i="1"/>
  <c r="O1424" i="1" a="1"/>
  <c r="O1424" i="1" s="1"/>
  <c r="N1424" i="1"/>
  <c r="M1424" i="1"/>
  <c r="O1423" i="1" a="1"/>
  <c r="O1423" i="1" s="1"/>
  <c r="N1423" i="1"/>
  <c r="M1423" i="1"/>
  <c r="O1422" i="1" a="1"/>
  <c r="O1422" i="1" s="1"/>
  <c r="N1422" i="1"/>
  <c r="M1422" i="1"/>
  <c r="O1421" i="1" a="1"/>
  <c r="O1421" i="1" s="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a="1"/>
  <c r="O1414" i="1" s="1"/>
  <c r="N1414" i="1"/>
  <c r="M1414" i="1"/>
  <c r="O1413" i="1" a="1"/>
  <c r="O1413" i="1" s="1"/>
  <c r="N1413" i="1"/>
  <c r="M1413" i="1"/>
  <c r="O1412" i="1" a="1"/>
  <c r="O1412" i="1" s="1"/>
  <c r="N1412" i="1"/>
  <c r="M1412" i="1"/>
  <c r="O1411" i="1" a="1"/>
  <c r="O1411" i="1" s="1"/>
  <c r="N1411" i="1"/>
  <c r="M1411" i="1"/>
  <c r="O1410" i="1" a="1"/>
  <c r="O1410" i="1" s="1"/>
  <c r="N1410" i="1"/>
  <c r="M1410" i="1"/>
  <c r="O1409" i="1" a="1"/>
  <c r="O1409" i="1" s="1"/>
  <c r="N1409" i="1"/>
  <c r="M1409" i="1"/>
  <c r="O1408" i="1" a="1"/>
  <c r="O1408" i="1" s="1"/>
  <c r="N1408" i="1"/>
  <c r="M1408" i="1"/>
  <c r="O1407" i="1" a="1"/>
  <c r="O1407" i="1" s="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a="1"/>
  <c r="O1401" i="1" s="1"/>
  <c r="N1401" i="1"/>
  <c r="M1401" i="1"/>
  <c r="O1400" i="1" a="1"/>
  <c r="O1400" i="1" s="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a="1"/>
  <c r="O1394" i="1" s="1"/>
  <c r="N1394" i="1"/>
  <c r="M1394" i="1"/>
  <c r="O1393" i="1" a="1"/>
  <c r="O1393" i="1" s="1"/>
  <c r="N1393" i="1"/>
  <c r="M1393" i="1"/>
  <c r="O1392" i="1" a="1"/>
  <c r="O1392" i="1" s="1"/>
  <c r="N1392" i="1"/>
  <c r="M1392" i="1"/>
  <c r="O1391" i="1" a="1"/>
  <c r="O1391" i="1" s="1"/>
  <c r="N1391" i="1"/>
  <c r="M1391" i="1"/>
  <c r="O1390" i="1" a="1"/>
  <c r="O1390" i="1" s="1"/>
  <c r="N1390" i="1"/>
  <c r="M1390" i="1"/>
  <c r="O1389" i="1" a="1"/>
  <c r="O1389" i="1" s="1"/>
  <c r="N1389" i="1"/>
  <c r="M1389" i="1"/>
  <c r="O1388" i="1" a="1"/>
  <c r="O1388" i="1" s="1"/>
  <c r="N1388" i="1"/>
  <c r="M1388" i="1"/>
  <c r="O1387" i="1" a="1"/>
  <c r="O1387" i="1" s="1"/>
  <c r="N1387" i="1"/>
  <c r="M1387" i="1"/>
  <c r="O1386" i="1" a="1"/>
  <c r="O1386" i="1" s="1"/>
  <c r="N1386" i="1"/>
  <c r="M1386" i="1"/>
  <c r="O1385" i="1" a="1"/>
  <c r="O1385" i="1" s="1"/>
  <c r="N1385" i="1"/>
  <c r="M1385" i="1"/>
  <c r="O1384" i="1" a="1"/>
  <c r="O1384" i="1" s="1"/>
  <c r="N1384" i="1"/>
  <c r="M1384" i="1"/>
  <c r="O1383" i="1" a="1"/>
  <c r="O1383" i="1" s="1"/>
  <c r="N1383" i="1"/>
  <c r="M1383" i="1"/>
  <c r="O1382" i="1" a="1"/>
  <c r="O1382" i="1" s="1"/>
  <c r="N1382" i="1"/>
  <c r="M1382" i="1"/>
  <c r="O1381" i="1" a="1"/>
  <c r="O1381" i="1" s="1"/>
  <c r="N1381" i="1"/>
  <c r="M1381" i="1"/>
  <c r="O1380" i="1" a="1"/>
  <c r="O1380" i="1" s="1"/>
  <c r="N1380" i="1"/>
  <c r="M1380" i="1"/>
  <c r="O1379" i="1" a="1"/>
  <c r="O1379" i="1" s="1"/>
  <c r="N1379" i="1"/>
  <c r="M1379" i="1"/>
  <c r="O1378" i="1" a="1"/>
  <c r="O1378" i="1" s="1"/>
  <c r="N1378" i="1"/>
  <c r="M1378" i="1"/>
  <c r="O1377" i="1" a="1"/>
  <c r="O1377" i="1" s="1"/>
  <c r="N1377" i="1"/>
  <c r="M1377" i="1"/>
  <c r="O1376" i="1" a="1"/>
  <c r="O1376" i="1" s="1"/>
  <c r="N1376" i="1"/>
  <c r="M1376" i="1"/>
  <c r="O1375" i="1" a="1"/>
  <c r="O1375" i="1" s="1"/>
  <c r="N1375" i="1"/>
  <c r="M1375" i="1"/>
  <c r="O1374" i="1" a="1"/>
  <c r="O1374" i="1" s="1"/>
  <c r="N1374" i="1"/>
  <c r="M1374" i="1"/>
  <c r="O1373" i="1" a="1"/>
  <c r="O1373" i="1" s="1"/>
  <c r="N1373" i="1"/>
  <c r="M1373" i="1"/>
  <c r="O1372" i="1" a="1"/>
  <c r="O1372" i="1" s="1"/>
  <c r="N1372" i="1"/>
  <c r="M1372" i="1"/>
  <c r="O1371" i="1" a="1"/>
  <c r="O1371" i="1" s="1"/>
  <c r="N1371" i="1"/>
  <c r="M1371" i="1"/>
  <c r="O1370" i="1" a="1"/>
  <c r="O1370" i="1" s="1"/>
  <c r="N1370" i="1"/>
  <c r="M1370" i="1"/>
  <c r="O1369" i="1" a="1"/>
  <c r="O1369" i="1" s="1"/>
  <c r="N1369" i="1"/>
  <c r="M1369" i="1"/>
  <c r="O1368" i="1" a="1"/>
  <c r="O1368" i="1" s="1"/>
  <c r="N1368" i="1"/>
  <c r="M1368" i="1"/>
  <c r="O1367" i="1" a="1"/>
  <c r="O1367" i="1" s="1"/>
  <c r="N1367" i="1"/>
  <c r="M1367" i="1"/>
  <c r="O1366" i="1" a="1"/>
  <c r="O1366" i="1" s="1"/>
  <c r="N1366" i="1"/>
  <c r="M1366" i="1"/>
  <c r="O1365" i="1" a="1"/>
  <c r="O1365" i="1" s="1"/>
  <c r="N1365" i="1"/>
  <c r="M1365" i="1"/>
  <c r="O1364" i="1" a="1"/>
  <c r="O1364" i="1" s="1"/>
  <c r="N1364" i="1"/>
  <c r="M1364" i="1"/>
  <c r="O1363" i="1" a="1"/>
  <c r="O1363" i="1" s="1"/>
  <c r="N1363" i="1"/>
  <c r="M1363" i="1"/>
  <c r="O1362" i="1" a="1"/>
  <c r="O1362" i="1" s="1"/>
  <c r="N1362" i="1"/>
  <c r="M1362" i="1"/>
  <c r="O1361" i="1" a="1"/>
  <c r="O1361" i="1" s="1"/>
  <c r="N1361" i="1"/>
  <c r="M1361" i="1"/>
  <c r="O1360" i="1" a="1"/>
  <c r="O1360" i="1" s="1"/>
  <c r="N1360" i="1"/>
  <c r="M1360" i="1"/>
  <c r="O1359" i="1" a="1"/>
  <c r="O1359" i="1" s="1"/>
  <c r="N1359" i="1"/>
  <c r="M1359" i="1"/>
  <c r="O1358" i="1" a="1"/>
  <c r="O1358" i="1" s="1"/>
  <c r="N1358" i="1"/>
  <c r="M1358" i="1"/>
  <c r="O1357" i="1" a="1"/>
  <c r="O1357" i="1" s="1"/>
  <c r="N1357" i="1"/>
  <c r="M1357" i="1"/>
  <c r="O1356" i="1" a="1"/>
  <c r="O1356" i="1" s="1"/>
  <c r="N1356" i="1"/>
  <c r="M1356" i="1"/>
  <c r="O1355" i="1" a="1"/>
  <c r="O1355" i="1" s="1"/>
  <c r="N1355" i="1"/>
  <c r="M1355" i="1"/>
  <c r="O1354" i="1" a="1"/>
  <c r="O1354" i="1" s="1"/>
  <c r="N1354" i="1"/>
  <c r="M1354" i="1"/>
  <c r="O1353" i="1" a="1"/>
  <c r="O1353" i="1" s="1"/>
  <c r="N1353" i="1"/>
  <c r="M1353" i="1"/>
  <c r="O1352" i="1" a="1"/>
  <c r="O1352" i="1" s="1"/>
  <c r="N1352" i="1"/>
  <c r="M1352" i="1"/>
  <c r="O1351" i="1" a="1"/>
  <c r="O1351" i="1" s="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a="1"/>
  <c r="O1344" i="1" s="1"/>
  <c r="N1344" i="1"/>
  <c r="M1344" i="1"/>
  <c r="O1343" i="1" a="1"/>
  <c r="O1343" i="1" s="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a="1"/>
  <c r="O1337" i="1" s="1"/>
  <c r="N1337" i="1"/>
  <c r="M1337" i="1"/>
  <c r="O1336" i="1" a="1"/>
  <c r="O1336" i="1" s="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a="1"/>
  <c r="O1330" i="1" s="1"/>
  <c r="N1330" i="1"/>
  <c r="M1330" i="1"/>
  <c r="O1329" i="1" a="1"/>
  <c r="O1329" i="1" s="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a="1"/>
  <c r="O1323" i="1" s="1"/>
  <c r="N1323" i="1"/>
  <c r="M1323" i="1"/>
  <c r="O1322" i="1" a="1"/>
  <c r="O1322" i="1" s="1"/>
  <c r="N1322" i="1"/>
  <c r="M1322" i="1"/>
  <c r="O1321" i="1" a="1"/>
  <c r="O1321" i="1" s="1"/>
  <c r="N1321" i="1"/>
  <c r="M1321" i="1"/>
  <c r="O1320" i="1" a="1"/>
  <c r="O1320" i="1" s="1"/>
  <c r="N1320" i="1"/>
  <c r="M1320" i="1"/>
  <c r="O1319" i="1" a="1"/>
  <c r="O1319" i="1" s="1"/>
  <c r="N1319" i="1"/>
  <c r="M1319" i="1"/>
  <c r="O1318" i="1" a="1"/>
  <c r="O1318" i="1" s="1"/>
  <c r="N1318" i="1"/>
  <c r="M1318" i="1"/>
  <c r="O1317" i="1" a="1"/>
  <c r="O1317" i="1" s="1"/>
  <c r="N1317" i="1"/>
  <c r="M1317" i="1"/>
  <c r="O1316" i="1" a="1"/>
  <c r="O1316" i="1" s="1"/>
  <c r="N1316" i="1"/>
  <c r="M1316" i="1"/>
  <c r="O1315" i="1" a="1"/>
  <c r="O1315" i="1" s="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a="1"/>
  <c r="O1309" i="1" s="1"/>
  <c r="N1309" i="1"/>
  <c r="M1309" i="1"/>
  <c r="O1308" i="1" a="1"/>
  <c r="O1308" i="1" s="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a="1"/>
  <c r="O1302" i="1" s="1"/>
  <c r="N1302" i="1"/>
  <c r="M1302" i="1"/>
  <c r="O1301" i="1" a="1"/>
  <c r="O1301" i="1" s="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a="1"/>
  <c r="O1295" i="1" s="1"/>
  <c r="N1295" i="1"/>
  <c r="M1295" i="1"/>
  <c r="O1294" i="1" a="1"/>
  <c r="O1294" i="1" s="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a="1"/>
  <c r="O1288" i="1" s="1"/>
  <c r="N1288" i="1"/>
  <c r="M1288" i="1"/>
  <c r="O1287" i="1" a="1"/>
  <c r="O1287" i="1" s="1"/>
  <c r="N1287" i="1"/>
  <c r="M1287" i="1"/>
  <c r="O1286" i="1" a="1"/>
  <c r="O1286" i="1" s="1"/>
  <c r="N1286" i="1"/>
  <c r="M1286" i="1"/>
  <c r="O1285" i="1" a="1"/>
  <c r="O1285" i="1" s="1"/>
  <c r="N1285" i="1"/>
  <c r="M1285" i="1"/>
  <c r="O1284" i="1" a="1"/>
  <c r="O1284" i="1" s="1"/>
  <c r="N1284" i="1"/>
  <c r="M1284" i="1"/>
  <c r="O1283" i="1" a="1"/>
  <c r="O1283" i="1" s="1"/>
  <c r="N1283" i="1"/>
  <c r="M1283" i="1"/>
  <c r="O1282" i="1" a="1"/>
  <c r="O1282" i="1" s="1"/>
  <c r="N1282" i="1"/>
  <c r="M1282" i="1"/>
  <c r="O1281" i="1" a="1"/>
  <c r="O1281" i="1" s="1"/>
  <c r="N1281" i="1"/>
  <c r="M1281" i="1"/>
  <c r="O1280" i="1" a="1"/>
  <c r="O1280" i="1" s="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a="1"/>
  <c r="O1274" i="1" s="1"/>
  <c r="N1274" i="1"/>
  <c r="M1274" i="1"/>
  <c r="O1273" i="1" a="1"/>
  <c r="O1273" i="1" s="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a="1"/>
  <c r="O1267" i="1" s="1"/>
  <c r="N1267" i="1"/>
  <c r="M1267" i="1"/>
  <c r="O1266" i="1" a="1"/>
  <c r="O1266" i="1" s="1"/>
  <c r="N1266" i="1"/>
  <c r="M1266" i="1"/>
  <c r="O1265" i="1" a="1"/>
  <c r="O1265" i="1" s="1"/>
  <c r="N1265" i="1"/>
  <c r="M1265" i="1"/>
  <c r="O1264" i="1" a="1"/>
  <c r="O1264" i="1" s="1"/>
  <c r="N1264" i="1"/>
  <c r="M1264" i="1"/>
  <c r="O1263" i="1" a="1"/>
  <c r="O1263" i="1" s="1"/>
  <c r="N1263" i="1"/>
  <c r="M1263" i="1"/>
  <c r="O1262" i="1" a="1"/>
  <c r="O1262" i="1" s="1"/>
  <c r="N1262" i="1"/>
  <c r="M1262" i="1"/>
  <c r="O1261" i="1" a="1"/>
  <c r="O1261" i="1" s="1"/>
  <c r="N1261" i="1"/>
  <c r="M1261" i="1"/>
  <c r="O1260" i="1" a="1"/>
  <c r="O1260" i="1" s="1"/>
  <c r="N1260" i="1"/>
  <c r="M1260" i="1"/>
  <c r="O1259" i="1" a="1"/>
  <c r="O1259" i="1" s="1"/>
  <c r="N1259" i="1"/>
  <c r="M1259" i="1"/>
  <c r="O1258" i="1" a="1"/>
  <c r="O1258" i="1" s="1"/>
  <c r="N1258" i="1"/>
  <c r="M1258" i="1"/>
  <c r="O1257" i="1" a="1"/>
  <c r="O1257" i="1" s="1"/>
  <c r="N1257" i="1"/>
  <c r="M1257" i="1"/>
  <c r="O1256" i="1" a="1"/>
  <c r="O1256" i="1" s="1"/>
  <c r="N1256" i="1"/>
  <c r="M1256" i="1"/>
  <c r="O1255" i="1" a="1"/>
  <c r="O1255" i="1" s="1"/>
  <c r="N1255" i="1"/>
  <c r="M1255" i="1"/>
  <c r="O1254" i="1" a="1"/>
  <c r="O1254" i="1" s="1"/>
  <c r="N1254" i="1"/>
  <c r="M1254" i="1"/>
  <c r="O1253" i="1" a="1"/>
  <c r="O1253" i="1" s="1"/>
  <c r="N1253" i="1"/>
  <c r="M1253" i="1"/>
  <c r="O1252" i="1" a="1"/>
  <c r="O1252" i="1" s="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a="1"/>
  <c r="O1246" i="1" s="1"/>
  <c r="N1246" i="1"/>
  <c r="M1246" i="1"/>
  <c r="O1245" i="1" a="1"/>
  <c r="O1245" i="1" s="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a="1"/>
  <c r="O1239" i="1" s="1"/>
  <c r="N1239" i="1"/>
  <c r="M1239" i="1"/>
  <c r="O1238" i="1" a="1"/>
  <c r="O1238" i="1" s="1"/>
  <c r="N1238" i="1"/>
  <c r="M1238" i="1"/>
  <c r="O1237" i="1" a="1"/>
  <c r="O1237" i="1" s="1"/>
  <c r="N1237" i="1"/>
  <c r="M1237" i="1"/>
  <c r="O1236" i="1" a="1"/>
  <c r="O1236" i="1" s="1"/>
  <c r="N1236" i="1"/>
  <c r="M1236" i="1"/>
  <c r="O1235" i="1" a="1"/>
  <c r="O1235" i="1" s="1"/>
  <c r="N1235" i="1"/>
  <c r="M1235" i="1"/>
  <c r="O1234" i="1" a="1"/>
  <c r="O1234" i="1" s="1"/>
  <c r="N1234" i="1"/>
  <c r="M1234" i="1"/>
  <c r="O1233" i="1" a="1"/>
  <c r="O1233" i="1" s="1"/>
  <c r="N1233" i="1"/>
  <c r="M1233" i="1"/>
  <c r="O1232" i="1" a="1"/>
  <c r="O1232" i="1" s="1"/>
  <c r="N1232" i="1"/>
  <c r="M1232" i="1"/>
  <c r="O1231" i="1" a="1"/>
  <c r="O1231" i="1" s="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a="1"/>
  <c r="O1225" i="1" s="1"/>
  <c r="N1225" i="1"/>
  <c r="M1225" i="1"/>
  <c r="O1224" i="1" a="1"/>
  <c r="O1224" i="1" s="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a="1"/>
  <c r="O1218" i="1" s="1"/>
  <c r="N1218" i="1"/>
  <c r="M1218" i="1"/>
  <c r="O1217" i="1" a="1"/>
  <c r="O1217" i="1" s="1"/>
  <c r="N1217" i="1"/>
  <c r="M1217" i="1"/>
  <c r="O1216" i="1" a="1"/>
  <c r="O1216" i="1" s="1"/>
  <c r="N1216" i="1"/>
  <c r="M1216" i="1"/>
  <c r="O1215" i="1" a="1"/>
  <c r="O1215" i="1" s="1"/>
  <c r="N1215" i="1"/>
  <c r="M1215" i="1"/>
  <c r="O1214" i="1" a="1"/>
  <c r="O1214" i="1" s="1"/>
  <c r="N1214" i="1"/>
  <c r="M1214" i="1"/>
  <c r="O1213" i="1" a="1"/>
  <c r="O1213" i="1" s="1"/>
  <c r="N1213" i="1"/>
  <c r="M1213" i="1"/>
  <c r="O1212" i="1" a="1"/>
  <c r="O1212" i="1" s="1"/>
  <c r="N1212" i="1"/>
  <c r="M1212" i="1"/>
  <c r="O1211" i="1" a="1"/>
  <c r="O1211" i="1" s="1"/>
  <c r="N1211" i="1"/>
  <c r="M1211" i="1"/>
  <c r="O1210" i="1" a="1"/>
  <c r="O1210" i="1" s="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a="1"/>
  <c r="O1204" i="1" s="1"/>
  <c r="N1204" i="1"/>
  <c r="M1204" i="1"/>
  <c r="O1203" i="1" a="1"/>
  <c r="O1203" i="1" s="1"/>
  <c r="N1203" i="1"/>
  <c r="M1203" i="1"/>
  <c r="O1202" i="1" a="1"/>
  <c r="O1202" i="1" s="1"/>
  <c r="N1202" i="1"/>
  <c r="M1202" i="1"/>
  <c r="O1201" i="1" a="1"/>
  <c r="O1201" i="1" s="1"/>
  <c r="N1201" i="1"/>
  <c r="M1201" i="1"/>
  <c r="O1200" i="1" a="1"/>
  <c r="O1200" i="1" s="1"/>
  <c r="N1200" i="1"/>
  <c r="M1200" i="1"/>
  <c r="O1199" i="1" a="1"/>
  <c r="O1199" i="1" s="1"/>
  <c r="N1199" i="1"/>
  <c r="M1199" i="1"/>
  <c r="O1198" i="1" a="1"/>
  <c r="O1198" i="1" s="1"/>
  <c r="N1198" i="1"/>
  <c r="M1198" i="1"/>
  <c r="O1197" i="1" a="1"/>
  <c r="O1197" i="1" s="1"/>
  <c r="N1197" i="1"/>
  <c r="M1197" i="1"/>
  <c r="O1196" i="1" a="1"/>
  <c r="O1196" i="1" s="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a="1"/>
  <c r="O1190" i="1" s="1"/>
  <c r="N1190" i="1"/>
  <c r="M1190" i="1"/>
  <c r="O1189" i="1" a="1"/>
  <c r="O1189" i="1" s="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a="1"/>
  <c r="O1183" i="1" s="1"/>
  <c r="N1183" i="1"/>
  <c r="M1183" i="1"/>
  <c r="O1182" i="1" a="1"/>
  <c r="O1182" i="1" s="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a="1"/>
  <c r="O1176" i="1" s="1"/>
  <c r="N1176" i="1"/>
  <c r="M1176" i="1"/>
  <c r="O1175" i="1" a="1"/>
  <c r="O1175" i="1" s="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1166" i="1" a="1"/>
  <c r="O1166" i="1" s="1"/>
  <c r="N1166" i="1"/>
  <c r="M1166" i="1"/>
  <c r="O1165" i="1" a="1"/>
  <c r="O1165" i="1" s="1"/>
  <c r="N1165" i="1"/>
  <c r="M1165" i="1"/>
  <c r="O1164" i="1" a="1"/>
  <c r="O1164" i="1" s="1"/>
  <c r="N1164" i="1"/>
  <c r="M1164" i="1"/>
  <c r="O1163" i="1" a="1"/>
  <c r="O1163" i="1" s="1"/>
  <c r="N1163" i="1"/>
  <c r="M1163" i="1"/>
  <c r="O1162" i="1" a="1"/>
  <c r="O1162" i="1" s="1"/>
  <c r="N1162" i="1"/>
  <c r="M1162"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1026" i="1" a="1"/>
  <c r="O1026" i="1" s="1"/>
  <c r="N1026" i="1"/>
  <c r="M1026" i="1"/>
  <c r="O1025" i="1" a="1"/>
  <c r="O1025" i="1" s="1"/>
  <c r="N1025" i="1"/>
  <c r="M1025" i="1"/>
  <c r="O1024" i="1" a="1"/>
  <c r="O1024" i="1" s="1"/>
  <c r="N1024" i="1"/>
  <c r="M1024" i="1"/>
  <c r="O1023" i="1" a="1"/>
  <c r="O1023" i="1" s="1"/>
  <c r="N1023" i="1"/>
  <c r="M1023" i="1"/>
  <c r="O1022" i="1" a="1"/>
  <c r="O1022" i="1" s="1"/>
  <c r="N1022" i="1"/>
  <c r="M102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966" i="1" a="1"/>
  <c r="O966" i="1" s="1"/>
  <c r="N966" i="1"/>
  <c r="M966" i="1"/>
  <c r="O965" i="1" a="1"/>
  <c r="O965" i="1" s="1"/>
  <c r="N965" i="1"/>
  <c r="M965"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904" i="1" a="1"/>
  <c r="O904" i="1" s="1"/>
  <c r="N904" i="1"/>
  <c r="M904" i="1"/>
  <c r="O903" i="1" a="1"/>
  <c r="O903" i="1" s="1"/>
  <c r="N903" i="1"/>
  <c r="M903" i="1"/>
  <c r="O902" i="1" a="1"/>
  <c r="O902" i="1" s="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791" i="1" a="1"/>
  <c r="O791" i="1" s="1"/>
  <c r="N791" i="1"/>
  <c r="M791" i="1"/>
  <c r="O790" i="1" a="1"/>
  <c r="O790" i="1" s="1"/>
  <c r="N790" i="1"/>
  <c r="M790" i="1"/>
  <c r="O789" i="1" a="1"/>
  <c r="O789" i="1" s="1"/>
  <c r="N789" i="1"/>
  <c r="M789" i="1"/>
  <c r="O788" i="1" a="1"/>
  <c r="O788" i="1" s="1"/>
  <c r="N788" i="1"/>
  <c r="M788" i="1"/>
  <c r="O787" i="1" a="1"/>
  <c r="O787" i="1" s="1"/>
  <c r="N787" i="1"/>
  <c r="M787" i="1"/>
  <c r="O786" i="1" a="1"/>
  <c r="O786" i="1" s="1"/>
  <c r="N786" i="1"/>
  <c r="M786" i="1"/>
  <c r="O785" i="1" a="1"/>
  <c r="O785" i="1" s="1"/>
  <c r="N785" i="1"/>
  <c r="M785" i="1"/>
  <c r="O784" i="1" a="1"/>
  <c r="O784" i="1" s="1"/>
  <c r="N784" i="1"/>
  <c r="M784" i="1"/>
  <c r="O783" i="1" a="1"/>
  <c r="O783" i="1" s="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a="1"/>
  <c r="O770" i="1" s="1"/>
  <c r="N770" i="1"/>
  <c r="M770" i="1"/>
  <c r="O769" i="1" a="1"/>
  <c r="O769" i="1" s="1"/>
  <c r="N769" i="1"/>
  <c r="M769"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677" i="1" a="1"/>
  <c r="O677" i="1" s="1"/>
  <c r="N677" i="1"/>
  <c r="M677" i="1"/>
  <c r="O676" i="1" a="1"/>
  <c r="O676" i="1" s="1"/>
  <c r="N676" i="1"/>
  <c r="M676" i="1"/>
  <c r="O675" i="1" a="1"/>
  <c r="O675" i="1" s="1"/>
  <c r="N675" i="1"/>
  <c r="M675"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657" i="1" a="1"/>
  <c r="O657" i="1" s="1"/>
  <c r="N657" i="1"/>
  <c r="M657" i="1"/>
  <c r="O656" i="1" a="1"/>
  <c r="O656" i="1" s="1"/>
  <c r="N656" i="1"/>
  <c r="M656" i="1"/>
  <c r="O655" i="1" a="1"/>
  <c r="O655" i="1" s="1"/>
  <c r="N655" i="1"/>
  <c r="M655" i="1"/>
  <c r="O654" i="1" a="1"/>
  <c r="O654" i="1" s="1"/>
  <c r="N654" i="1"/>
  <c r="M654" i="1"/>
  <c r="O653" i="1" a="1"/>
  <c r="O653" i="1" s="1"/>
  <c r="N653" i="1"/>
  <c r="M653"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619" i="1" a="1"/>
  <c r="O619" i="1" s="1"/>
  <c r="N619" i="1"/>
  <c r="M619" i="1"/>
  <c r="O618" i="1" a="1"/>
  <c r="O618" i="1" s="1"/>
  <c r="N618" i="1"/>
  <c r="M618" i="1"/>
  <c r="O617" i="1" a="1"/>
  <c r="O617" i="1" s="1"/>
  <c r="N617" i="1"/>
  <c r="M617" i="1"/>
  <c r="O616" i="1" a="1"/>
  <c r="O616" i="1" s="1"/>
  <c r="N616" i="1"/>
  <c r="M616" i="1"/>
  <c r="O615" i="1" a="1"/>
  <c r="O615" i="1" s="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543" i="1" a="1"/>
  <c r="O543" i="1" s="1"/>
  <c r="N543" i="1"/>
  <c r="M543" i="1"/>
  <c r="O542" i="1" a="1"/>
  <c r="O542" i="1" s="1"/>
  <c r="N542" i="1"/>
  <c r="M542" i="1"/>
  <c r="O541" i="1" a="1"/>
  <c r="O541" i="1" s="1"/>
  <c r="N541" i="1"/>
  <c r="M541" i="1"/>
  <c r="O540" i="1" a="1"/>
  <c r="O540" i="1" s="1"/>
  <c r="N540" i="1"/>
  <c r="M540" i="1"/>
  <c r="O539" i="1" a="1"/>
  <c r="O539" i="1" s="1"/>
  <c r="N539" i="1"/>
  <c r="M539"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489" i="1" a="1"/>
  <c r="O489" i="1" s="1"/>
  <c r="N489" i="1"/>
  <c r="M489" i="1"/>
  <c r="O488" i="1" a="1"/>
  <c r="O488" i="1" s="1"/>
  <c r="N488" i="1"/>
  <c r="M488" i="1"/>
  <c r="O487" i="1" a="1"/>
  <c r="O487" i="1" s="1"/>
  <c r="N487" i="1"/>
  <c r="M487" i="1"/>
  <c r="O486" i="1" a="1"/>
  <c r="O486" i="1" s="1"/>
  <c r="N486" i="1"/>
  <c r="M486" i="1"/>
  <c r="O485" i="1" a="1"/>
  <c r="O485" i="1" s="1"/>
  <c r="N485" i="1"/>
  <c r="M485" i="1"/>
  <c r="O484" i="1" a="1"/>
  <c r="O484" i="1" s="1"/>
  <c r="N484" i="1"/>
  <c r="M484" i="1"/>
  <c r="O483" i="1" a="1"/>
  <c r="O483" i="1" s="1"/>
  <c r="N483" i="1"/>
  <c r="M483" i="1"/>
  <c r="O482" i="1" a="1"/>
  <c r="O482" i="1" s="1"/>
  <c r="N482" i="1"/>
  <c r="M482" i="1"/>
  <c r="O481" i="1" a="1"/>
  <c r="O481" i="1" s="1"/>
  <c r="N481" i="1"/>
  <c r="M481" i="1"/>
  <c r="O480" i="1" a="1"/>
  <c r="O480" i="1" s="1"/>
  <c r="N480" i="1"/>
  <c r="M48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a="1"/>
  <c r="O433" i="1" s="1"/>
  <c r="N433" i="1"/>
  <c r="M433" i="1"/>
  <c r="O432" i="1" a="1"/>
  <c r="O432" i="1" s="1"/>
  <c r="N432" i="1"/>
  <c r="M432"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393" i="1" a="1"/>
  <c r="O393" i="1" s="1"/>
  <c r="N393" i="1"/>
  <c r="M393" i="1"/>
  <c r="O392" i="1" a="1"/>
  <c r="O392" i="1" s="1"/>
  <c r="N392" i="1"/>
  <c r="M392" i="1"/>
  <c r="O391" i="1" a="1"/>
  <c r="O391" i="1" s="1"/>
  <c r="N391" i="1"/>
  <c r="M391" i="1"/>
  <c r="O390" i="1" a="1"/>
  <c r="O390" i="1" s="1"/>
  <c r="N390" i="1"/>
  <c r="M390" i="1"/>
  <c r="O389" i="1" a="1"/>
  <c r="O389" i="1" s="1"/>
  <c r="N389" i="1"/>
  <c r="M389" i="1"/>
  <c r="O388" i="1" a="1"/>
  <c r="O388" i="1" s="1"/>
  <c r="N388" i="1"/>
  <c r="M388" i="1"/>
  <c r="O387" i="1" a="1"/>
  <c r="O387" i="1" s="1"/>
  <c r="N387" i="1"/>
  <c r="M387" i="1"/>
  <c r="O386" i="1" a="1"/>
  <c r="O386" i="1" s="1"/>
  <c r="N386" i="1"/>
  <c r="M386" i="1"/>
  <c r="O385" i="1" a="1"/>
  <c r="O385" i="1" s="1"/>
  <c r="N385" i="1"/>
  <c r="M385" i="1"/>
  <c r="O384" i="1" a="1"/>
  <c r="O384" i="1" s="1"/>
  <c r="N384" i="1"/>
  <c r="M384" i="1"/>
  <c r="O383" i="1" a="1"/>
  <c r="O383" i="1" s="1"/>
  <c r="N383" i="1"/>
  <c r="M383" i="1"/>
  <c r="O382" i="1" a="1"/>
  <c r="O382" i="1" s="1"/>
  <c r="N382" i="1"/>
  <c r="M382" i="1"/>
  <c r="O381" i="1" a="1"/>
  <c r="O381" i="1" s="1"/>
  <c r="N381" i="1"/>
  <c r="M381" i="1"/>
  <c r="O380" i="1" a="1"/>
  <c r="O380" i="1" s="1"/>
  <c r="N380" i="1"/>
  <c r="M380" i="1"/>
  <c r="O379" i="1" a="1"/>
  <c r="O379" i="1" s="1"/>
  <c r="N379" i="1"/>
  <c r="M379" i="1"/>
  <c r="O378" i="1" a="1"/>
  <c r="O378" i="1" s="1"/>
  <c r="N378" i="1"/>
  <c r="M378" i="1"/>
  <c r="O377" i="1" a="1"/>
  <c r="O377" i="1" s="1"/>
  <c r="N377" i="1"/>
  <c r="M377" i="1"/>
  <c r="O376" i="1" a="1"/>
  <c r="O376" i="1" s="1"/>
  <c r="N376" i="1"/>
  <c r="M376" i="1"/>
  <c r="O375" i="1" a="1"/>
  <c r="O375" i="1" s="1"/>
  <c r="N375" i="1"/>
  <c r="M375" i="1"/>
  <c r="O374" i="1" a="1"/>
  <c r="O374" i="1" s="1"/>
  <c r="N374" i="1"/>
  <c r="M374" i="1"/>
  <c r="O373" i="1" a="1"/>
  <c r="O373" i="1" s="1"/>
  <c r="N373" i="1"/>
  <c r="M373" i="1"/>
  <c r="O372" i="1" a="1"/>
  <c r="O372" i="1" s="1"/>
  <c r="N372" i="1"/>
  <c r="M372" i="1"/>
  <c r="O371" i="1" a="1"/>
  <c r="O371" i="1" s="1"/>
  <c r="N371" i="1"/>
  <c r="M371" i="1"/>
  <c r="O370" i="1" a="1"/>
  <c r="O370" i="1" s="1"/>
  <c r="N370" i="1"/>
  <c r="M370" i="1"/>
  <c r="O369" i="1" a="1"/>
  <c r="O369" i="1" s="1"/>
  <c r="N369" i="1"/>
  <c r="M369" i="1"/>
  <c r="O368" i="1" a="1"/>
  <c r="O368" i="1" s="1"/>
  <c r="N368" i="1"/>
  <c r="M368" i="1"/>
  <c r="O367" i="1" a="1"/>
  <c r="O367" i="1" s="1"/>
  <c r="N367" i="1"/>
  <c r="M367" i="1"/>
  <c r="O366" i="1" a="1"/>
  <c r="O366" i="1" s="1"/>
  <c r="N366" i="1"/>
  <c r="M366" i="1"/>
  <c r="O365" i="1" a="1"/>
  <c r="O365" i="1" s="1"/>
  <c r="N365" i="1"/>
  <c r="M365" i="1"/>
  <c r="O364" i="1" a="1"/>
  <c r="O364" i="1" s="1"/>
  <c r="N364" i="1"/>
  <c r="M364" i="1"/>
  <c r="O363" i="1" a="1"/>
  <c r="O363" i="1" s="1"/>
  <c r="N363" i="1"/>
  <c r="M363" i="1"/>
  <c r="O362" i="1" a="1"/>
  <c r="O362" i="1" s="1"/>
  <c r="N362" i="1"/>
  <c r="M362" i="1"/>
  <c r="O361" i="1" a="1"/>
  <c r="O361" i="1" s="1"/>
  <c r="N361" i="1"/>
  <c r="M361" i="1"/>
  <c r="O360" i="1" a="1"/>
  <c r="O360" i="1" s="1"/>
  <c r="N360" i="1"/>
  <c r="M360" i="1"/>
  <c r="O359" i="1" a="1"/>
  <c r="O359" i="1" s="1"/>
  <c r="N359" i="1"/>
  <c r="M359" i="1"/>
  <c r="O358" i="1" a="1"/>
  <c r="O358" i="1" s="1"/>
  <c r="N358" i="1"/>
  <c r="M358" i="1"/>
  <c r="O357" i="1" a="1"/>
  <c r="O357" i="1" s="1"/>
  <c r="N357" i="1"/>
  <c r="M357" i="1"/>
  <c r="O356" i="1" a="1"/>
  <c r="O356" i="1" s="1"/>
  <c r="N356" i="1"/>
  <c r="M356" i="1"/>
  <c r="O355" i="1" a="1"/>
  <c r="O355" i="1" s="1"/>
  <c r="N355" i="1"/>
  <c r="M355" i="1"/>
  <c r="O354" i="1" a="1"/>
  <c r="O354" i="1" s="1"/>
  <c r="N354" i="1"/>
  <c r="M354" i="1"/>
  <c r="O353" i="1" a="1"/>
  <c r="O353" i="1" s="1"/>
  <c r="N353" i="1"/>
  <c r="M353" i="1"/>
  <c r="O352" i="1" a="1"/>
  <c r="O352" i="1" s="1"/>
  <c r="N352" i="1"/>
  <c r="M352" i="1"/>
  <c r="O351" i="1" a="1"/>
  <c r="O351" i="1" s="1"/>
  <c r="N351" i="1"/>
  <c r="M351" i="1"/>
  <c r="O350" i="1" a="1"/>
  <c r="O350" i="1" s="1"/>
  <c r="N350" i="1"/>
  <c r="M350" i="1"/>
  <c r="O349" i="1" a="1"/>
  <c r="O349" i="1" s="1"/>
  <c r="N349" i="1"/>
  <c r="M349" i="1"/>
  <c r="O348" i="1" a="1"/>
  <c r="O348" i="1" s="1"/>
  <c r="N348" i="1"/>
  <c r="M348" i="1"/>
  <c r="O347" i="1" a="1"/>
  <c r="O347" i="1" s="1"/>
  <c r="N347" i="1"/>
  <c r="M347" i="1"/>
  <c r="O346" i="1" a="1"/>
  <c r="O346" i="1" s="1"/>
  <c r="N346" i="1"/>
  <c r="M346" i="1"/>
  <c r="O345" i="1" a="1"/>
  <c r="O345" i="1" s="1"/>
  <c r="N345" i="1"/>
  <c r="M345" i="1"/>
  <c r="O344" i="1" a="1"/>
  <c r="O344" i="1" s="1"/>
  <c r="N344" i="1"/>
  <c r="M344" i="1"/>
  <c r="O343" i="1" a="1"/>
  <c r="O343" i="1" s="1"/>
  <c r="N343" i="1"/>
  <c r="M343" i="1"/>
  <c r="O342" i="1" a="1"/>
  <c r="O342" i="1" s="1"/>
  <c r="N342" i="1"/>
  <c r="M342" i="1"/>
  <c r="O341" i="1" a="1"/>
  <c r="O341" i="1" s="1"/>
  <c r="N341" i="1"/>
  <c r="M341" i="1"/>
  <c r="O340" i="1" a="1"/>
  <c r="O340" i="1" s="1"/>
  <c r="N340" i="1"/>
  <c r="M340" i="1"/>
  <c r="O339" i="1" a="1"/>
  <c r="O339" i="1" s="1"/>
  <c r="N339" i="1"/>
  <c r="M339" i="1"/>
  <c r="O338" i="1" a="1"/>
  <c r="O338" i="1" s="1"/>
  <c r="N338" i="1"/>
  <c r="M338" i="1"/>
  <c r="O337" i="1" a="1"/>
  <c r="O337" i="1" s="1"/>
  <c r="N337" i="1"/>
  <c r="M337" i="1"/>
  <c r="O336" i="1" a="1"/>
  <c r="O336" i="1" s="1"/>
  <c r="N336" i="1"/>
  <c r="M336" i="1"/>
  <c r="O335" i="1" a="1"/>
  <c r="O335" i="1" s="1"/>
  <c r="N335" i="1"/>
  <c r="M335" i="1"/>
  <c r="O334" i="1" a="1"/>
  <c r="O334" i="1" s="1"/>
  <c r="N334" i="1"/>
  <c r="M334" i="1"/>
  <c r="O333" i="1" a="1"/>
  <c r="O333" i="1" s="1"/>
  <c r="N333" i="1"/>
  <c r="M333" i="1"/>
  <c r="O332" i="1" a="1"/>
  <c r="O332" i="1" s="1"/>
  <c r="N332" i="1"/>
  <c r="M332" i="1"/>
  <c r="O331" i="1" a="1"/>
  <c r="O331" i="1" s="1"/>
  <c r="N331" i="1"/>
  <c r="M331" i="1"/>
  <c r="O330" i="1" a="1"/>
  <c r="O330" i="1" s="1"/>
  <c r="N330" i="1"/>
  <c r="M330" i="1"/>
  <c r="O329" i="1" a="1"/>
  <c r="O329" i="1" s="1"/>
  <c r="N329" i="1"/>
  <c r="M329" i="1"/>
  <c r="O328" i="1" a="1"/>
  <c r="O328" i="1" s="1"/>
  <c r="N328" i="1"/>
  <c r="M328" i="1"/>
  <c r="O327" i="1" a="1"/>
  <c r="O327" i="1" s="1"/>
  <c r="N327" i="1"/>
  <c r="M327" i="1"/>
  <c r="O326" i="1" a="1"/>
  <c r="O326" i="1" s="1"/>
  <c r="N326" i="1"/>
  <c r="M326" i="1"/>
  <c r="O325" i="1" a="1"/>
  <c r="O325" i="1" s="1"/>
  <c r="N325" i="1"/>
  <c r="M325" i="1"/>
  <c r="O324" i="1" a="1"/>
  <c r="O324" i="1" s="1"/>
  <c r="N324" i="1"/>
  <c r="M324" i="1"/>
  <c r="O323" i="1" a="1"/>
  <c r="O323" i="1" s="1"/>
  <c r="N323" i="1"/>
  <c r="M323" i="1"/>
  <c r="O322" i="1" a="1"/>
  <c r="O322" i="1" s="1"/>
  <c r="N322" i="1"/>
  <c r="M322" i="1"/>
  <c r="O321" i="1" a="1"/>
  <c r="O321" i="1" s="1"/>
  <c r="N321" i="1"/>
  <c r="M321" i="1"/>
  <c r="O320" i="1" a="1"/>
  <c r="O320" i="1" s="1"/>
  <c r="N320" i="1"/>
  <c r="M320" i="1"/>
  <c r="O319" i="1" a="1"/>
  <c r="O319" i="1" s="1"/>
  <c r="N319" i="1"/>
  <c r="M319" i="1"/>
  <c r="O318" i="1" a="1"/>
  <c r="O318" i="1" s="1"/>
  <c r="N318" i="1"/>
  <c r="M318" i="1"/>
  <c r="O317" i="1" a="1"/>
  <c r="O317" i="1" s="1"/>
  <c r="N317" i="1"/>
  <c r="M317" i="1"/>
  <c r="O316" i="1" a="1"/>
  <c r="O316" i="1" s="1"/>
  <c r="N316" i="1"/>
  <c r="M316" i="1"/>
  <c r="O315" i="1" a="1"/>
  <c r="O315" i="1" s="1"/>
  <c r="N315" i="1"/>
  <c r="M315" i="1"/>
  <c r="O314" i="1" a="1"/>
  <c r="O314" i="1" s="1"/>
  <c r="N314" i="1"/>
  <c r="M314" i="1"/>
  <c r="O313" i="1" a="1"/>
  <c r="O313" i="1" s="1"/>
  <c r="N313" i="1"/>
  <c r="M313" i="1"/>
  <c r="O312" i="1" a="1"/>
  <c r="O312" i="1" s="1"/>
  <c r="N312" i="1"/>
  <c r="M312" i="1"/>
  <c r="O311" i="1" a="1"/>
  <c r="O311" i="1" s="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a="1"/>
  <c r="O304" i="1" s="1"/>
  <c r="N304" i="1"/>
  <c r="M304" i="1"/>
  <c r="O303" i="1" a="1"/>
  <c r="O303" i="1" s="1"/>
  <c r="N303" i="1"/>
  <c r="M303" i="1"/>
  <c r="O302" i="1" a="1"/>
  <c r="O302" i="1" s="1"/>
  <c r="N302" i="1"/>
  <c r="M302" i="1"/>
  <c r="O301" i="1" a="1"/>
  <c r="O301" i="1" s="1"/>
  <c r="N301" i="1"/>
  <c r="M301" i="1"/>
  <c r="O300" i="1" a="1"/>
  <c r="O300" i="1" s="1"/>
  <c r="N300" i="1"/>
  <c r="M300" i="1"/>
  <c r="O299" i="1" a="1"/>
  <c r="O299" i="1" s="1"/>
  <c r="N299" i="1"/>
  <c r="M299" i="1"/>
  <c r="O298" i="1" a="1"/>
  <c r="O298" i="1" s="1"/>
  <c r="N298" i="1"/>
  <c r="M298" i="1"/>
  <c r="O297" i="1" a="1"/>
  <c r="O297" i="1" s="1"/>
  <c r="N297" i="1"/>
  <c r="M297" i="1"/>
  <c r="O296" i="1" a="1"/>
  <c r="O296" i="1" s="1"/>
  <c r="N296" i="1"/>
  <c r="M296" i="1"/>
  <c r="O295" i="1" a="1"/>
  <c r="O295" i="1" s="1"/>
  <c r="N295" i="1"/>
  <c r="M295" i="1"/>
  <c r="O294" i="1" a="1"/>
  <c r="O294" i="1" s="1"/>
  <c r="N294" i="1"/>
  <c r="M294" i="1"/>
  <c r="O293" i="1" a="1"/>
  <c r="O293" i="1" s="1"/>
  <c r="N293" i="1"/>
  <c r="M293" i="1"/>
  <c r="O292" i="1" a="1"/>
  <c r="O292" i="1" s="1"/>
  <c r="N292" i="1"/>
  <c r="M292" i="1"/>
  <c r="O291" i="1" a="1"/>
  <c r="O291" i="1" s="1"/>
  <c r="N291" i="1"/>
  <c r="M291" i="1"/>
  <c r="O290" i="1" a="1"/>
  <c r="O290" i="1" s="1"/>
  <c r="N290" i="1"/>
  <c r="M290" i="1"/>
  <c r="O289" i="1" a="1"/>
  <c r="O289" i="1" s="1"/>
  <c r="N289" i="1"/>
  <c r="M289" i="1"/>
  <c r="O288" i="1" a="1"/>
  <c r="O288" i="1" s="1"/>
  <c r="N288" i="1"/>
  <c r="M288" i="1"/>
  <c r="O287" i="1" a="1"/>
  <c r="O287" i="1" s="1"/>
  <c r="N287" i="1"/>
  <c r="M287" i="1"/>
  <c r="O286" i="1" a="1"/>
  <c r="O286" i="1" s="1"/>
  <c r="N286" i="1"/>
  <c r="M286" i="1"/>
  <c r="O285" i="1" a="1"/>
  <c r="O285" i="1" s="1"/>
  <c r="N285" i="1"/>
  <c r="M285" i="1"/>
  <c r="O284" i="1" a="1"/>
  <c r="O284" i="1" s="1"/>
  <c r="N284" i="1"/>
  <c r="M284" i="1"/>
  <c r="O283" i="1" a="1"/>
  <c r="O283" i="1" s="1"/>
  <c r="N283" i="1"/>
  <c r="M283" i="1"/>
  <c r="O282" i="1" a="1"/>
  <c r="O282" i="1" s="1"/>
  <c r="N282" i="1"/>
  <c r="M282" i="1"/>
  <c r="O281" i="1" a="1"/>
  <c r="O281" i="1" s="1"/>
  <c r="N281" i="1"/>
  <c r="M281" i="1"/>
  <c r="O280" i="1" a="1"/>
  <c r="O280" i="1" s="1"/>
  <c r="N280" i="1"/>
  <c r="M280" i="1"/>
  <c r="O279" i="1" a="1"/>
  <c r="O279" i="1" s="1"/>
  <c r="N279" i="1"/>
  <c r="M279" i="1"/>
  <c r="O278" i="1" a="1"/>
  <c r="O278" i="1" s="1"/>
  <c r="N278" i="1"/>
  <c r="M278" i="1"/>
  <c r="O277" i="1" a="1"/>
  <c r="O277" i="1" s="1"/>
  <c r="N277" i="1"/>
  <c r="M277" i="1"/>
  <c r="O276" i="1" a="1"/>
  <c r="O276" i="1" s="1"/>
  <c r="N276" i="1"/>
  <c r="M276" i="1"/>
  <c r="O275" i="1" a="1"/>
  <c r="O275" i="1" s="1"/>
  <c r="N275" i="1"/>
  <c r="M275" i="1"/>
  <c r="O274" i="1" a="1"/>
  <c r="O274" i="1" s="1"/>
  <c r="N274" i="1"/>
  <c r="M274" i="1"/>
  <c r="O273" i="1" a="1"/>
  <c r="O273" i="1" s="1"/>
  <c r="N273" i="1"/>
  <c r="M273" i="1"/>
  <c r="O272" i="1" a="1"/>
  <c r="O272" i="1" s="1"/>
  <c r="N272" i="1"/>
  <c r="M272" i="1"/>
  <c r="O271" i="1" a="1"/>
  <c r="O271" i="1" s="1"/>
  <c r="N271" i="1"/>
  <c r="M271" i="1"/>
  <c r="O270" i="1" a="1"/>
  <c r="O270" i="1" s="1"/>
  <c r="N270" i="1"/>
  <c r="M270" i="1"/>
  <c r="O269" i="1" a="1"/>
  <c r="O269" i="1" s="1"/>
  <c r="N269" i="1"/>
  <c r="M269" i="1"/>
  <c r="O268" i="1" a="1"/>
  <c r="O268" i="1" s="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a="1"/>
  <c r="O262" i="1" s="1"/>
  <c r="N262" i="1"/>
  <c r="M262" i="1"/>
  <c r="O261" i="1" a="1"/>
  <c r="O261" i="1" s="1"/>
  <c r="N261" i="1"/>
  <c r="M261" i="1"/>
  <c r="O260" i="1" a="1"/>
  <c r="O260" i="1" s="1"/>
  <c r="N260" i="1"/>
  <c r="M260" i="1"/>
  <c r="O259" i="1" a="1"/>
  <c r="O259" i="1" s="1"/>
  <c r="N259" i="1"/>
  <c r="M259" i="1"/>
  <c r="O258" i="1" a="1"/>
  <c r="O258" i="1" s="1"/>
  <c r="N258" i="1"/>
  <c r="M258" i="1"/>
  <c r="O257" i="1" a="1"/>
  <c r="O257" i="1" s="1"/>
  <c r="N257" i="1"/>
  <c r="M257" i="1"/>
  <c r="O256" i="1" a="1"/>
  <c r="O256" i="1" s="1"/>
  <c r="N256" i="1"/>
  <c r="M256" i="1"/>
  <c r="O255" i="1" a="1"/>
  <c r="O255" i="1" s="1"/>
  <c r="N255" i="1"/>
  <c r="M255" i="1"/>
  <c r="O254" i="1" a="1"/>
  <c r="O254" i="1" s="1"/>
  <c r="N254" i="1"/>
  <c r="M254" i="1"/>
  <c r="O253" i="1" a="1"/>
  <c r="O253" i="1" s="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a="1"/>
  <c r="O237" i="1" s="1"/>
  <c r="N237" i="1"/>
  <c r="M237" i="1"/>
  <c r="O236" i="1" a="1"/>
  <c r="O236" i="1" s="1"/>
  <c r="N236" i="1"/>
  <c r="M236" i="1"/>
  <c r="O235" i="1" a="1"/>
  <c r="O235" i="1" s="1"/>
  <c r="N235" i="1"/>
  <c r="M235" i="1"/>
  <c r="O234" i="1" a="1"/>
  <c r="O234" i="1" s="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a="1"/>
  <c r="O220" i="1" s="1"/>
  <c r="N220" i="1"/>
  <c r="M220" i="1"/>
  <c r="O219" i="1" a="1"/>
  <c r="O219" i="1" s="1"/>
  <c r="N219" i="1"/>
  <c r="M219" i="1"/>
  <c r="O218" i="1" a="1"/>
  <c r="O218" i="1" s="1"/>
  <c r="N218" i="1"/>
  <c r="M218" i="1"/>
  <c r="O217" i="1" a="1"/>
  <c r="O217" i="1" s="1"/>
  <c r="N217" i="1"/>
  <c r="M217" i="1"/>
  <c r="O216" i="1" a="1"/>
  <c r="O216" i="1" s="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a="1"/>
  <c r="O205" i="1" s="1"/>
  <c r="N205" i="1"/>
  <c r="M205" i="1"/>
  <c r="O204" i="1" a="1"/>
  <c r="O204" i="1" s="1"/>
  <c r="N204" i="1"/>
  <c r="M204" i="1"/>
  <c r="O203" i="1" a="1"/>
  <c r="O203" i="1" s="1"/>
  <c r="N203" i="1"/>
  <c r="M203" i="1"/>
  <c r="O202" i="1" a="1"/>
  <c r="O202" i="1" s="1"/>
  <c r="N202" i="1"/>
  <c r="M202" i="1"/>
  <c r="O201" i="1" a="1"/>
  <c r="O201" i="1" s="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a="1"/>
  <c r="O195" i="1" s="1"/>
  <c r="N195" i="1"/>
  <c r="M195" i="1"/>
  <c r="O194" i="1" a="1"/>
  <c r="O194" i="1" s="1"/>
  <c r="N194" i="1"/>
  <c r="M194" i="1"/>
  <c r="O193" i="1" a="1"/>
  <c r="O193" i="1" s="1"/>
  <c r="N193" i="1"/>
  <c r="M193" i="1"/>
  <c r="O192" i="1" a="1"/>
  <c r="O192" i="1" s="1"/>
  <c r="N192" i="1"/>
  <c r="M192" i="1"/>
  <c r="O191" i="1" a="1"/>
  <c r="O191" i="1" s="1"/>
  <c r="N191" i="1"/>
  <c r="M191" i="1"/>
  <c r="O190" i="1" a="1"/>
  <c r="O190" i="1" s="1"/>
  <c r="N190" i="1"/>
  <c r="M190" i="1"/>
  <c r="O189" i="1" a="1"/>
  <c r="O189" i="1" s="1"/>
  <c r="N189" i="1"/>
  <c r="M189" i="1"/>
  <c r="O188" i="1" a="1"/>
  <c r="O188" i="1" s="1"/>
  <c r="N188" i="1"/>
  <c r="M188" i="1"/>
  <c r="O187" i="1" a="1"/>
  <c r="O187" i="1" s="1"/>
  <c r="N187" i="1"/>
  <c r="M187" i="1"/>
  <c r="O186" i="1" a="1"/>
  <c r="O186" i="1" s="1"/>
  <c r="N186" i="1"/>
  <c r="M186" i="1"/>
  <c r="O185" i="1" a="1"/>
  <c r="O185" i="1" s="1"/>
  <c r="N185" i="1"/>
  <c r="M185" i="1"/>
  <c r="O184" i="1" a="1"/>
  <c r="O184" i="1" s="1"/>
  <c r="N184" i="1"/>
  <c r="M184" i="1"/>
  <c r="O183" i="1" a="1"/>
  <c r="O183" i="1" s="1"/>
  <c r="N183" i="1"/>
  <c r="M183" i="1"/>
  <c r="O182" i="1" a="1"/>
  <c r="O182" i="1" s="1"/>
  <c r="N182" i="1"/>
  <c r="M182" i="1"/>
  <c r="O181" i="1" a="1"/>
  <c r="O181" i="1" s="1"/>
  <c r="N181" i="1"/>
  <c r="M181" i="1"/>
  <c r="O180" i="1" a="1"/>
  <c r="O180" i="1" s="1"/>
  <c r="N180" i="1"/>
  <c r="M180" i="1"/>
  <c r="O179" i="1" a="1"/>
  <c r="O179" i="1" s="1"/>
  <c r="N179" i="1"/>
  <c r="M179" i="1"/>
  <c r="O178" i="1" a="1"/>
  <c r="O178" i="1" s="1"/>
  <c r="N178" i="1"/>
  <c r="M178" i="1"/>
  <c r="O177" i="1" a="1"/>
  <c r="O177" i="1" s="1"/>
  <c r="N177" i="1"/>
  <c r="M177" i="1"/>
  <c r="O176" i="1" a="1"/>
  <c r="O176" i="1" s="1"/>
  <c r="N176" i="1"/>
  <c r="M176" i="1"/>
  <c r="O175" i="1" a="1"/>
  <c r="O175" i="1" s="1"/>
  <c r="N175" i="1"/>
  <c r="M175" i="1"/>
  <c r="O174" i="1" a="1"/>
  <c r="O174" i="1" s="1"/>
  <c r="N174" i="1"/>
  <c r="M174" i="1"/>
  <c r="O173" i="1" a="1"/>
  <c r="O173" i="1" s="1"/>
  <c r="N173" i="1"/>
  <c r="M173" i="1"/>
  <c r="O172" i="1" a="1"/>
  <c r="O172" i="1" s="1"/>
  <c r="N172" i="1"/>
  <c r="M172" i="1"/>
  <c r="O171" i="1" a="1"/>
  <c r="O171" i="1" s="1"/>
  <c r="N171" i="1"/>
  <c r="M171" i="1"/>
  <c r="O170" i="1" a="1"/>
  <c r="O170" i="1" s="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a="1"/>
  <c r="O162" i="1" s="1"/>
  <c r="N162" i="1"/>
  <c r="M162" i="1"/>
  <c r="O161" i="1" a="1"/>
  <c r="O161" i="1" s="1"/>
  <c r="N161" i="1"/>
  <c r="M161" i="1"/>
  <c r="O160" i="1" a="1"/>
  <c r="O160" i="1" s="1"/>
  <c r="N160" i="1"/>
  <c r="M160" i="1"/>
  <c r="O159" i="1" a="1"/>
  <c r="O159" i="1" s="1"/>
  <c r="N159" i="1"/>
  <c r="M159" i="1"/>
  <c r="O158" i="1" a="1"/>
  <c r="O158" i="1" s="1"/>
  <c r="N158" i="1"/>
  <c r="M158" i="1"/>
  <c r="O157" i="1" a="1"/>
  <c r="O157" i="1" s="1"/>
  <c r="N157" i="1"/>
  <c r="M157" i="1"/>
  <c r="O156" i="1" a="1"/>
  <c r="O156" i="1" s="1"/>
  <c r="N156" i="1"/>
  <c r="M156" i="1"/>
  <c r="O155" i="1" a="1"/>
  <c r="O155" i="1" s="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a="1"/>
  <c r="O142" i="1" s="1"/>
  <c r="N142" i="1"/>
  <c r="M142" i="1"/>
  <c r="O141" i="1" a="1"/>
  <c r="O141" i="1" s="1"/>
  <c r="N141" i="1"/>
  <c r="M141" i="1"/>
  <c r="O140" i="1" a="1"/>
  <c r="O140" i="1" s="1"/>
  <c r="N140" i="1"/>
  <c r="M140" i="1"/>
  <c r="O139" i="1" a="1"/>
  <c r="O139" i="1" s="1"/>
  <c r="N139" i="1"/>
  <c r="M139" i="1"/>
  <c r="O138" i="1" a="1"/>
  <c r="O138" i="1" s="1"/>
  <c r="N138" i="1"/>
  <c r="M138" i="1"/>
  <c r="O137" i="1" a="1"/>
  <c r="O137" i="1" s="1"/>
  <c r="N137" i="1"/>
  <c r="M137" i="1"/>
  <c r="O136" i="1" a="1"/>
  <c r="O136" i="1" s="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a="1"/>
  <c r="O127" i="1" s="1"/>
  <c r="N127" i="1"/>
  <c r="M127" i="1"/>
  <c r="O126" i="1" a="1"/>
  <c r="O126" i="1" s="1"/>
  <c r="N126" i="1"/>
  <c r="M126" i="1"/>
  <c r="O125" i="1" a="1"/>
  <c r="O125" i="1" s="1"/>
  <c r="N125" i="1"/>
  <c r="M125" i="1"/>
  <c r="O124" i="1" a="1"/>
  <c r="O124" i="1" s="1"/>
  <c r="N124" i="1"/>
  <c r="M124" i="1"/>
  <c r="O123" i="1" a="1"/>
  <c r="O123" i="1" s="1"/>
  <c r="N123" i="1"/>
  <c r="M123" i="1"/>
  <c r="O122" i="1" a="1"/>
  <c r="O122" i="1" s="1"/>
  <c r="N122" i="1"/>
  <c r="M122" i="1"/>
  <c r="O121" i="1" a="1"/>
  <c r="O121" i="1" s="1"/>
  <c r="N121" i="1"/>
  <c r="M121" i="1"/>
  <c r="O120" i="1" a="1"/>
  <c r="O120" i="1" s="1"/>
  <c r="N120" i="1"/>
  <c r="M120" i="1"/>
  <c r="O119" i="1" a="1"/>
  <c r="O119" i="1" s="1"/>
  <c r="N119" i="1"/>
  <c r="M119" i="1"/>
  <c r="O118" i="1" a="1"/>
  <c r="O118" i="1" s="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a="1"/>
  <c r="O107" i="1" s="1"/>
  <c r="N107" i="1"/>
  <c r="M107" i="1"/>
  <c r="O106" i="1" a="1"/>
  <c r="O106" i="1" s="1"/>
  <c r="N106" i="1"/>
  <c r="M106" i="1"/>
  <c r="O105" i="1" a="1"/>
  <c r="O105" i="1" s="1"/>
  <c r="N105" i="1"/>
  <c r="M105" i="1"/>
  <c r="O104" i="1" a="1"/>
  <c r="O104" i="1" s="1"/>
  <c r="N104" i="1"/>
  <c r="M104" i="1"/>
  <c r="O103" i="1" a="1"/>
  <c r="O103" i="1" s="1"/>
  <c r="N103" i="1"/>
  <c r="M103" i="1"/>
  <c r="O102" i="1" a="1"/>
  <c r="O102" i="1" s="1"/>
  <c r="N102" i="1"/>
  <c r="M102" i="1"/>
  <c r="O101" i="1" a="1"/>
  <c r="O101" i="1" s="1"/>
  <c r="N101" i="1"/>
  <c r="M101" i="1"/>
  <c r="O100" i="1" a="1"/>
  <c r="O100" i="1" s="1"/>
  <c r="N100" i="1"/>
  <c r="M100" i="1"/>
  <c r="O99" i="1" a="1"/>
  <c r="O99" i="1" s="1"/>
  <c r="N99" i="1"/>
  <c r="M99" i="1"/>
  <c r="O98" i="1" a="1"/>
  <c r="O98" i="1" s="1"/>
  <c r="N98" i="1"/>
  <c r="M98" i="1"/>
  <c r="O97" i="1" a="1"/>
  <c r="O97" i="1" s="1"/>
  <c r="N97" i="1"/>
  <c r="M97" i="1"/>
  <c r="O96" i="1" a="1"/>
  <c r="O96" i="1" s="1"/>
  <c r="N96" i="1"/>
  <c r="M96" i="1"/>
  <c r="O95" i="1" a="1"/>
  <c r="O95" i="1" s="1"/>
  <c r="N95" i="1"/>
  <c r="M95" i="1"/>
  <c r="O94" i="1" a="1"/>
  <c r="O94" i="1" s="1"/>
  <c r="N94" i="1"/>
  <c r="M94" i="1"/>
  <c r="O93" i="1" a="1"/>
  <c r="O93" i="1" s="1"/>
  <c r="N93" i="1"/>
  <c r="M93" i="1"/>
  <c r="O92" i="1" a="1"/>
  <c r="O92" i="1" s="1"/>
  <c r="N92" i="1"/>
  <c r="M92" i="1"/>
  <c r="O91" i="1" a="1"/>
  <c r="O91" i="1" s="1"/>
  <c r="N91" i="1"/>
  <c r="M91" i="1"/>
  <c r="O90" i="1" a="1"/>
  <c r="O90" i="1" s="1"/>
  <c r="N90" i="1"/>
  <c r="M90" i="1"/>
  <c r="O89" i="1" a="1"/>
  <c r="O89" i="1" s="1"/>
  <c r="N89" i="1"/>
  <c r="M89" i="1"/>
  <c r="O88" i="1" a="1"/>
  <c r="O88" i="1" s="1"/>
  <c r="N88" i="1"/>
  <c r="M88" i="1"/>
  <c r="O87" i="1" a="1"/>
  <c r="O87" i="1" s="1"/>
  <c r="N87" i="1"/>
  <c r="M87" i="1"/>
  <c r="O86" i="1" a="1"/>
  <c r="O86" i="1" s="1"/>
  <c r="N86" i="1"/>
  <c r="M86" i="1"/>
  <c r="O85" i="1" a="1"/>
  <c r="O85" i="1" s="1"/>
  <c r="N85" i="1"/>
  <c r="M85" i="1"/>
  <c r="O84" i="1" a="1"/>
  <c r="O84" i="1" s="1"/>
  <c r="N84" i="1"/>
  <c r="M84" i="1"/>
  <c r="O83" i="1" a="1"/>
  <c r="O83" i="1" s="1"/>
  <c r="N83" i="1"/>
  <c r="M83" i="1"/>
  <c r="O82" i="1" a="1"/>
  <c r="O82" i="1" s="1"/>
  <c r="N82" i="1"/>
  <c r="M82" i="1"/>
  <c r="O81" i="1" a="1"/>
  <c r="O81" i="1" s="1"/>
  <c r="N81" i="1"/>
  <c r="M81" i="1"/>
  <c r="O80" i="1" a="1"/>
  <c r="O80" i="1" s="1"/>
  <c r="N80" i="1"/>
  <c r="M80" i="1"/>
  <c r="O79" i="1" a="1"/>
  <c r="O79" i="1" s="1"/>
  <c r="N79" i="1"/>
  <c r="M79" i="1"/>
  <c r="O78" i="1" a="1"/>
  <c r="O78" i="1" s="1"/>
  <c r="N78" i="1"/>
  <c r="M78" i="1"/>
  <c r="O77" i="1" a="1"/>
  <c r="O77" i="1" s="1"/>
  <c r="N77" i="1"/>
  <c r="M77" i="1"/>
  <c r="O76" i="1" a="1"/>
  <c r="O76" i="1" s="1"/>
  <c r="N76" i="1"/>
  <c r="M76" i="1"/>
  <c r="O75" i="1" a="1"/>
  <c r="O75" i="1" s="1"/>
  <c r="N75" i="1"/>
  <c r="M75" i="1"/>
  <c r="O74" i="1" a="1"/>
  <c r="O74" i="1" s="1"/>
  <c r="N74" i="1"/>
  <c r="M74" i="1"/>
  <c r="O73" i="1" a="1"/>
  <c r="O73" i="1" s="1"/>
  <c r="N73" i="1"/>
  <c r="M73" i="1"/>
  <c r="O72" i="1" a="1"/>
  <c r="O72" i="1" s="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a="1"/>
  <c r="O64" i="1" s="1"/>
  <c r="N64" i="1"/>
  <c r="M64" i="1"/>
  <c r="O63" i="1" a="1"/>
  <c r="O63" i="1" s="1"/>
  <c r="N63" i="1"/>
  <c r="M63" i="1"/>
  <c r="O62" i="1" a="1"/>
  <c r="O62" i="1" s="1"/>
  <c r="N62" i="1"/>
  <c r="M62" i="1"/>
  <c r="O61" i="1" a="1"/>
  <c r="O61" i="1" s="1"/>
  <c r="N61" i="1"/>
  <c r="M61" i="1"/>
  <c r="O60" i="1" a="1"/>
  <c r="O60" i="1" s="1"/>
  <c r="N60" i="1"/>
  <c r="M60" i="1"/>
  <c r="O59" i="1" a="1"/>
  <c r="O59" i="1" s="1"/>
  <c r="N59" i="1"/>
  <c r="M59" i="1"/>
  <c r="O58" i="1" a="1"/>
  <c r="O58" i="1" s="1"/>
  <c r="N58" i="1"/>
  <c r="M58" i="1"/>
  <c r="O57" i="1" a="1"/>
  <c r="O57" i="1" s="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a="1"/>
  <c r="O44" i="1" s="1"/>
  <c r="N44" i="1"/>
  <c r="M44" i="1"/>
  <c r="O43" i="1" a="1"/>
  <c r="O43" i="1" s="1"/>
  <c r="N43" i="1"/>
  <c r="M43" i="1"/>
  <c r="O42" i="1" a="1"/>
  <c r="O42" i="1" s="1"/>
  <c r="N42" i="1"/>
  <c r="M42" i="1"/>
  <c r="O41" i="1" a="1"/>
  <c r="O41" i="1" s="1"/>
  <c r="N41" i="1"/>
  <c r="M41" i="1"/>
  <c r="O40" i="1" a="1"/>
  <c r="O40" i="1" s="1"/>
  <c r="N40" i="1"/>
  <c r="M40" i="1"/>
  <c r="O39" i="1" a="1"/>
  <c r="O39" i="1" s="1"/>
  <c r="N39" i="1"/>
  <c r="M39" i="1"/>
  <c r="O38" i="1" a="1"/>
  <c r="O38" i="1" s="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a="1"/>
  <c r="O29" i="1" s="1"/>
  <c r="N29" i="1"/>
  <c r="M29" i="1"/>
  <c r="O28" i="1" a="1"/>
  <c r="O28" i="1" s="1"/>
  <c r="N28" i="1"/>
  <c r="M28" i="1"/>
  <c r="O27" i="1" a="1"/>
  <c r="O27" i="1" s="1"/>
  <c r="N27" i="1"/>
  <c r="M27" i="1"/>
  <c r="O26" i="1" a="1"/>
  <c r="O26" i="1" s="1"/>
  <c r="N26" i="1"/>
  <c r="M26" i="1"/>
  <c r="O25" i="1" a="1"/>
  <c r="O25" i="1" s="1"/>
  <c r="N25" i="1"/>
  <c r="M25" i="1"/>
  <c r="O24" i="1" a="1"/>
  <c r="O24" i="1" s="1"/>
  <c r="N24" i="1"/>
  <c r="M24" i="1"/>
  <c r="O23" i="1" a="1"/>
  <c r="O23" i="1" s="1"/>
  <c r="N23" i="1"/>
  <c r="M23" i="1"/>
  <c r="O22" i="1" a="1"/>
  <c r="O22" i="1" s="1"/>
  <c r="N22" i="1"/>
  <c r="M22" i="1"/>
  <c r="O21" i="1" a="1"/>
  <c r="O21" i="1" s="1"/>
  <c r="N21" i="1"/>
  <c r="M21" i="1"/>
  <c r="O20" i="1" a="1"/>
  <c r="O20" i="1" s="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a="1"/>
  <c r="O9" i="1" s="1"/>
  <c r="N9" i="1"/>
  <c r="M9" i="1"/>
  <c r="O8" i="1" a="1"/>
  <c r="O8" i="1" s="1"/>
  <c r="N8" i="1"/>
  <c r="M8" i="1"/>
  <c r="O7" i="1" a="1"/>
  <c r="O7" i="1" s="1"/>
  <c r="N7" i="1"/>
  <c r="M7" i="1"/>
  <c r="O6" i="1" a="1"/>
  <c r="O6" i="1" s="1"/>
  <c r="N6" i="1"/>
  <c r="M6" i="1"/>
  <c r="O5" i="1" a="1"/>
  <c r="O5" i="1" s="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<sst xmlns="http://schemas.openxmlformats.org/spreadsheetml/2006/main" count="14873" uniqueCount="2543">
  <si>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</si>
  <si>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</si>
  <si>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</si>
  <si>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</si>
  <si>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</si>
  <si>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</si>
  <si>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</si>
  <si>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</si>
  <si>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</si>
  <si>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</si>
  <si>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</si>
  <si>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</si>
  <si>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</si>
  <si>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</si>
  <si>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</si>
  <si>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</si>
  <si>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</si>
  <si>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</si>
  <si>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</si>
  <si>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</si>
  <si>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</si>
  <si>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</si>
  <si>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</si>
  <si>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</si>
  <si>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</si>
  <si>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</si>
  <si>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</si>
  <si>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</si>
  <si>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</si>
  <si>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</si>
  <si>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</si>
  <si>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</si>
  <si>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</si>
  <si>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</si>
  <si>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</si>
  <si>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</si>
  <si>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</si>
  <si>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</si>
  <si>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</si>
  <si>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</si>
  <si>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</si>
  <si>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</si>
  <si>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</si>
  <si>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</si>
  <si>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</si>
  <si>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</si>
  <si>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</si>
  <si>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</si>
  <si>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</si>
  <si>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</si>
  <si>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</si>
  <si>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</si>
  <si>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</si>
  <si>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</si>
  <si>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</si>
  <si>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</si>
  <si>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</si>
  <si>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</si>
  <si>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</si>
  <si>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</si>
  <si>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</si>
  <si>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</si>
  <si>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</si>
  <si>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</si>
  <si>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</si>
  <si>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</si>
  <si>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</si>
  <si>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</si>
  <si>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</si>
  <si>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</si>
  <si>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</si>
  <si>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</si>
  <si>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</si>
  <si>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</si>
  <si>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</si>
  <si>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</si>
  <si>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</si>
  <si>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</si>
  <si>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</si>
  <si>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</si>
  <si>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</si>
  <si>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</si>
  <si>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</si>
  <si>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</si>
  <si>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</si>
  <si>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</si>
  <si>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</si>
  <si>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</si>
  <si>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</si>
  <si>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</si>
  <si>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</si>
  <si>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</si>
  <si>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</si>
  <si>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</si>
  <si>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</si>
  <si>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</si>
  <si>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</si>
  <si>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</si>
  <si>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</si>
  <si>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</si>
  <si>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</si>
  <si>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</si>
  <si>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</si>
  <si>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</si>
  <si>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</si>
  <si>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</si>
  <si>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</si>
  <si>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</si>
  <si>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</si>
  <si>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</si>
  <si>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</si>
  <si>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</si>
  <si>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</si>
  <si>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</si>
  <si>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</si>
  <si>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</si>
  <si>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</si>
  <si>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</si>
  <si>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</si>
  <si>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</si>
  <si>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</si>
  <si>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</si>
  <si>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</si>
  <si>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</si>
  <si>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</si>
  <si>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</si>
  <si>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</si>
  <si>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</si>
  <si>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</si>
  <si>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</si>
  <si>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</si>
  <si>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</si>
  <si>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</si>
  <si>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</si>
  <si>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</si>
  <si>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</si>
  <si>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</si>
  <si>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</si>
  <si>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</si>
  <si>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</si>
  <si>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</si>
  <si>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</si>
  <si>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</si>
  <si>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</si>
  <si>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</si>
  <si>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</si>
  <si>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</si>
  <si>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</si>
  <si>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</si>
  <si>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</si>
  <si>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</si>
  <si>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</si>
  <si>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</si>
  <si>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</si>
  <si>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</si>
  <si>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</si>
  <si>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</si>
  <si>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</si>
  <si>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</si>
  <si>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</si>
  <si>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</si>
  <si>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</si>
  <si>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</si>
  <si>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</si>
  <si>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</si>
  <si>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</si>
  <si>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</si>
  <si>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</si>
  <si>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</si>
  <si>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</si>
  <si>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</si>
  <si>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</si>
  <si>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</si>
  <si>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</si>
  <si>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</si>
  <si>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</si>
  <si>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</si>
  <si>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</si>
  <si>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</si>
  <si>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</si>
  <si>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</si>
  <si>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</si>
  <si>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</si>
  <si>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</si>
  <si>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</si>
  <si>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</si>
  <si>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</si>
  <si>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</si>
  <si>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</si>
  <si>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</si>
  <si>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</si>
  <si>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</si>
  <si>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</si>
  <si>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</si>
  <si>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</si>
  <si>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</si>
  <si>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</si>
  <si>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</si>
  <si>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</si>
  <si>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</si>
  <si>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</si>
  <si>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</si>
  <si>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</si>
  <si>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</si>
  <si>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</si>
  <si>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</si>
  <si>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</si>
  <si>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</si>
  <si>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</si>
  <si>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</si>
  <si>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</si>
  <si>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</si>
  <si>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</si>
  <si>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</si>
  <si>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</si>
  <si>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</si>
  <si>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</si>
  <si>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</si>
  <si>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</si>
  <si>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</si>
  <si>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</si>
  <si>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</si>
  <si>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</si>
  <si>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</si>
  <si>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</si>
  <si>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</si>
  <si>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</si>
  <si>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</si>
  <si>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</si>
  <si>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</si>
  <si>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</si>
  <si>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</si>
  <si>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</si>
  <si>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</si>
  <si>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</si>
  <si>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</si>
  <si>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</si>
  <si>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</si>
  <si>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</si>
  <si>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</si>
  <si>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</si>
  <si>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</si>
  <si>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</si>
  <si>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</si>
  <si>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</si>
  <si>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</si>
  <si>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</si>
  <si>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</si>
  <si>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</si>
  <si>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</si>
  <si>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</si>
  <si>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</si>
  <si>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</si>
  <si>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</si>
  <si>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</si>
  <si>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</si>
  <si>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</si>
  <si>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</si>
  <si>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</si>
  <si>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</si>
  <si>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</si>
  <si>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</si>
  <si>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</si>
  <si>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</si>
  <si>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</si>
  <si>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</si>
  <si>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</si>
  <si>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</si>
  <si>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</si>
  <si>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</si>
  <si>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</si>
  <si>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</si>
  <si>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</si>
  <si>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</si>
  <si>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</si>
  <si>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</si>
  <si>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</si>
  <si>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</si>
  <si>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</si>
  <si>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</si>
  <si>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</si>
  <si>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</si>
  <si>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</si>
  <si>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</si>
  <si>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</si>
  <si>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</si>
  <si>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</si>
  <si>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</si>
  <si>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</si>
  <si>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</si>
  <si>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</si>
  <si>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</si>
  <si>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</si>
  <si>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</si>
  <si>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</si>
  <si>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</si>
  <si>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</si>
  <si>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</si>
  <si>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</si>
  <si>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</si>
  <si>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</si>
  <si>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</si>
  <si>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</si>
  <si>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</si>
  <si>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</si>
  <si>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</si>
  <si>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</si>
  <si>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</si>
  <si>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</si>
  <si>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</si>
  <si>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</si>
  <si>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</si>
  <si>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</si>
  <si>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</si>
  <si>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</si>
  <si>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</si>
  <si>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</si>
  <si>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</si>
  <si>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</si>
  <si>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</si>
  <si>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</si>
  <si>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</si>
  <si>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</si>
  <si>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</si>
  <si>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</si>
  <si>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</si>
  <si>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</si>
  <si>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</si>
  <si>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</si>
  <si>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</si>
  <si>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</si>
  <si>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</si>
  <si>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</si>
  <si>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</si>
  <si>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</si>
  <si>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</si>
  <si>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</si>
  <si>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</si>
  <si>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</si>
  <si>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</si>
  <si>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</si>
  <si>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</si>
  <si>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</si>
  <si>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</si>
  <si>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</si>
  <si>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</si>
  <si>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</si>
  <si>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</si>
  <si>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</si>
  <si>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</si>
  <si>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</si>
  <si>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</si>
  <si>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</si>
  <si>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</si>
  <si>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</si>
  <si>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</si>
  <si>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</si>
  <si>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</si>
  <si>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</si>
  <si>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</si>
  <si>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</si>
  <si>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</si>
  <si>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</si>
  <si>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</si>
  <si>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</si>
  <si>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</si>
  <si>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</si>
  <si>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</si>
  <si>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</si>
  <si>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</si>
  <si>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</si>
  <si>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</si>
  <si>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</si>
  <si>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</si>
  <si>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</si>
  <si>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</si>
  <si>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</si>
  <si>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</si>
  <si>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</si>
  <si>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</si>
  <si>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</si>
  <si>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</si>
  <si>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</si>
  <si>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</si>
  <si>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</si>
  <si>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</si>
  <si>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</si>
  <si>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</si>
  <si>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</si>
  <si>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</si>
  <si>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</si>
  <si>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</si>
  <si>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</si>
  <si>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</si>
  <si>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</si>
  <si>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</si>
  <si>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</si>
  <si>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</si>
  <si>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</si>
  <si>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</si>
  <si>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</si>
  <si>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</si>
  <si>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</si>
  <si>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</si>
  <si>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</si>
  <si>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</si>
  <si>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</si>
  <si>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</si>
  <si>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</si>
  <si>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</si>
  <si>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</si>
  <si>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</si>
  <si>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</si>
  <si>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</si>
  <si>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</si>
  <si>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</si>
  <si>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</si>
  <si>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</si>
  <si>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</si>
  <si>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</si>
  <si>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</si>
  <si>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</si>
  <si>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</si>
  <si>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</si>
  <si>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</si>
  <si>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</si>
  <si>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</si>
  <si>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</si>
  <si>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</si>
  <si>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</si>
  <si>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</si>
  <si>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</si>
  <si>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</si>
  <si>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</si>
  <si>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</si>
  <si>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</si>
  <si>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</si>
  <si>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</si>
  <si>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</si>
  <si>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</si>
  <si>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</si>
  <si>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</si>
  <si>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</si>
  <si>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</si>
  <si>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</si>
  <si>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</si>
  <si>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</si>
  <si>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</si>
  <si>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</si>
  <si>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</si>
  <si>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</si>
  <si>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</si>
  <si>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</si>
  <si>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</si>
  <si>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</si>
  <si>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</si>
  <si>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</si>
  <si>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</si>
  <si>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</si>
  <si>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</si>
  <si>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</si>
  <si>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</si>
  <si>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</si>
  <si>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</si>
  <si>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</si>
  <si>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</si>
  <si>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</si>
  <si>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</si>
  <si>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</si>
  <si>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</si>
  <si>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</si>
  <si>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</si>
  <si>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</si>
  <si>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</si>
  <si>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</si>
  <si>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</si>
  <si>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</si>
  <si>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</si>
  <si>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</si>
  <si>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</si>
  <si>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</si>
  <si>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</si>
  <si>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</si>
  <si>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</si>
  <si>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</si>
  <si>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</si>
  <si>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</si>
  <si>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</si>
  <si>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</si>
  <si>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</si>
  <si>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</si>
  <si>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</si>
  <si>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</si>
  <si>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</si>
  <si>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</si>
  <si>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</si>
  <si>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</si>
  <si>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</si>
  <si>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</si>
  <si>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</si>
  <si>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</si>
  <si>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</si>
  <si>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</si>
  <si>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</si>
  <si>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</si>
  <si>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</si>
  <si>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</si>
  <si>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</si>
  <si>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</si>
  <si>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</si>
  <si>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</si>
  <si>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</si>
  <si>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</si>
  <si>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</si>
  <si>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</si>
  <si>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</si>
  <si>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</si>
  <si>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</si>
  <si>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</si>
  <si>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</si>
  <si>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</si>
  <si>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</si>
  <si>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</si>
  <si>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</si>
  <si>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</si>
  <si>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</si>
  <si>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</si>
  <si>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</si>
  <si>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</si>
  <si>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</si>
  <si>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</si>
  <si>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</si>
  <si>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</si>
  <si>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</si>
  <si>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</si>
  <si>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</si>
  <si>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</si>
  <si>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</si>
  <si>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</si>
  <si>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</si>
  <si>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</si>
  <si>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</si>
  <si>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</si>
  <si>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</si>
  <si>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</si>
  <si>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</si>
  <si>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</si>
  <si>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</si>
  <si>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</si>
  <si>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</si>
  <si>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</si>
  <si>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</si>
  <si>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</si>
  <si>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</si>
  <si>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</si>
  <si>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</si>
  <si>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</si>
  <si>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</si>
  <si>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</si>
  <si>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</si>
  <si>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</si>
  <si>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</si>
  <si>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</si>
  <si>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</si>
  <si>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</si>
  <si>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</si>
  <si>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</si>
  <si>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</si>
  <si>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</si>
  <si>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</si>
  <si>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</si>
  <si>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</si>
  <si>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</si>
  <si>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</si>
  <si>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</si>
  <si>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</si>
  <si>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</si>
  <si>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</si>
  <si>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</si>
  <si>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</si>
  <si>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</si>
  <si>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</si>
  <si>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</si>
  <si>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</si>
  <si>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</si>
  <si>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</si>
  <si>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</si>
  <si>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</si>
  <si>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</si>
  <si>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</si>
  <si>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</si>
  <si>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</si>
  <si>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</si>
  <si>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</si>
  <si>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</si>
  <si>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</si>
  <si>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</si>
  <si>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</si>
  <si>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</si>
  <si>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</si>
  <si>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</si>
  <si>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</si>
  <si>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</si>
  <si>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</si>
  <si>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</si>
  <si>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</si>
  <si>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</si>
  <si>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</si>
  <si>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</si>
  <si>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</si>
  <si>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</si>
  <si>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</si>
  <si>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</si>
  <si>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</si>
  <si>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</si>
  <si>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</si>
  <si>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</si>
  <si>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</si>
  <si>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</si>
  <si>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</si>
  <si>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</si>
  <si>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</si>
  <si>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</si>
  <si>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</si>
  <si>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</si>
  <si>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</si>
  <si>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</si>
  <si>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</si>
  <si>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</si>
  <si>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</si>
  <si>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</si>
  <si>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</si>
  <si>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</si>
  <si>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</si>
  <si>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</si>
  <si>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</si>
  <si>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</si>
  <si>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</si>
  <si>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</si>
  <si>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</si>
  <si>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</si>
  <si>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</si>
  <si>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</si>
  <si>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</si>
  <si>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</si>
  <si>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</si>
  <si>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</si>
  <si>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</si>
  <si>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</si>
  <si>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</si>
  <si>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</si>
  <si>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</si>
  <si>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</si>
  <si>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</si>
  <si>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</si>
  <si>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</si>
  <si>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</si>
  <si>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</si>
  <si>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</si>
  <si>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</si>
  <si>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</si>
  <si>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</si>
  <si>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</si>
  <si>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</si>
  <si>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</si>
  <si>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</si>
  <si>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</si>
  <si>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</si>
  <si>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</si>
  <si>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</si>
  <si>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</si>
  <si>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</si>
  <si>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</si>
  <si>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</si>
  <si>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</si>
  <si>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</si>
  <si>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</si>
  <si>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</si>
  <si>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</si>
  <si>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</si>
  <si>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</si>
  <si>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</si>
  <si>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</si>
  <si>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</si>
  <si>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</si>
  <si>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</si>
  <si>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</si>
  <si>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</si>
  <si>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</si>
  <si>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</si>
  <si>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</si>
  <si>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</si>
  <si>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</si>
  <si>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</si>
  <si>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</si>
  <si>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</si>
  <si>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</si>
  <si>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</si>
  <si>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</si>
  <si>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</si>
  <si>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</si>
  <si>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</si>
  <si>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</si>
  <si>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</si>
  <si>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</si>
  <si>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</si>
  <si>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</si>
  <si>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</si>
  <si>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</si>
  <si>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</si>
  <si>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</si>
  <si>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</si>
  <si>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</si>
  <si>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</si>
  <si>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</si>
  <si>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</si>
  <si>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</si>
  <si>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</si>
  <si>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</si>
  <si>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</si>
  <si>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</si>
  <si>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</si>
  <si>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</si>
  <si>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</si>
  <si>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</si>
  <si>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</si>
  <si>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</si>
  <si>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</si>
  <si>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</si>
  <si>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</si>
  <si>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</si>
  <si>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</si>
  <si>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</si>
  <si>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</si>
  <si>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</si>
  <si>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</si>
  <si>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</si>
  <si>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</si>
  <si>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</si>
  <si>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</si>
  <si>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</si>
  <si>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</si>
  <si>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</si>
  <si>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</si>
  <si>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</si>
  <si>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</si>
  <si>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</si>
  <si>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</si>
  <si>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</si>
  <si>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</si>
  <si>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</si>
  <si>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</si>
  <si>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</si>
  <si>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</si>
  <si>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</si>
  <si>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</si>
  <si>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</si>
  <si>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</si>
  <si>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</si>
  <si>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</si>
  <si>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</si>
  <si>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</si>
  <si>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</si>
  <si>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</si>
  <si>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</si>
  <si>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</si>
  <si>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</si>
  <si>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</si>
  <si>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</si>
  <si>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</si>
  <si>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</si>
  <si>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</si>
  <si>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</si>
  <si>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</si>
  <si>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</si>
  <si>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</si>
  <si>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</si>
  <si>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</si>
  <si>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</si>
  <si>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</si>
  <si>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</si>
  <si>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</si>
  <si>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</si>
  <si>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</si>
  <si>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</si>
  <si>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</si>
  <si>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</si>
  <si>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</si>
  <si>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</si>
  <si>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</si>
  <si>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</si>
  <si>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</si>
  <si>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</si>
  <si>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</si>
  <si>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</si>
  <si>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</si>
  <si>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</si>
  <si>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</si>
  <si>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</si>
  <si>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</si>
  <si>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</si>
  <si>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</si>
  <si>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</si>
  <si>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</si>
  <si>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</si>
  <si>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</si>
  <si>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</si>
  <si>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</si>
  <si>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</si>
  <si>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</si>
  <si>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</si>
  <si>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</si>
  <si>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</si>
  <si>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</si>
  <si>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</si>
  <si>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</si>
  <si>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</si>
  <si>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</si>
  <si>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</si>
  <si>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</si>
  <si>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</si>
  <si>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</si>
  <si>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</si>
  <si>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</si>
  <si>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</si>
  <si>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</si>
  <si>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</si>
  <si>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</si>
  <si>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</si>
  <si>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</si>
  <si>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</si>
  <si>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</si>
  <si>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</si>
  <si>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</si>
  <si>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</si>
  <si>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</si>
  <si>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</si>
  <si>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</si>
  <si>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</si>
  <si>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</si>
  <si>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</si>
  <si>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</si>
  <si>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</si>
  <si>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</si>
  <si>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</si>
  <si>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</si>
  <si>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</si>
  <si>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</si>
  <si>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</si>
  <si>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</si>
  <si>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</si>
  <si>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</si>
  <si>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</si>
  <si>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</si>
  <si>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</si>
  <si>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</si>
  <si>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</si>
  <si>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</si>
  <si>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</si>
  <si>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</si>
  <si>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</si>
  <si>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</si>
  <si>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</si>
  <si>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</si>
  <si>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</si>
  <si>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</si>
  <si>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</si>
  <si>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</si>
  <si>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</si>
  <si>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</si>
  <si>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</si>
  <si>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</si>
  <si>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</si>
  <si>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</si>
  <si>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</si>
  <si>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</si>
  <si>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</si>
  <si>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</si>
  <si>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</si>
  <si>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</si>
  <si>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</si>
  <si>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</si>
  <si>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</si>
  <si>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</si>
  <si>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</si>
  <si>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</si>
  <si>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</si>
  <si>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</si>
  <si>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</si>
  <si>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</si>
  <si>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</si>
  <si>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</si>
  <si>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</si>
  <si>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</si>
  <si>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</si>
  <si>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</si>
  <si>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</si>
  <si>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</si>
  <si>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</si>
  <si>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</si>
  <si>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</si>
  <si>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</si>
  <si>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</si>
  <si>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</si>
  <si>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</si>
  <si>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</si>
  <si>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</si>
  <si>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</si>
  <si>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</si>
  <si>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</si>
  <si>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</si>
  <si>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</si>
  <si>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</si>
  <si>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</si>
  <si>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</si>
  <si>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</si>
  <si>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</si>
  <si>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</si>
  <si>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</si>
  <si>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</si>
  <si>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</si>
  <si>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</si>
  <si>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</si>
  <si>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</si>
  <si>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</si>
  <si>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</si>
  <si>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</si>
  <si>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</si>
  <si>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</si>
  <si>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</si>
  <si>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</si>
  <si>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</si>
  <si>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</si>
  <si>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</si>
  <si>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</si>
  <si>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</si>
  <si>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</si>
  <si>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</si>
  <si>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</si>
  <si>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</si>
  <si>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</si>
  <si>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</si>
  <si>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</si>
  <si>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</si>
  <si>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</si>
  <si>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</si>
  <si>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</si>
  <si>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</si>
  <si>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</si>
  <si>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</si>
  <si>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</si>
  <si>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</si>
  <si>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</si>
  <si>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</si>
  <si>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</si>
  <si>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</si>
  <si>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</si>
  <si>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</si>
  <si>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</si>
  <si>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</si>
  <si>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</si>
  <si>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</si>
  <si>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</si>
  <si>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</si>
  <si>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</si>
  <si>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</si>
  <si>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</si>
  <si>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</si>
  <si>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</si>
  <si>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</si>
  <si>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</si>
  <si>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</si>
  <si>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</si>
  <si>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</si>
  <si>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</si>
  <si>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</si>
  <si>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</si>
  <si>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</si>
  <si>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</si>
  <si>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</si>
  <si>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</si>
  <si>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</si>
  <si>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</si>
  <si>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</si>
  <si>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</si>
  <si>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</si>
  <si>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</si>
  <si>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</si>
  <si>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</si>
  <si>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</si>
  <si>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</si>
  <si>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</si>
  <si>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</si>
  <si>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</si>
  <si>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</si>
  <si>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</si>
  <si>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</si>
  <si>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</si>
  <si>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</si>
  <si>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</si>
  <si>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</si>
  <si>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</si>
  <si>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</si>
  <si>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</si>
  <si>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</si>
  <si>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</si>
  <si>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</si>
  <si>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</si>
  <si>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</si>
  <si>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</si>
  <si>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</si>
  <si>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</si>
  <si>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</si>
  <si>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</si>
  <si>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</si>
  <si>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</si>
  <si>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</si>
  <si>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</si>
  <si>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</si>
  <si>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</si>
  <si>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</si>
  <si>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</si>
  <si>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</si>
  <si>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</si>
  <si>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</si>
  <si>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</si>
  <si>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</si>
  <si>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</si>
  <si>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</si>
  <si>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</si>
  <si>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</si>
  <si>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</si>
  <si>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</si>
  <si>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</si>
  <si>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</si>
  <si>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</si>
  <si>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</si>
  <si>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</si>
  <si>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</si>
  <si>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</si>
  <si>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</si>
  <si>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</si>
  <si>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</si>
  <si>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</si>
  <si>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</si>
  <si>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</si>
  <si>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</si>
  <si>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</si>
  <si>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</si>
  <si>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</si>
  <si>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</si>
  <si>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</si>
  <si>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</si>
  <si>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</si>
  <si>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</si>
  <si>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</si>
  <si>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</si>
  <si>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</si>
  <si>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</si>
  <si>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</si>
  <si>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</si>
  <si>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</si>
  <si>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</si>
  <si>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</si>
  <si>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</si>
  <si>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</si>
  <si>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</si>
  <si>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</si>
  <si>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</si>
  <si>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</si>
  <si>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</si>
  <si>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</si>
  <si>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</si>
  <si>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</si>
  <si>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</si>
  <si>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</si>
  <si>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</si>
  <si>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</si>
  <si>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</si>
  <si>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</si>
  <si>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</si>
  <si>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</si>
  <si>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</si>
  <si>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</si>
  <si>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</si>
  <si>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</si>
  <si>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</si>
  <si>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</si>
  <si>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</si>
  <si>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</si>
  <si>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</si>
  <si>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</si>
  <si>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</si>
  <si>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</si>
  <si>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</si>
  <si>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</si>
  <si>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</si>
  <si>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</si>
  <si>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</si>
  <si>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</si>
  <si>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</si>
  <si>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</si>
  <si>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</si>
  <si>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</si>
  <si>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</si>
  <si>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</si>
  <si>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</si>
  <si>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</si>
  <si>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</si>
  <si>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</si>
  <si>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</si>
  <si>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</si>
  <si>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</si>
  <si>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</si>
  <si>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</si>
  <si>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</si>
  <si>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</si>
  <si>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</si>
  <si>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</si>
  <si>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</si>
  <si>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</si>
  <si>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</si>
  <si>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</si>
  <si>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</si>
  <si>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</si>
  <si>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</si>
  <si>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</si>
  <si>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</si>
  <si>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</si>
  <si>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</si>
  <si>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</si>
  <si>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</si>
  <si>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</si>
  <si>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</si>
  <si>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</si>
  <si>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</si>
  <si>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</si>
  <si>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</si>
  <si>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</si>
  <si>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</si>
  <si>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</si>
  <si>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</si>
  <si>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</si>
  <si>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</si>
  <si>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</si>
  <si>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</si>
  <si>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</si>
  <si>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</si>
  <si>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</si>
  <si>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</si>
  <si>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</si>
  <si>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</si>
  <si>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</si>
  <si>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</si>
  <si>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</si>
  <si>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</si>
  <si>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</si>
  <si>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</si>
  <si>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</si>
  <si>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</si>
  <si>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</si>
  <si>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</si>
  <si>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</si>
  <si>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</si>
  <si>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</si>
  <si>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</si>
  <si>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</si>
  <si>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</si>
  <si>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</si>
  <si>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</si>
  <si>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</si>
  <si>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</si>
  <si>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</si>
  <si>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</si>
  <si>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</si>
  <si>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</si>
  <si>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</si>
  <si>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</si>
  <si>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</si>
  <si>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</si>
  <si>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</si>
  <si>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</si>
  <si>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</si>
  <si>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</si>
  <si>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</si>
  <si>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</si>
  <si>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</si>
  <si>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</si>
  <si>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</si>
  <si>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</si>
  <si>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</si>
  <si>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</si>
  <si>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</si>
  <si>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</si>
  <si>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</si>
  <si>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</si>
  <si>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</si>
  <si>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</si>
  <si>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</si>
  <si>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</si>
  <si>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</si>
  <si>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</si>
  <si>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</si>
  <si>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</si>
  <si>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</si>
  <si>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</si>
  <si>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</si>
  <si>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</si>
  <si>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</si>
  <si>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</si>
  <si>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</si>
  <si>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</si>
  <si>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</si>
  <si>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</si>
  <si>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</si>
  <si>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</si>
  <si>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</si>
  <si>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</si>
  <si>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</si>
  <si>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</si>
  <si>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</si>
  <si>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</si>
  <si>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</si>
  <si>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</si>
  <si>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</si>
  <si>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</si>
  <si>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</si>
  <si>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</si>
  <si>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</si>
  <si>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</si>
  <si>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</si>
  <si>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</si>
  <si>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</si>
  <si>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</si>
  <si>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</si>
  <si>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</si>
  <si>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</si>
  <si>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</si>
  <si>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</si>
  <si>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</si>
  <si>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</si>
  <si>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</si>
  <si>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</si>
  <si>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</si>
  <si>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</si>
  <si>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</si>
  <si>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</si>
  <si>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</si>
  <si>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</si>
  <si>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</si>
  <si>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</si>
  <si>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</si>
  <si>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</si>
  <si>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</si>
  <si>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</si>
  <si>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</si>
  <si>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</si>
  <si>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</si>
  <si>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</si>
  <si>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</si>
  <si>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</si>
  <si>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</si>
  <si>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</si>
  <si>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</si>
  <si>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</si>
  <si>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</si>
  <si>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</si>
  <si>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</si>
  <si>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</si>
  <si>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</si>
  <si>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</si>
  <si>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</si>
  <si>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</si>
  <si>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</si>
  <si>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</si>
  <si>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</si>
  <si>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</si>
  <si>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</si>
  <si>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</si>
  <si>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</si>
  <si>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</si>
  <si>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</si>
  <si>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</si>
  <si>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</si>
  <si>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</si>
  <si>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</si>
  <si>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</si>
  <si>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</si>
  <si>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</si>
  <si>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</si>
  <si>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</si>
  <si>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</si>
  <si>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</si>
  <si>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</si>
  <si>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</si>
  <si>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</si>
  <si>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</si>
  <si>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</si>
  <si>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</si>
  <si>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</si>
  <si>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</si>
  <si>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</si>
  <si>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</si>
  <si>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</si>
  <si>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</si>
  <si>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</si>
  <si>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</si>
  <si>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</si>
  <si>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</si>
  <si>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</si>
  <si>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</si>
  <si>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</si>
  <si>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</si>
  <si>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</si>
  <si>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</si>
  <si>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</si>
  <si>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</si>
  <si>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</si>
  <si>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</si>
  <si>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</si>
  <si>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</si>
  <si>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</si>
  <si>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</si>
  <si>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</si>
  <si>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</si>
  <si>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</si>
  <si>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</si>
  <si>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</si>
  <si>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</si>
  <si>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</si>
  <si>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</si>
  <si>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</si>
  <si>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</si>
  <si>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</si>
  <si>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</si>
  <si>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</si>
  <si>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</si>
  <si>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</si>
  <si>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</si>
  <si>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</si>
  <si>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</si>
  <si>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</si>
  <si>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</si>
  <si>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</si>
  <si>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</si>
  <si>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</si>
  <si>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</si>
  <si>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</si>
  <si>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</si>
  <si>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</si>
  <si>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</si>
  <si>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</si>
  <si>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</si>
  <si>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</si>
  <si>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</si>
  <si>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</si>
  <si>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</si>
  <si>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</si>
  <si>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</si>
  <si>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</si>
  <si>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</si>
  <si>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</si>
  <si>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</si>
  <si>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</si>
  <si>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</si>
  <si>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</si>
  <si>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</si>
  <si>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</si>
  <si>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</si>
  <si>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</si>
  <si>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</si>
  <si>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</si>
  <si>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</si>
  <si>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</si>
  <si>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</si>
  <si>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</si>
  <si>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</si>
  <si>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</si>
  <si>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</si>
  <si>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</si>
  <si>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</si>
  <si>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</si>
  <si>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</si>
  <si>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</si>
  <si>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</si>
  <si>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</si>
  <si>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</si>
  <si>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</si>
  <si>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</si>
  <si>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</si>
  <si>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</si>
  <si>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</si>
  <si>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</si>
  <si>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</si>
  <si>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</si>
  <si>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</si>
  <si>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</si>
  <si>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</si>
  <si>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</si>
  <si>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</si>
  <si>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</si>
  <si>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</si>
  <si>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</si>
  <si>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</si>
  <si>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</si>
  <si>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</si>
  <si>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</si>
  <si>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</si>
  <si>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</si>
  <si>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</si>
  <si>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</si>
  <si>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</si>
  <si>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</si>
  <si>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</si>
  <si>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</si>
  <si>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</si>
  <si>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</si>
  <si>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</si>
  <si>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</si>
  <si>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</si>
  <si>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</si>
  <si>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</si>
  <si>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</si>
  <si>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</si>
  <si>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</si>
  <si>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</si>
  <si>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</si>
  <si>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</si>
  <si>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</si>
  <si>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</si>
  <si>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</si>
  <si>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</si>
  <si>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</si>
  <si>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</si>
  <si>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</si>
  <si>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</si>
  <si>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</si>
  <si>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</si>
  <si>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</si>
  <si>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</si>
  <si>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</si>
  <si>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</si>
  <si>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</si>
  <si>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</si>
  <si>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</si>
  <si>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</si>
  <si>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</si>
  <si>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</si>
  <si>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</si>
  <si>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</si>
  <si>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</si>
  <si>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</si>
  <si>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</si>
  <si>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</si>
  <si>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</si>
  <si>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</si>
  <si>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</si>
  <si>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</si>
  <si>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</si>
  <si>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</si>
  <si>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</si>
  <si>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</si>
  <si>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</si>
  <si>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</si>
  <si>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</si>
  <si>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</si>
  <si>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</si>
  <si>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</si>
  <si>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</si>
  <si>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</si>
  <si>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</si>
  <si>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</si>
  <si>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</si>
  <si>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</si>
  <si>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</si>
  <si>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</si>
  <si>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</si>
  <si>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</si>
  <si>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</si>
  <si>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</si>
  <si>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</si>
  <si>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</si>
  <si>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</si>
  <si>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</si>
  <si>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</si>
  <si>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</si>
  <si>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</si>
  <si>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</si>
  <si>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</si>
  <si>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</si>
  <si>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</si>
  <si>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</si>
  <si>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</si>
  <si>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</si>
  <si>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</si>
  <si>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</si>
  <si>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</si>
  <si>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</si>
  <si>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</si>
  <si>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</si>
  <si>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</si>
  <si>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</si>
  <si>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</si>
  <si>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</si>
  <si>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</si>
  <si>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</si>
  <si>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</si>
  <si>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</si>
  <si>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</si>
  <si>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</si>
  <si>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</si>
  <si>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</si>
  <si>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</si>
  <si>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</si>
  <si>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</si>
  <si>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</si>
  <si>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</si>
  <si>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</si>
  <si>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</si>
  <si>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</si>
  <si>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</si>
  <si>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</si>
  <si>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</si>
  <si>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</si>
  <si>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</si>
  <si>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</si>
  <si>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</si>
  <si>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</si>
  <si>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</si>
  <si>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</si>
  <si>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</si>
  <si>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</si>
  <si>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</si>
  <si>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</si>
  <si>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</si>
  <si>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</si>
  <si>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</si>
  <si>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</si>
  <si>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</si>
  <si>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</si>
  <si>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</si>
  <si>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</si>
  <si>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</si>
  <si>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</si>
  <si>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</si>
  <si>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</si>
  <si>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</si>
  <si>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</si>
  <si>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</si>
  <si>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</si>
  <si>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</si>
  <si>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</si>
  <si>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</si>
  <si>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</si>
  <si>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</si>
  <si>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</si>
  <si>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</si>
  <si>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</si>
  <si>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</si>
  <si>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</si>
  <si>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</si>
  <si>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</si>
  <si>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</si>
  <si>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</si>
  <si>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</si>
  <si>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</si>
  <si>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</si>
  <si>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</si>
  <si>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</si>
  <si>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</si>
  <si>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</si>
  <si>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</si>
  <si>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</si>
  <si>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</si>
  <si>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</si>
  <si>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</si>
  <si>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</si>
  <si>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</si>
  <si>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</si>
  <si>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</si>
  <si>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</si>
  <si>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</si>
  <si>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</si>
  <si>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</si>
  <si>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</si>
  <si>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</si>
  <si>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</si>
  <si>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</si>
  <si>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</si>
  <si>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</si>
  <si>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</si>
  <si>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</si>
  <si>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</si>
  <si>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</si>
  <si>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</si>
  <si>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</si>
  <si>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</si>
  <si>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</si>
  <si>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</si>
  <si>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</si>
  <si>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</si>
  <si>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</si>
  <si>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</si>
  <si>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</si>
  <si>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</si>
  <si>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</si>
  <si>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</si>
  <si>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</si>
  <si>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</si>
  <si>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</si>
  <si>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</si>
  <si>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</si>
  <si>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</si>
  <si>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</si>
  <si>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</si>
  <si>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</si>
  <si>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</si>
  <si>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</si>
  <si>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</si>
  <si>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</si>
  <si>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</si>
  <si>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</si>
  <si>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</si>
  <si>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</si>
  <si>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</si>
  <si>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</si>
  <si>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</si>
  <si>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</si>
  <si>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</si>
  <si>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</si>
  <si>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</si>
  <si>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</si>
  <si>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</si>
  <si>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</si>
  <si>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</si>
  <si>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</si>
  <si>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</si>
  <si>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</si>
  <si>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</si>
  <si>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</si>
  <si>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</si>
  <si>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</si>
  <si>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</si>
  <si>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</si>
  <si>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</si>
  <si>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</si>
  <si>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</si>
  <si>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</si>
  <si>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</si>
  <si>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</si>
  <si>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</si>
  <si>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</si>
  <si>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</si>
  <si>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</si>
  <si>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</si>
  <si>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</si>
  <si>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</si>
  <si>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</si>
  <si>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</si>
  <si>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</si>
  <si>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</si>
  <si>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</si>
  <si>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</si>
  <si>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</si>
  <si>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</si>
  <si>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</si>
  <si>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</si>
  <si>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</si>
  <si>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</si>
  <si>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</si>
  <si>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</si>
  <si>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</si>
  <si>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</si>
  <si>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</si>
  <si>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</si>
  <si>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</si>
  <si>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</si>
  <si>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</si>
  <si>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</si>
  <si>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</si>
  <si>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</si>
  <si>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</si>
  <si>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</si>
  <si>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</si>
  <si>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</si>
  <si>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</si>
  <si>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</si>
  <si>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</si>
  <si>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</si>
  <si>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</si>
  <si>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</si>
  <si>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</si>
  <si>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</si>
  <si>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</si>
  <si>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</si>
  <si>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</si>
  <si>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</si>
  <si>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</si>
  <si>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</si>
  <si>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</si>
  <si>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</si>
  <si>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</si>
  <si>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</si>
  <si>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</si>
  <si>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</si>
  <si>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</si>
  <si>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</si>
  <si>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</si>
  <si>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</si>
  <si>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</si>
  <si>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</si>
  <si>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</si>
  <si>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</si>
  <si>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</si>
  <si>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</si>
  <si>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</si>
  <si>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</si>
  <si>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</si>
  <si>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</si>
  <si>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</si>
  <si>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</si>
  <si>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</si>
  <si>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</si>
  <si>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</si>
  <si>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</si>
  <si>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</si>
  <si>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</si>
  <si>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</si>
  <si>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</si>
  <si>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</si>
  <si>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</si>
  <si>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</si>
  <si>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</si>
  <si>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</si>
  <si>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</si>
  <si>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</si>
  <si>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</si>
  <si>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</si>
  <si>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</si>
  <si>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</si>
  <si>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</si>
  <si>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</si>
  <si>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</si>
  <si>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</si>
  <si>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</si>
  <si>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</si>
  <si>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</si>
  <si>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</si>
  <si>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</si>
  <si>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</si>
  <si>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</si>
  <si>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</si>
  <si>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</si>
  <si>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</si>
  <si>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</si>
  <si>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</si>
  <si>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</si>
  <si>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</si>
  <si>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</si>
  <si>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</si>
  <si>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</si>
  <si>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</si>
  <si>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</si>
  <si>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</si>
  <si>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</si>
  <si>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</si>
  <si>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</si>
  <si>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</si>
  <si>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</si>
  <si>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</si>
  <si>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</si>
  <si>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</si>
  <si>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</si>
  <si>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</si>
  <si>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</si>
  <si>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</si>
  <si>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</si>
  <si>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</si>
  <si>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</si>
  <si>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</si>
  <si>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</si>
  <si>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</si>
  <si>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</si>
  <si>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</si>
  <si>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</si>
  <si>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</si>
  <si>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</si>
  <si>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</si>
  <si>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</si>
  <si>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</si>
  <si>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</si>
  <si>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</si>
  <si>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</si>
  <si>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</si>
  <si>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</si>
  <si>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</si>
  <si>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</si>
  <si>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</si>
  <si>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</si>
  <si>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</si>
  <si>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</si>
  <si>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</si>
  <si>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</si>
  <si>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</si>
  <si>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</si>
  <si>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</si>
  <si>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</si>
  <si>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</si>
  <si>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</si>
  <si>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</si>
  <si>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</si>
  <si>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</si>
  <si>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</si>
  <si>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</si>
  <si>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</si>
  <si>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</si>
  <si>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</si>
  <si>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</si>
  <si>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</si>
  <si>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</si>
  <si>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</si>
  <si>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</si>
  <si>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</si>
  <si>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</si>
  <si>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</si>
  <si>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</si>
  <si>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</si>
  <si>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</si>
  <si>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</si>
  <si>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</si>
  <si>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</si>
  <si>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</si>
  <si>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</si>
  <si>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</si>
  <si>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</si>
  <si>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</si>
  <si>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</si>
  <si>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</si>
  <si>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</si>
  <si>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</si>
  <si>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</si>
  <si>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</si>
  <si>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</si>
  <si>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</si>
  <si>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</si>
  <si>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</si>
  <si>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</si>
  <si>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</si>
  <si>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</si>
  <si>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</si>
  <si>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</si>
  <si>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</si>
  <si>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</si>
  <si>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</si>
  <si>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</si>
  <si>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</si>
  <si>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</si>
  <si>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</si>
  <si>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</si>
  <si>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</si>
  <si>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</si>
  <si>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</si>
  <si>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</si>
  <si>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</si>
  <si>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</si>
  <si>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</si>
  <si>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</si>
  <si>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</si>
  <si>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</si>
  <si>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</si>
  <si>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</si>
  <si>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</si>
  <si>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</si>
  <si>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</si>
  <si>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</si>
  <si>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</si>
  <si>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</si>
  <si>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</si>
  <si>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</si>
  <si>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</si>
  <si>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</si>
  <si>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</si>
  <si>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</si>
  <si>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</si>
  <si>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</si>
  <si>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</si>
  <si>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</si>
  <si>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</si>
  <si>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</si>
  <si>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</si>
  <si>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</si>
  <si>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</si>
  <si>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</si>
  <si>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</si>
  <si>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</si>
  <si>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</si>
  <si>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</si>
  <si>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</si>
  <si>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</si>
  <si>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</si>
  <si>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</si>
  <si>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</si>
  <si>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</si>
  <si>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</si>
  <si>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</si>
  <si>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</si>
  <si>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</si>
  <si>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</si>
  <si>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</si>
  <si>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</si>
  <si>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</si>
  <si>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</si>
  <si>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</si>
  <si>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</si>
  <si>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</si>
  <si>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</si>
  <si>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</si>
  <si>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</si>
  <si>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</si>
  <si>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</si>
  <si>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</si>
  <si>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</si>
  <si>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</si>
  <si>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</si>
  <si>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</si>
  <si>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</si>
  <si>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</si>
  <si>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</si>
  <si>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</si>
  <si>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</si>
  <si>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</si>
  <si>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</si>
  <si>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</si>
  <si>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</si>
  <si>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</si>
  <si>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</si>
  <si>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</si>
  <si>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</si>
  <si>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</si>
  <si>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</si>
  <si>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</si>
  <si>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</si>
  <si>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</si>
  <si>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</si>
  <si>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</si>
  <si>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</si>
  <si>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</si>
  <si>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</si>
  <si>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</si>
  <si>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</si>
  <si>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</si>
  <si>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</si>
  <si>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</si>
  <si>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</si>
  <si>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</si>
  <si>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</si>
  <si>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</si>
  <si>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</si>
  <si>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</si>
  <si>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</si>
  <si>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</si>
  <si>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</si>
  <si>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</si>
  <si>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</si>
  <si>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</si>
  <si>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</si>
  <si>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</si>
  <si>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</si>
  <si>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</si>
  <si>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</si>
  <si>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</si>
  <si>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</si>
  <si>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</si>
  <si>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</si>
  <si>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</si>
  <si>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</si>
  <si>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</si>
  <si>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</si>
  <si>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</si>
  <si>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</si>
  <si>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</si>
  <si>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</si>
  <si>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</si>
  <si>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</si>
  <si>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</si>
  <si>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</si>
  <si>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</si>
  <si>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</si>
  <si>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</si>
  <si>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</si>
  <si>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</si>
  <si>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</si>
  <si>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</si>
  <si>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</si>
  <si>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</si>
  <si>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</si>
  <si>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</si>
  <si>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</si>
  <si>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</si>
  <si>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</si>
  <si>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</si>
  <si>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</si>
  <si>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</si>
  <si>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</si>
  <si>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</si>
  <si>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</si>
  <si>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</si>
  <si>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</si>
  <si>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</si>
  <si>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</si>
  <si>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</si>
  <si>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</si>
  <si>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</si>
  <si>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</si>
  <si>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</si>
  <si>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</si>
  <si>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</si>
  <si>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</si>
  <si>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</si>
  <si>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</si>
  <si>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</si>
  <si>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</si>
  <si>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</si>
  <si>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</si>
  <si>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</si>
  <si>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</si>
  <si>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</si>
  <si>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</si>
  <si>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</si>
  <si>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</si>
  <si>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</si>
  <si>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</si>
  <si>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</si>
  <si>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</si>
  <si>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</si>
  <si>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</si>
  <si>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</si>
  <si>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</si>
  <si>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</si>
  <si>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</si>
  <si>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</si>
  <si>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</si>
  <si>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</si>
  <si>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</si>
  <si>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</si>
  <si>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</si>
  <si>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</si>
  <si>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</si>
  <si>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</si>
  <si>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</si>
  <si>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</si>
  <si>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</si>
  <si>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</si>
  <si>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</si>
  <si>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</si>
  <si>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</si>
  <si>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</si>
  <si>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</si>
  <si>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</si>
  <si>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</si>
  <si>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</si>
  <si>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</si>
  <si>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</si>
  <si>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</si>
  <si>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</si>
  <si>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</si>
  <si>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</si>
  <si>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</si>
  <si>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</si>
  <si>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</si>
  <si>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</si>
  <si>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</si>
  <si>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</si>
  <si>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</si>
  <si>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</si>
  <si>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</si>
  <si>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</si>
  <si>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</si>
  <si>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</si>
  <si>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</si>
  <si>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</si>
  <si>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</si>
  <si>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</si>
  <si>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</si>
  <si>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</si>
  <si>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</si>
  <si>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</si>
  <si>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</si>
  <si>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</si>
  <si>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</si>
  <si>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</si>
  <si>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</si>
  <si>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</si>
  <si>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</si>
  <si>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</si>
  <si>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</si>
  <si>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</si>
  <si>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</si>
  <si>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</si>
  <si>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</si>
  <si>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</si>
  <si>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</si>
  <si>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</si>
  <si>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</si>
  <si>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</si>
  <si>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</si>
  <si>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</si>
  <si>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</si>
  <si>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</si>
  <si>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</si>
  <si>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</si>
  <si>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</si>
  <si>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</si>
  <si>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</si>
  <si>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</si>
  <si>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</si>
  <si>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</si>
  <si>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</si>
  <si>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</si>
  <si>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</si>
  <si>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</si>
  <si>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</si>
  <si>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</si>
  <si>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</si>
  <si>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</si>
  <si>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</si>
  <si>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</si>
  <si>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</si>
  <si>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</si>
  <si>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</si>
  <si>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</si>
  <si>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</si>
  <si>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</si>
  <si>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</si>
  <si>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</si>
  <si>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</si>
  <si>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</si>
  <si>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</si>
  <si>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</si>
  <si>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</si>
  <si>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</si>
  <si>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</si>
  <si>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</si>
  <si>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</si>
  <si>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</si>
  <si>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</si>
  <si>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</si>
  <si>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</si>
  <si>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</si>
  <si>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</si>
  <si>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</si>
  <si>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</si>
  <si>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</si>
  <si>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</si>
  <si>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</si>
  <si>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</si>
  <si>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</si>
  <si>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</si>
  <si>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</si>
  <si>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</si>
  <si>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</si>
  <si>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</si>
  <si>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</si>
  <si>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</si>
  <si>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</si>
  <si>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</si>
  <si>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</si>
  <si>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</si>
  <si>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</si>
  <si>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</si>
  <si>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</si>
  <si>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</si>
  <si>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</si>
  <si>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</si>
  <si>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</si>
  <si>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</si>
  <si>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</si>
  <si>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</si>
  <si>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</si>
  <si>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</si>
  <si>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</si>
  <si>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</si>
  <si>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</si>
  <si>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</si>
  <si>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</si>
  <si>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</si>
  <si>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</si>
  <si>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</si>
  <si>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</si>
  <si>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</si>
  <si>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</si>
  <si>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</si>
  <si>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</si>
  <si>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</si>
  <si>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</si>
  <si>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</si>
  <si>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</si>
  <si>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</si>
  <si>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</si>
  <si>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</si>
  <si>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</si>
  <si>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</si>
  <si>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</si>
  <si>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</si>
  <si>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</si>
  <si>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</si>
  <si>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</si>
  <si>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</si>
  <si>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</si>
  <si>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</si>
  <si>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</si>
  <si>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</si>
  <si>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</si>
  <si>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</si>
  <si>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</si>
  <si>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</si>
  <si>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</si>
  <si>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</si>
  <si>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</si>
  <si>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</si>
  <si>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</si>
  <si>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</si>
  <si>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</si>
  <si>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</si>
  <si>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</si>
  <si>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</si>
  <si>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</si>
  <si>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</si>
  <si>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</si>
  <si>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</si>
  <si>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</si>
  <si>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</si>
  <si>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</si>
  <si>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</si>
  <si>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</si>
  <si>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</si>
  <si>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</si>
  <si>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</si>
  <si>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</si>
  <si>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</si>
  <si>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</si>
  <si>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</si>
  <si>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</si>
  <si>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</si>
  <si>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</si>
  <si>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</si>
  <si>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</si>
  <si>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</si>
  <si>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</si>
  <si>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</si>
  <si>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</si>
  <si>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</si>
  <si>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</si>
  <si>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</si>
  <si>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</si>
  <si>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</si>
  <si>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</si>
  <si>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</si>
  <si>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</si>
  <si>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</si>
  <si>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</si>
  <si>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</si>
  <si>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</si>
  <si>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</si>
  <si>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</si>
  <si>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</si>
  <si>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</si>
  <si>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</si>
  <si>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</si>
  <si>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</si>
  <si>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</si>
  <si>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</si>
  <si>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</si>
  <si>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</si>
  <si>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</si>
  <si>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</si>
  <si>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</si>
  <si>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</si>
  <si>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</si>
  <si>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</si>
  <si>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</si>
  <si>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</si>
  <si>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</si>
  <si>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</si>
  <si>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</si>
  <si>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</si>
  <si>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</si>
  <si>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</si>
  <si>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</si>
  <si>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</si>
  <si>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</si>
  <si>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</si>
  <si>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</si>
  <si>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</si>
  <si>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</si>
  <si>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</si>
  <si>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</si>
  <si>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</si>
  <si>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</si>
  <si>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</si>
  <si>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</si>
  <si>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</si>
  <si>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</si>
  <si>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</si>
  <si>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</si>
  <si>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</si>
  <si>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</si>
  <si>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</si>
  <si>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</si>
  <si>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</si>
  <si>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</si>
  <si>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</si>
  <si>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</si>
  <si>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</si>
  <si>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</si>
  <si>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</si>
  <si>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</si>
  <si>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</si>
  <si>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</si>
  <si>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</si>
  <si>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</si>
  <si>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</si>
  <si>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</si>
  <si>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</si>
  <si>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</si>
  <si>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</si>
  <si>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</si>
  <si>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</si>
  <si>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</si>
  <si>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</si>
  <si>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</si>
  <si>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</si>
  <si>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</si>
  <si>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</si>
  <si>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</si>
  <si>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</si>
  <si>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</si>
  <si>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</si>
  <si>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</si>
  <si>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</si>
  <si>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</si>
  <si>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</si>
  <si>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</si>
  <si>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</si>
  <si>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</si>
  <si>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</si>
  <si>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</si>
  <si>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</si>
  <si>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</si>
  <si>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</si>
  <si>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</si>
  <si>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</si>
  <si>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</si>
  <si>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</si>
  <si>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</si>
  <si>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</si>
  <si>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</si>
  <si>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</si>
  <si>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</si>
  <si>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</si>
  <si>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</si>
  <si>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</si>
  <si>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</si>
  <si>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</si>
  <si>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</si>
  <si>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</si>
  <si>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</si>
  <si>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</si>
  <si>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</si>
  <si>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</si>
  <si>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</si>
  <si>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</si>
  <si>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</si>
  <si>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</si>
  <si>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</si>
  <si>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</si>
  <si>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</si>
  <si>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</si>
  <si>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</si>
  <si>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</si>
  <si>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</si>
  <si>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</si>
  <si>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</si>
  <si>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</si>
  <si>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</si>
  <si>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</si>
  <si>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</si>
  <si>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</si>
  <si>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</si>
  <si>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</si>
  <si>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</si>
  <si>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</si>
  <si>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</si>
  <si>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</si>
  <si>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</si>
  <si>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</si>
  <si>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</si>
  <si>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</si>
  <si>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</si>
  <si>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</si>
  <si>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</si>
  <si>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</si>
  <si>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</si>
  <si>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</si>
  <si>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</si>
  <si>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</si>
  <si>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</si>
  <si>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</si>
  <si>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</si>
  <si>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</si>
  <si>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</si>
  <si>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</si>
  <si>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</si>
  <si>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</si>
  <si>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</si>
  <si>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</si>
  <si>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</si>
  <si>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</si>
  <si>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</si>
  <si>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</si>
  <si>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</si>
  <si>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</si>
  <si>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</si>
  <si>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</si>
  <si>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</si>
  <si>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</si>
  <si>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</si>
  <si>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</si>
  <si>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</si>
  <si>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</si>
  <si>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</si>
  <si>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</si>
  <si>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</si>
  <si>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</si>
  <si>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</si>
  <si>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</si>
  <si>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</si>
  <si>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</si>
  <si>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</si>
  <si>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</si>
  <si>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</si>
  <si>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</si>
  <si>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</si>
  <si>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</si>
  <si>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</si>
  <si>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</si>
  <si>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</si>
  <si>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</si>
  <si>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</si>
  <si>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</si>
  <si>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</si>
  <si>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</si>
  <si>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</si>
  <si>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</si>
  <si>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</si>
  <si>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</si>
  <si>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</si>
  <si>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</si>
  <si>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</si>
  <si>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</si>
  <si>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</si>
  <si>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</si>
  <si>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</si>
  <si>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</si>
  <si>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</si>
  <si>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</si>
  <si>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</si>
  <si>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</si>
  <si>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</si>
  <si>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</si>
  <si>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</si>
  <si>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</si>
  <si>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</si>
  <si>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</si>
  <si>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</si>
  <si>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</si>
  <si>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</si>
  <si>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</si>
  <si>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</si>
  <si>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</si>
  <si>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</si>
  <si>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</si>
  <si>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</si>
  <si>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</si>
  <si>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</si>
  <si>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</si>
  <si>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</si>
  <si>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</si>
  <si>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</si>
  <si>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</si>
  <si>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</si>
  <si>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</si>
  <si>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</si>
  <si>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</si>
  <si>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</si>
  <si>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</si>
  <si>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</si>
  <si>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</si>
  <si>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</si>
  <si>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</si>
  <si>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</si>
  <si>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</si>
  <si>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</si>
  <si>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Total Orders</t>
  </si>
  <si>
    <t>Total Quantity</t>
  </si>
  <si>
    <t>Total Amount</t>
  </si>
  <si>
    <t>Avg. Rating</t>
  </si>
  <si>
    <t>Avg. Days to Deliver</t>
  </si>
  <si>
    <t>Count of TX ID</t>
  </si>
  <si>
    <t>Sum of Quantity</t>
  </si>
  <si>
    <t>Sum of Amount</t>
  </si>
  <si>
    <t>Average of Rating C</t>
  </si>
  <si>
    <t>Average of Days to Deliver</t>
  </si>
  <si>
    <t>Order</t>
  </si>
  <si>
    <t>Qty</t>
  </si>
  <si>
    <t>Avg.Reting</t>
  </si>
  <si>
    <t>Avg.Days to Deliver</t>
  </si>
  <si>
    <t>Row Labels</t>
  </si>
  <si>
    <t>Grand Total</t>
  </si>
  <si>
    <t>Column Labels</t>
  </si>
  <si>
    <t>Unknown</t>
  </si>
  <si>
    <t>Female</t>
  </si>
  <si>
    <t>Male</t>
  </si>
  <si>
    <t>Other</t>
  </si>
  <si>
    <t>For Matrix</t>
  </si>
  <si>
    <t xml:space="preserve"> 6 to 10</t>
  </si>
  <si>
    <t>More than 10</t>
  </si>
  <si>
    <t>California Total</t>
  </si>
  <si>
    <t>Map chart Stuff Qut.</t>
  </si>
  <si>
    <t>Map Chart for Amount</t>
  </si>
  <si>
    <t>Jan</t>
  </si>
  <si>
    <t>Feb</t>
  </si>
  <si>
    <t>Mar</t>
  </si>
  <si>
    <t>Slicer</t>
  </si>
  <si>
    <t>Values for Display</t>
  </si>
  <si>
    <r>
      <rPr>
        <b/>
        <sz val="11"/>
        <color theme="1"/>
        <rFont val="Aptos Narrow"/>
        <family val="2"/>
        <scheme val="minor"/>
      </rPr>
      <t xml:space="preserve">Q 1. </t>
    </r>
    <r>
      <rPr>
        <sz val="11"/>
        <color theme="1"/>
        <rFont val="Aptos Narrow"/>
        <family val="2"/>
        <scheme val="minor"/>
      </rPr>
      <t>Trend in the last 13 weeks</t>
    </r>
  </si>
  <si>
    <t>Q 2. -&gt;</t>
  </si>
  <si>
    <r>
      <t>Q 3.</t>
    </r>
    <r>
      <rPr>
        <sz val="11"/>
        <color theme="1"/>
        <rFont val="Aptos Narrow"/>
        <family val="2"/>
        <scheme val="minor"/>
      </rPr>
      <t>who many units they buy each order?</t>
    </r>
  </si>
  <si>
    <r>
      <t>Q 4.</t>
    </r>
    <r>
      <rPr>
        <sz val="11"/>
        <color theme="1"/>
        <rFont val="Aptos Narrow"/>
        <family val="2"/>
        <scheme val="minor"/>
      </rPr>
      <t>Which product is purchased the most based on gender?</t>
    </r>
  </si>
  <si>
    <r>
      <rPr>
        <b/>
        <sz val="11"/>
        <color theme="1"/>
        <rFont val="Aptos Narrow"/>
        <family val="2"/>
        <scheme val="minor"/>
      </rPr>
      <t xml:space="preserve">Q 5. </t>
    </r>
    <r>
      <rPr>
        <sz val="11"/>
        <color theme="1"/>
        <rFont val="Aptos Narrow"/>
        <family val="2"/>
        <scheme val="minor"/>
      </rPr>
      <t>Overall gender split</t>
    </r>
  </si>
  <si>
    <r>
      <t xml:space="preserve">Q 6. </t>
    </r>
    <r>
      <rPr>
        <sz val="11"/>
        <color theme="1"/>
        <rFont val="Aptos Narrow"/>
        <family val="2"/>
        <scheme val="minor"/>
      </rPr>
      <t>Where do our customers live?</t>
    </r>
  </si>
  <si>
    <r>
      <t xml:space="preserve">Q 7. </t>
    </r>
    <r>
      <rPr>
        <sz val="11"/>
        <color theme="1"/>
        <rFont val="Aptos Narrow"/>
        <family val="2"/>
        <scheme val="minor"/>
      </rPr>
      <t>How long we take to ship the orders</t>
    </r>
  </si>
  <si>
    <r>
      <t xml:space="preserve">Q 6. </t>
    </r>
    <r>
      <rPr>
        <sz val="11"/>
        <color theme="1"/>
        <rFont val="Aptos Narrow"/>
        <family val="2"/>
        <scheme val="minor"/>
      </rPr>
      <t xml:space="preserve">Reating on our services </t>
    </r>
    <r>
      <rPr>
        <b/>
        <sz val="11"/>
        <color theme="1"/>
        <rFont val="Aptos Narrow"/>
        <family val="2"/>
        <scheme val="minor"/>
      </rPr>
      <t>(1-5)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</si>
</sst>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0.0%"/>
  </numFmts>
  <fonts count="3" x14ac:knownFonts="1">
    <font>
      <sz val="11"/>
      <color theme="1"/>
      <name val="Aptos Narrow"/>
      <family val="2"/>
      <scheme val="minor"/>
    </font>
    <font>
      <b/>
      <sz val="11"/>
      <color theme="1"/>
      <name val="Aptos Narrow"/>
      <family val="2"/>
      <scheme val="minor"/>
    </font>
    <font>
      <sz val="11"/>
      <color rgb="FF00000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theme="1" tint="0.34998626667073579"/>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theme="0"/>
      </left>
      <right style="thick">
        <color theme="0"/>
      </right>
      <top style="thick">
        <color theme="0"/>
      </top>
      <bottom style="thick">
        <color theme="0"/>
      </bottom>
      <diagonal/>
    </border>
    <border>
      <left/>
      <right/>
      <top/>
      <bottom style="thin">
        <color theme="4" tint="0.39997558519241921"/>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2">
    <xf numFmtId="0" fontId="0" fillId="0" borderId="0" xfId="0"/>
    <xf numFmtId="0" fontId="0" fillId="0" borderId="1" xfId="0" applyBorder="1"/>
    <xf numFmtId="15" fontId="0" fillId="0" borderId="1" xfId="0" applyNumberFormat="1" applyBorder="1"/>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2" borderId="2" xfId="0" applyFill="1" applyBorder="1" applyAlignment="1">
      <alignment horizontal="left" vertical="center"/>
    </xf>
    <xf numFmtId="165" fontId="0" fillId="2" borderId="2" xfId="0" applyNumberFormat="1" applyFill="1" applyBorder="1" applyAlignment="1">
      <alignment horizontal="center" vertical="center"/>
    </xf>
    <xf numFmtId="0" fontId="0" fillId="0" borderId="2" xfId="0" applyBorder="1"/>
    <xf numFmtId="0" fontId="1" fillId="2" borderId="2" xfId="0" applyFont="1" applyFill="1" applyBorder="1" applyAlignment="1">
      <alignment horizontal="left" vertical="center"/>
    </xf>
    <xf numFmtId="0" fontId="1" fillId="2" borderId="2" xfId="0" applyFont="1" applyFill="1" applyBorder="1" applyAlignment="1">
      <alignment horizontal="center" vertical="center"/>
    </xf>
    <xf numFmtId="0" fontId="1" fillId="3" borderId="3" xfId="0" applyFont="1" applyFill="1" applyBorder="1"/>
    <xf numFmtId="0" fontId="1" fillId="0" borderId="0" xfId="0" applyFont="1"/>
    <xf numFmtId="0" fontId="1" fillId="0" borderId="3" xfId="0" applyFont="1" applyBorder="1"/>
    <xf numFmtId="0" fontId="0" fillId="0" borderId="0" xfId="0" applyNumberFormat="1"/>
    <xf numFmtId="0" fontId="2" fillId="0" borderId="0" xfId="0" applyFont="1" applyAlignment="1">
      <alignment horizontal="left" indent="1"/>
    </xf>
    <xf numFmtId="0" fontId="0" fillId="0" borderId="0"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4" borderId="1" xfId="0" applyFill="1" applyBorder="1"/>
    <xf numFmtId="0" fontId="0" fillId="5" borderId="1" xfId="0" applyFill="1" applyBorder="1"/>
    <xf numFmtId="0" fontId="0" fillId="0" borderId="10" xfId="0" applyNumberFormat="1" applyBorder="1"/>
    <xf numFmtId="0" fontId="0" fillId="0" borderId="11" xfId="0" applyNumberFormat="1" applyBorder="1"/>
    <xf numFmtId="0" fontId="0" fillId="0" borderId="12" xfId="0" applyNumberFormat="1" applyBorder="1"/>
    <xf numFmtId="0" fontId="0" fillId="0" borderId="10" xfId="0" applyBorder="1"/>
    <xf numFmtId="0" fontId="0" fillId="0" borderId="11" xfId="0" applyBorder="1"/>
    <xf numFmtId="0" fontId="0" fillId="0" borderId="12" xfId="0" applyBorder="1"/>
  </cellXfs>
  <cellStyles count="1">
    <cellStyle name="Normal" xfId="0" builtinId="0"/>
  </cellStyles>
  <dxfs count="40">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general" vertical="bottom" textRotation="0" wrapText="0" indent="0" justifyLastLine="0" shrinkToFit="0" readingOrder="0"/>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diagonalUp="0" diagonalDown="0" outline="0">
        <left style="thin">
          <color indexed="64"/>
        </left>
        <right style="thin">
          <color indexed="64"/>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d\-mmm\-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003200"/>
      <color rgb="FF6A3280"/>
      <color rgb="FFB7FFB7"/>
      <color rgb="FF006400"/>
      <color rgb="FF4664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[ecommerce-blank.xlsx]PivoteTable!PivotTable5</c:name>
    <c:fmtId val="3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PivoteTable!$B$39</c:f>
              <c:strCache>
                <c:ptCount val="1"/>
                <c:pt idx="0">
                  <c:v>Total</c:v>
                </c:pt>
              </c:strCache>
            </c:strRef>
          </c:tx>
          <c:spPr>
            <a:solidFill>
              <a:schemeClr val="accent5"/>
            </a:solidFill>
            <a:ln>
              <a:noFill/>
            </a:ln>
            <a:effectLst/>
            <a:sp3d/>
          </c:spPr>
          <c:invertIfNegative val="0"/>
          <c:cat>
            <c:strRef>
              <c:f>PivoteTable!$A$40:$A$47</c:f>
              <c:strCache>
                <c:ptCount val="7"/>
                <c:pt idx="0">
                  <c:v>1</c:v>
                </c:pt>
                <c:pt idx="1">
                  <c:v>2</c:v>
                </c:pt>
                <c:pt idx="2">
                  <c:v>3</c:v>
                </c:pt>
                <c:pt idx="3">
                  <c:v>4</c:v>
                </c:pt>
                <c:pt idx="4">
                  <c:v>5</c:v>
                </c:pt>
                <c:pt idx="5">
                  <c:v> 6 to 10</c:v>
                </c:pt>
                <c:pt idx="6">
                  <c:v>More than 10</c:v>
                </c:pt>
              </c:strCache>
            </c:strRef>
          </c:cat>
          <c:val>
            <c:numRef>
              <c:f>PivoteTable!$B$40:$B$47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1BC3-46FC-80A4-0DFD19CE97FE}"/>
            </c:ext>
          </c:extLst>
        </c:ser>
        <c:dLbls>
          <c:showLegendKey val="0"/>
          <c:showVal val="0"/>
          <c:showCatName val="0"/>
          <c:showSerName val="0"/>
          <c:showPercent val="0"/>
          <c:showBubbleSize val="0"/>
        </c:dLbls>
        <c:gapWidth val="150"/>
        <c:shape val="box"/>
        <c:axId val="718150656"/>
        <c:axId val="718151136"/>
        <c:axId val="0"/>
      </c:bar3DChart>
      <c:catAx>
        <c:axId val="718150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51136"/>
        <c:crosses val="autoZero"/>
        <c:auto val="1"/>
        <c:lblAlgn val="ctr"/>
        <c:lblOffset val="100"/>
        <c:noMultiLvlLbl val="0"/>
      </c:catAx>
      <c:valAx>
        <c:axId val="71815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5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[ecommerce-blank.xlsx]PivoteTable!PivotTable6</c:name>
    <c:fmtId val="4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PivoteTable!$B$58:$B$59</c:f>
              <c:strCache>
                <c:ptCount val="1"/>
                <c:pt idx="0">
                  <c:v>Female</c:v>
                </c:pt>
              </c:strCache>
            </c:strRef>
          </c:tx>
          <c:spPr>
            <a:solidFill>
              <a:schemeClr val="accent1"/>
            </a:solidFill>
            <a:ln>
              <a:noFill/>
            </a:ln>
            <a:effectLst/>
          </c:spPr>
          <c:invertIfNegative val="0"/>
          <c:cat>
            <c:strRef>
              <c:f>PivoteTable!$A$60:$A$80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PivoteTable!$B$60:$B$80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932F-46A2-B021-3728B635E2DC}"/>
            </c:ext>
          </c:extLst>
        </c:ser>
        <c:ser>
          <c:idx val="1"/>
          <c:order val="1"/>
          <c:tx>
            <c:strRef>
              <c:f>PivoteTable!$C$58:$C$59</c:f>
              <c:strCache>
                <c:ptCount val="1"/>
                <c:pt idx="0">
                  <c:v>Male</c:v>
                </c:pt>
              </c:strCache>
            </c:strRef>
          </c:tx>
          <c:spPr>
            <a:solidFill>
              <a:schemeClr val="accent2"/>
            </a:solidFill>
            <a:ln>
              <a:noFill/>
            </a:ln>
            <a:effectLst/>
          </c:spPr>
          <c:invertIfNegative val="0"/>
          <c:cat>
            <c:strRef>
              <c:f>PivoteTable!$A$60:$A$80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PivoteTable!$C$60:$C$80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A-98C7-4A9F-AEF7-A65A1A3FEDC2}"/>
            </c:ext>
          </c:extLst>
        </c:ser>
        <c:ser>
          <c:idx val="2"/>
          <c:order val="2"/>
          <c:tx>
            <c:strRef>
              <c:f>PivoteTable!$D$58:$D$59</c:f>
              <c:strCache>
                <c:ptCount val="1"/>
                <c:pt idx="0">
                  <c:v>Other</c:v>
                </c:pt>
              </c:strCache>
            </c:strRef>
          </c:tx>
          <c:spPr>
            <a:solidFill>
              <a:schemeClr val="accent3"/>
            </a:solidFill>
            <a:ln>
              <a:noFill/>
            </a:ln>
            <a:effectLst/>
          </c:spPr>
          <c:invertIfNegative val="0"/>
          <c:cat>
            <c:strRef>
              <c:f>PivoteTable!$A$60:$A$80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PivoteTable!$D$60:$D$80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B-98C7-4A9F-AEF7-A65A1A3FEDC2}"/>
            </c:ext>
          </c:extLst>
        </c:ser>
        <c:ser>
          <c:idx val="3"/>
          <c:order val="3"/>
          <c:tx>
            <c:strRef>
              <c:f>PivoteTable!$E$58:$E$59</c:f>
              <c:strCache>
                <c:ptCount val="1"/>
                <c:pt idx="0">
                  <c:v>Unknown</c:v>
                </c:pt>
              </c:strCache>
            </c:strRef>
          </c:tx>
          <c:spPr>
            <a:solidFill>
              <a:schemeClr val="accent4"/>
            </a:solidFill>
            <a:ln>
              <a:noFill/>
            </a:ln>
            <a:effectLst/>
          </c:spPr>
          <c:invertIfNegative val="0"/>
          <c:cat>
            <c:strRef>
              <c:f>PivoteTable!$A$60:$A$80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PivoteTable!$E$60:$E$80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C-98C7-4A9F-AEF7-A65A1A3FEDC2}"/>
            </c:ext>
          </c:extLst>
        </c:ser>
        <c:dLbls>
          <c:showLegendKey val="0"/>
          <c:showVal val="0"/>
          <c:showCatName val="0"/>
          <c:showSerName val="0"/>
          <c:showPercent val="0"/>
          <c:showBubbleSize val="0"/>
        </c:dLbls>
        <c:gapWidth val="150"/>
        <c:overlap val="100"/>
        <c:axId val="197687888"/>
        <c:axId val="197691728"/>
      </c:barChart>
      <c:catAx>
        <c:axId val="197687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91728"/>
        <c:crosses val="autoZero"/>
        <c:auto val="1"/>
        <c:lblAlgn val="ctr"/>
        <c:lblOffset val="100"/>
        <c:noMultiLvlLbl val="0"/>
      </c:catAx>
      <c:valAx>
        <c:axId val="1976917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8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[ecommerce-blank.xlsx]PivoteTable!PivotTable4</c:name>
    <c:fmtId val="5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PivoteTable!$N$57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78-4E66-AA14-27A79BD0594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78-4E66-AA14-27A79BD0594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78-4E66-AA14-27A79BD0594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78-4E66-AA14-27A79BD0594C}"/>
              </c:ext>
            </c:extLst>
          </c:dPt>
          <c:cat>
            <c:strRef>
              <c:f>PivoteTable!$M$58:$M$62</c:f>
              <c:strCache>
                <c:ptCount val="4"/>
                <c:pt idx="0">
                  <c:v>Female</c:v>
                </c:pt>
                <c:pt idx="1">
                  <c:v>Male</c:v>
                </c:pt>
                <c:pt idx="2">
                  <c:v>Other</c:v>
                </c:pt>
                <c:pt idx="3">
                  <c:v>Unknown</c:v>
                </c:pt>
              </c:strCache>
            </c:strRef>
          </c:cat>
          <c:val>
            <c:numRef>
              <c:f>PivoteTable!$N$58:$N$62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48CD-472E-8E30-90BE30927D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[ecommerce-blank.xlsx]PivoteTable!PivotTable8</c:name>
    <c:fmtId val="6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PivoteTable!$B$170</c:f>
              <c:strCache>
                <c:ptCount val="1"/>
                <c:pt idx="0">
                  <c:v>Total</c:v>
                </c:pt>
              </c:strCache>
            </c:strRef>
          </c:tx>
          <c:spPr>
            <a:solidFill>
              <a:schemeClr val="accent1"/>
            </a:solidFill>
            <a:ln>
              <a:noFill/>
            </a:ln>
            <a:effectLst/>
            <a:sp3d/>
          </c:spPr>
          <c:invertIfNegative val="0"/>
          <c:cat>
            <c:strRef>
              <c:f>PivoteTable!$A$171:$A$186</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PivoteTable!$B$171:$B$186</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FEDC-4D26-A875-EAE987A05176}"/>
            </c:ext>
          </c:extLst>
        </c:ser>
        <c:dLbls>
          <c:showLegendKey val="0"/>
          <c:showVal val="0"/>
          <c:showCatName val="0"/>
          <c:showSerName val="0"/>
          <c:showPercent val="0"/>
          <c:showBubbleSize val="0"/>
        </c:dLbls>
        <c:gapWidth val="150"/>
        <c:shape val="box"/>
        <c:axId val="197707088"/>
        <c:axId val="197709968"/>
        <c:axId val="0"/>
      </c:bar3DChart>
      <c:catAx>
        <c:axId val="197707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09968"/>
        <c:crosses val="autoZero"/>
        <c:auto val="1"/>
        <c:lblAlgn val="ctr"/>
        <c:lblOffset val="100"/>
        <c:noMultiLvlLbl val="0"/>
      </c:catAx>
      <c:valAx>
        <c:axId val="197709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07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[ecommerce-blank.xlsx]PivoteTable!PivotTable9</c:name>
    <c:fmtId val="7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PivoteTable!$B$194:$B$195</c:f>
              <c:strCache>
                <c:ptCount val="1"/>
                <c:pt idx="0">
                  <c:v>1</c:v>
                </c:pt>
              </c:strCache>
            </c:strRef>
          </c:tx>
          <c:spPr>
            <a:solidFill>
              <a:schemeClr val="accent1"/>
            </a:solidFill>
            <a:ln>
              <a:noFill/>
            </a:ln>
            <a:effectLst/>
          </c:spPr>
          <c:invertIfNegative val="0"/>
          <c:cat>
            <c:strRef>
              <c:f>PivoteTable!$A$196:$A$199</c:f>
              <c:strCache>
                <c:ptCount val="3"/>
                <c:pt idx="0">
                  <c:v>Jan</c:v>
                </c:pt>
                <c:pt idx="1">
                  <c:v>Feb</c:v>
                </c:pt>
                <c:pt idx="2">
                  <c:v>Mar</c:v>
                </c:pt>
              </c:strCache>
            </c:strRef>
          </c:cat>
          <c:val>
            <c:numRef>
              <c:f>PivoteTable!$B$196:$B$199</c:f>
              <c:numCache>
                <c:formatCode>General</c:formatCode>
                <c:ptCount val="3"/>
                <c:pt idx="0">
                  <c:v>7</c:v>
                </c:pt>
                <c:pt idx="1">
                  <c:v>8</c:v>
                </c:pt>
                <c:pt idx="2">
                  <c:v>6</c:v>
                </c:pt>
              </c:numCache>
            </c:numRef>
          </c:val>
          <c:extLst>
            <c:ext xmlns:c16="http://schemas.microsoft.com/office/drawing/2014/chart" uri="{C3380CC4-5D6E-409C-BE32-E72D297353CC}">
              <c16:uniqueId val="{00000000-D9A3-423B-9EEE-82758058C9EB}"/>
            </c:ext>
          </c:extLst>
        </c:ser>
        <c:ser>
          <c:idx val="1"/>
          <c:order val="1"/>
          <c:tx>
            <c:strRef>
              <c:f>PivoteTable!$C$194:$C$195</c:f>
              <c:strCache>
                <c:ptCount val="1"/>
                <c:pt idx="0">
                  <c:v>2</c:v>
                </c:pt>
              </c:strCache>
            </c:strRef>
          </c:tx>
          <c:spPr>
            <a:solidFill>
              <a:schemeClr val="accent2"/>
            </a:solidFill>
            <a:ln>
              <a:noFill/>
            </a:ln>
            <a:effectLst/>
          </c:spPr>
          <c:invertIfNegative val="0"/>
          <c:cat>
            <c:strRef>
              <c:f>PivoteTable!$A$196:$A$199</c:f>
              <c:strCache>
                <c:ptCount val="3"/>
                <c:pt idx="0">
                  <c:v>Jan</c:v>
                </c:pt>
                <c:pt idx="1">
                  <c:v>Feb</c:v>
                </c:pt>
                <c:pt idx="2">
                  <c:v>Mar</c:v>
                </c:pt>
              </c:strCache>
            </c:strRef>
          </c:cat>
          <c:val>
            <c:numRef>
              <c:f>PivoteTable!$C$196:$C$199</c:f>
              <c:numCache>
                <c:formatCode>General</c:formatCode>
                <c:ptCount val="3"/>
                <c:pt idx="0">
                  <c:v>37</c:v>
                </c:pt>
                <c:pt idx="1">
                  <c:v>51</c:v>
                </c:pt>
                <c:pt idx="2">
                  <c:v>39</c:v>
                </c:pt>
              </c:numCache>
            </c:numRef>
          </c:val>
          <c:extLst>
            <c:ext xmlns:c16="http://schemas.microsoft.com/office/drawing/2014/chart" uri="{C3380CC4-5D6E-409C-BE32-E72D297353CC}">
              <c16:uniqueId val="{00000000-5E36-410B-AD73-A6DCA9D58D05}"/>
            </c:ext>
          </c:extLst>
        </c:ser>
        <c:ser>
          <c:idx val="2"/>
          <c:order val="2"/>
          <c:tx>
            <c:strRef>
              <c:f>PivoteTable!$D$194:$D$195</c:f>
              <c:strCache>
                <c:ptCount val="1"/>
                <c:pt idx="0">
                  <c:v>3</c:v>
                </c:pt>
              </c:strCache>
            </c:strRef>
          </c:tx>
          <c:spPr>
            <a:solidFill>
              <a:schemeClr val="accent3"/>
            </a:solidFill>
            <a:ln>
              <a:noFill/>
            </a:ln>
            <a:effectLst/>
          </c:spPr>
          <c:invertIfNegative val="0"/>
          <c:cat>
            <c:strRef>
              <c:f>PivoteTable!$A$196:$A$199</c:f>
              <c:strCache>
                <c:ptCount val="3"/>
                <c:pt idx="0">
                  <c:v>Jan</c:v>
                </c:pt>
                <c:pt idx="1">
                  <c:v>Feb</c:v>
                </c:pt>
                <c:pt idx="2">
                  <c:v>Mar</c:v>
                </c:pt>
              </c:strCache>
            </c:strRef>
          </c:cat>
          <c:val>
            <c:numRef>
              <c:f>PivoteTable!$D$196:$D$199</c:f>
              <c:numCache>
                <c:formatCode>General</c:formatCode>
                <c:ptCount val="3"/>
                <c:pt idx="0">
                  <c:v>150</c:v>
                </c:pt>
                <c:pt idx="1">
                  <c:v>182</c:v>
                </c:pt>
                <c:pt idx="2">
                  <c:v>163</c:v>
                </c:pt>
              </c:numCache>
            </c:numRef>
          </c:val>
          <c:extLst>
            <c:ext xmlns:c16="http://schemas.microsoft.com/office/drawing/2014/chart" uri="{C3380CC4-5D6E-409C-BE32-E72D297353CC}">
              <c16:uniqueId val="{00000001-5E36-410B-AD73-A6DCA9D58D05}"/>
            </c:ext>
          </c:extLst>
        </c:ser>
        <c:ser>
          <c:idx val="3"/>
          <c:order val="3"/>
          <c:tx>
            <c:strRef>
              <c:f>PivoteTable!$E$194:$E$195</c:f>
              <c:strCache>
                <c:ptCount val="1"/>
                <c:pt idx="0">
                  <c:v>4</c:v>
                </c:pt>
              </c:strCache>
            </c:strRef>
          </c:tx>
          <c:spPr>
            <a:solidFill>
              <a:schemeClr val="accent4"/>
            </a:solidFill>
            <a:ln>
              <a:noFill/>
            </a:ln>
            <a:effectLst/>
          </c:spPr>
          <c:invertIfNegative val="0"/>
          <c:cat>
            <c:strRef>
              <c:f>PivoteTable!$A$196:$A$199</c:f>
              <c:strCache>
                <c:ptCount val="3"/>
                <c:pt idx="0">
                  <c:v>Jan</c:v>
                </c:pt>
                <c:pt idx="1">
                  <c:v>Feb</c:v>
                </c:pt>
                <c:pt idx="2">
                  <c:v>Mar</c:v>
                </c:pt>
              </c:strCache>
            </c:strRef>
          </c:cat>
          <c:val>
            <c:numRef>
              <c:f>PivoteTable!$E$196:$E$199</c:f>
              <c:numCache>
                <c:formatCode>General</c:formatCode>
                <c:ptCount val="3"/>
                <c:pt idx="0">
                  <c:v>312</c:v>
                </c:pt>
                <c:pt idx="1">
                  <c:v>373</c:v>
                </c:pt>
                <c:pt idx="2">
                  <c:v>351</c:v>
                </c:pt>
              </c:numCache>
            </c:numRef>
          </c:val>
          <c:extLst>
            <c:ext xmlns:c16="http://schemas.microsoft.com/office/drawing/2014/chart" uri="{C3380CC4-5D6E-409C-BE32-E72D297353CC}">
              <c16:uniqueId val="{00000002-5E36-410B-AD73-A6DCA9D58D05}"/>
            </c:ext>
          </c:extLst>
        </c:ser>
        <c:ser>
          <c:idx val="4"/>
          <c:order val="4"/>
          <c:tx>
            <c:strRef>
              <c:f>PivoteTable!$F$194:$F$195</c:f>
              <c:strCache>
                <c:ptCount val="1"/>
                <c:pt idx="0">
                  <c:v>5</c:v>
                </c:pt>
              </c:strCache>
            </c:strRef>
          </c:tx>
          <c:spPr>
            <a:solidFill>
              <a:schemeClr val="accent5"/>
            </a:solidFill>
            <a:ln>
              <a:noFill/>
            </a:ln>
            <a:effectLst/>
          </c:spPr>
          <c:invertIfNegative val="0"/>
          <c:cat>
            <c:strRef>
              <c:f>PivoteTable!$A$196:$A$199</c:f>
              <c:strCache>
                <c:ptCount val="3"/>
                <c:pt idx="0">
                  <c:v>Jan</c:v>
                </c:pt>
                <c:pt idx="1">
                  <c:v>Feb</c:v>
                </c:pt>
                <c:pt idx="2">
                  <c:v>Mar</c:v>
                </c:pt>
              </c:strCache>
            </c:strRef>
          </c:cat>
          <c:val>
            <c:numRef>
              <c:f>PivoteTable!$F$196:$F$199</c:f>
              <c:numCache>
                <c:formatCode>General</c:formatCode>
                <c:ptCount val="3"/>
                <c:pt idx="0">
                  <c:v>224</c:v>
                </c:pt>
                <c:pt idx="1">
                  <c:v>247</c:v>
                </c:pt>
                <c:pt idx="2">
                  <c:v>250</c:v>
                </c:pt>
              </c:numCache>
            </c:numRef>
          </c:val>
          <c:extLst>
            <c:ext xmlns:c16="http://schemas.microsoft.com/office/drawing/2014/chart" uri="{C3380CC4-5D6E-409C-BE32-E72D297353CC}">
              <c16:uniqueId val="{00000003-5E36-410B-AD73-A6DCA9D58D05}"/>
            </c:ext>
          </c:extLst>
        </c:ser>
        <c:dLbls>
          <c:showLegendKey val="0"/>
          <c:showVal val="0"/>
          <c:showCatName val="0"/>
          <c:showSerName val="0"/>
          <c:showPercent val="0"/>
          <c:showBubbleSize val="0"/>
        </c:dLbls>
        <c:gapWidth val="219"/>
        <c:overlap val="-27"/>
        <c:axId val="279333552"/>
        <c:axId val="279329712"/>
      </c:barChart>
      <c:catAx>
        <c:axId val="2793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329712"/>
        <c:crosses val="autoZero"/>
        <c:auto val="1"/>
        <c:lblAlgn val="ctr"/>
        <c:lblOffset val="100"/>
        <c:noMultiLvlLbl val="0"/>
      </c:catAx>
      <c:valAx>
        <c:axId val="27932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3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[ecommerce-blank.xlsx]PivoteTable!PivotTable2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0" i="0" u="none" strike="noStrike" kern="1200" spc="0" baseline="0">
                <a:solidFill>
                  <a:sysClr val="windowText" lastClr="000000">
                    <a:lumMod val="65000"/>
                    <a:lumOff val="35000"/>
                  </a:sysClr>
                </a:solidFill>
              </a:rPr>
              <a:t>Last 13 Week Trends-Qty &amp; Amount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5"/>
            </a:solidFill>
            <a:round/>
          </a:ln>
          <a:effectLst/>
        </c:spPr>
        <c:marker>
          <c:symbol val="circle"/>
          <c:size val="5"/>
          <c:spPr>
            <a:solidFill>
              <a:schemeClr val="accent5">
                <a:shade val="76000"/>
              </a:schemeClr>
            </a:solidFill>
            <a:ln w="9525">
              <a:solidFill>
                <a:schemeClr val="accent5">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PivoteTable!$B$14</c:f>
              <c:strCache>
                <c:ptCount val="1"/>
                <c:pt idx="0">
                  <c:v>Sum of Quantity</c:v>
                </c:pt>
              </c:strCache>
            </c:strRef>
          </c:tx>
          <c:spPr>
            <a:ln w="28575" cap="rnd">
              <a:solidFill>
                <a:schemeClr val="accent5">
                  <a:shade val="76000"/>
                </a:schemeClr>
              </a:solidFill>
              <a:round/>
            </a:ln>
            <a:effectLst/>
          </c:spPr>
          <c:marker>
            <c:symbol val="circle"/>
            <c:size val="5"/>
            <c:spPr>
              <a:solidFill>
                <a:schemeClr val="accent5">
                  <a:shade val="76000"/>
                </a:schemeClr>
              </a:solidFill>
              <a:ln w="9525">
                <a:solidFill>
                  <a:schemeClr val="accent5">
                    <a:shade val="76000"/>
                  </a:schemeClr>
                </a:solidFill>
              </a:ln>
              <a:effectLst/>
            </c:spPr>
          </c:marker>
          <c:cat>
            <c:strRef>
              <c:f>PivoteTable!$A$15:$A$28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PivoteTable!$B$15:$B$28</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4B9C-4A0F-A766-A4929E79DA19}"/>
            </c:ext>
          </c:extLst>
        </c:ser>
        <c:dLbls>
          <c:showLegendKey val="0"/>
          <c:showVal val="0"/>
          <c:showCatName val="0"/>
          <c:showSerName val="0"/>
          <c:showPercent val="0"/>
          <c:showBubbleSize val="0"/>
        </c:dLbls>
        <c:marker val="1"/>
        <c:smooth val="0"/>
        <c:axId val="519716864"/>
        <c:axId val="519733664"/>
      </c:lineChart>
      <c:lineChart>
        <c:grouping val="standard"/>
        <c:varyColors val="0"/>
        <c:ser>
          <c:idx val="1"/>
          <c:order val="1"/>
          <c:tx>
            <c:strRef>
              <c:f>PivoteTable!$C$14</c:f>
              <c:strCache>
                <c:ptCount val="1"/>
                <c:pt idx="0">
                  <c:v>Sum of Amount</c:v>
                </c:pt>
              </c:strCache>
            </c:strRef>
          </c:tx>
          <c:spPr>
            <a:ln w="28575" cap="rnd">
              <a:solidFill>
                <a:schemeClr val="accent5">
                  <a:tint val="77000"/>
                </a:schemeClr>
              </a:solidFill>
              <a:round/>
            </a:ln>
            <a:effectLst/>
          </c:spPr>
          <c:marker>
            <c:symbol val="none"/>
          </c:marker>
          <c:cat>
            <c:strRef>
              <c:f>PivoteTable!$A$15:$A$28</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PivoteTable!$C$15:$C$28</c:f>
              <c:numCache>
                <c:formatCode>"₹"\ #,##0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4B9C-4A0F-A766-A4929E79DA19}"/>
            </c:ext>
          </c:extLst>
        </c:ser>
        <c:dLbls>
          <c:showLegendKey val="0"/>
          <c:showVal val="0"/>
          <c:showCatName val="0"/>
          <c:showSerName val="0"/>
          <c:showPercent val="0"/>
          <c:showBubbleSize val="0"/>
        </c:dLbls>
        <c:marker val="1"/>
        <c:smooth val="0"/>
        <c:axId val="725438944"/>
        <c:axId val="725438464"/>
      </c:lineChart>
      <c:catAx>
        <c:axId val="51971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33664"/>
        <c:crosses val="autoZero"/>
        <c:auto val="1"/>
        <c:lblAlgn val="ctr"/>
        <c:lblOffset val="100"/>
        <c:noMultiLvlLbl val="0"/>
      </c:catAx>
      <c:valAx>
        <c:axId val="51973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716864"/>
        <c:crosses val="autoZero"/>
        <c:crossBetween val="between"/>
      </c:valAx>
      <c:valAx>
        <c:axId val="725438464"/>
        <c:scaling>
          <c:orientation val="minMax"/>
        </c:scaling>
        <c:delete val="0"/>
        <c:axPos val="r"/>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5438944"/>
        <c:crosses val="max"/>
        <c:crossBetween val="between"/>
      </c:valAx>
      <c:catAx>
        <c:axId val="725438944"/>
        <c:scaling>
          <c:orientation val="minMax"/>
        </c:scaling>
        <c:delete val="1"/>
        <c:axPos val="b"/>
        <c:numFmt formatCode="General" sourceLinked="1"/>
        <c:majorTickMark val="out"/>
        <c:minorTickMark val="none"/>
        <c:tickLblPos val="nextTo"/>
        <c:crossAx val="72543846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[ecommerce-blank.xlsx]PivoteTable!PivotTable5</c:name>
    <c:fmtId val="3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Quantity</a:t>
            </a:r>
            <a:r>
              <a:rPr lang="en-IN" baseline="0"/>
              <a: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alpha val="8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PivoteTable!$B$39</c:f>
              <c:strCache>
                <c:ptCount val="1"/>
                <c:pt idx="0">
                  <c:v>Total</c:v>
                </c:pt>
              </c:strCache>
            </c:strRef>
          </c:tx>
          <c:spPr>
            <a:solidFill>
              <a:schemeClr val="accent5">
                <a:lumMod val="75000"/>
                <a:alpha val="80000"/>
              </a:schemeClr>
            </a:solidFill>
            <a:ln>
              <a:noFill/>
            </a:ln>
            <a:effectLst/>
            <a:sp3d/>
          </c:spPr>
          <c:invertIfNegative val="0"/>
          <c:cat>
            <c:strRef>
              <c:f>PivoteTable!$A$40:$A$47</c:f>
              <c:strCache>
                <c:ptCount val="7"/>
                <c:pt idx="0">
                  <c:v>1</c:v>
                </c:pt>
                <c:pt idx="1">
                  <c:v>2</c:v>
                </c:pt>
                <c:pt idx="2">
                  <c:v>3</c:v>
                </c:pt>
                <c:pt idx="3">
                  <c:v>4</c:v>
                </c:pt>
                <c:pt idx="4">
                  <c:v>5</c:v>
                </c:pt>
                <c:pt idx="5">
                  <c:v> 6 to 10</c:v>
                </c:pt>
                <c:pt idx="6">
                  <c:v>More than 10</c:v>
                </c:pt>
              </c:strCache>
            </c:strRef>
          </c:cat>
          <c:val>
            <c:numRef>
              <c:f>PivoteTable!$B$40:$B$47</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FE18-4ED8-A987-9B45089BCF5B}"/>
            </c:ext>
          </c:extLst>
        </c:ser>
        <c:dLbls>
          <c:showLegendKey val="0"/>
          <c:showVal val="0"/>
          <c:showCatName val="0"/>
          <c:showSerName val="0"/>
          <c:showPercent val="0"/>
          <c:showBubbleSize val="0"/>
        </c:dLbls>
        <c:gapWidth val="50"/>
        <c:gapDepth val="108"/>
        <c:shape val="box"/>
        <c:axId val="718150656"/>
        <c:axId val="718151136"/>
        <c:axId val="0"/>
      </c:bar3DChart>
      <c:catAx>
        <c:axId val="718150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51136"/>
        <c:crosses val="autoZero"/>
        <c:auto val="1"/>
        <c:lblAlgn val="ctr"/>
        <c:lblOffset val="100"/>
        <c:noMultiLvlLbl val="0"/>
      </c:catAx>
      <c:valAx>
        <c:axId val="718151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150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[ecommerce-blank.xlsx]PivoteTable!PivotTable6</c:name>
    <c:fmtId val="4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baseline="0">
                <a:solidFill>
                  <a:sysClr val="windowText" lastClr="000000">
                    <a:lumMod val="65000"/>
                    <a:lumOff val="35000"/>
                  </a:sysClr>
                </a:solidFill>
              </a:rPr>
              <a:t>Popular Products?</a:t>
            </a:r>
            <a:r>
              <a:rPr lang="en-IN" sz="1400" b="0" i="0" u="none" strike="noStrike" kern="1200" baseline="0">
                <a:solidFill>
                  <a:sysClr val="windowText" lastClr="000000">
                    <a:lumMod val="65000"/>
                    <a:lumOff val="35000"/>
                  </a:sysClr>
                </a:solidFill>
              </a:rPr>
              <a:t> Breakdown by Gender</a:t>
            </a:r>
          </a:p>
        </c:rich>
      </c:tx>
      <c:layout>
        <c:manualLayout>
          <c:xMode val="edge"/>
          <c:yMode val="edge"/>
          <c:x val="0.10473402681674236"/>
          <c:y val="1.21919914168380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lumMod val="5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lumMod val="60000"/>
              <a:lumOff val="4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lumMod val="20000"/>
              <a:lumOff val="8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60000"/>
              <a:lumOff val="4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60000"/>
              <a:lumOff val="4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lumMod val="20000"/>
              <a:lumOff val="8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50000"/>
              <a:alpha val="80000"/>
            </a:schemeClr>
          </a:solidFill>
          <a:ln>
            <a:noFill/>
          </a:ln>
          <a:effectLst>
            <a:softEdge rad="0"/>
          </a:effectLst>
        </c:spPr>
      </c:pivotFmt>
    </c:pivotFmts>
    <c:plotArea>
      <c:layout/>
      <c:barChart>
        <c:barDir val="bar"/>
        <c:grouping val="stacked"/>
        <c:varyColors val="0"/>
        <c:ser>
          <c:idx val="0"/>
          <c:order val="0"/>
          <c:tx>
            <c:strRef>
              <c:f>PivoteTable!$B$58:$B$59</c:f>
              <c:strCache>
                <c:ptCount val="1"/>
                <c:pt idx="0">
                  <c:v>Female</c:v>
                </c:pt>
              </c:strCache>
            </c:strRef>
          </c:tx>
          <c:spPr>
            <a:solidFill>
              <a:schemeClr val="accent5">
                <a:lumMod val="50000"/>
                <a:alpha val="80000"/>
              </a:schemeClr>
            </a:solidFill>
            <a:ln>
              <a:noFill/>
            </a:ln>
            <a:effectLst>
              <a:softEdge rad="0"/>
            </a:effectLst>
          </c:spPr>
          <c:invertIfNegative val="0"/>
          <c:cat>
            <c:strRef>
              <c:f>PivoteTable!$A$60:$A$80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PivoteTable!$B$60:$B$80</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D06E-4B48-9322-AD7B940571CF}"/>
            </c:ext>
          </c:extLst>
        </c:ser>
        <c:ser>
          <c:idx val="1"/>
          <c:order val="1"/>
          <c:tx>
            <c:strRef>
              <c:f>PivoteTable!$C$58:$C$59</c:f>
              <c:strCache>
                <c:ptCount val="1"/>
                <c:pt idx="0">
                  <c:v>Male</c:v>
                </c:pt>
              </c:strCache>
            </c:strRef>
          </c:tx>
          <c:spPr>
            <a:solidFill>
              <a:schemeClr val="accent5">
                <a:lumMod val="60000"/>
                <a:lumOff val="40000"/>
                <a:alpha val="80000"/>
              </a:schemeClr>
            </a:solidFill>
            <a:ln>
              <a:noFill/>
            </a:ln>
            <a:effectLst/>
          </c:spPr>
          <c:invertIfNegative val="0"/>
          <c:cat>
            <c:strRef>
              <c:f>PivoteTable!$A$60:$A$80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PivoteTable!$C$60:$C$80</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1A-18B1-45A7-832B-113D5C1C9EA7}"/>
            </c:ext>
          </c:extLst>
        </c:ser>
        <c:ser>
          <c:idx val="2"/>
          <c:order val="2"/>
          <c:tx>
            <c:strRef>
              <c:f>PivoteTable!$D$58:$D$59</c:f>
              <c:strCache>
                <c:ptCount val="1"/>
                <c:pt idx="0">
                  <c:v>Other</c:v>
                </c:pt>
              </c:strCache>
            </c:strRef>
          </c:tx>
          <c:spPr>
            <a:solidFill>
              <a:schemeClr val="accent6">
                <a:lumMod val="60000"/>
                <a:lumOff val="40000"/>
                <a:alpha val="80000"/>
              </a:schemeClr>
            </a:solidFill>
            <a:ln>
              <a:noFill/>
            </a:ln>
            <a:effectLst/>
          </c:spPr>
          <c:invertIfNegative val="0"/>
          <c:cat>
            <c:strRef>
              <c:f>PivoteTable!$A$60:$A$80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PivoteTable!$D$60:$D$80</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1B-18B1-45A7-832B-113D5C1C9EA7}"/>
            </c:ext>
          </c:extLst>
        </c:ser>
        <c:ser>
          <c:idx val="3"/>
          <c:order val="3"/>
          <c:tx>
            <c:strRef>
              <c:f>PivoteTable!$E$58:$E$59</c:f>
              <c:strCache>
                <c:ptCount val="1"/>
                <c:pt idx="0">
                  <c:v>Unknown</c:v>
                </c:pt>
              </c:strCache>
            </c:strRef>
          </c:tx>
          <c:spPr>
            <a:solidFill>
              <a:schemeClr val="accent5">
                <a:lumMod val="20000"/>
                <a:lumOff val="80000"/>
                <a:alpha val="80000"/>
              </a:schemeClr>
            </a:solidFill>
            <a:ln>
              <a:noFill/>
            </a:ln>
            <a:effectLst/>
          </c:spPr>
          <c:invertIfNegative val="0"/>
          <c:cat>
            <c:strRef>
              <c:f>PivoteTable!$A$60:$A$80</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PivoteTable!$E$60:$E$80</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1C-18B1-45A7-832B-113D5C1C9EA7}"/>
            </c:ext>
          </c:extLst>
        </c:ser>
        <c:dLbls>
          <c:showLegendKey val="0"/>
          <c:showVal val="0"/>
          <c:showCatName val="0"/>
          <c:showSerName val="0"/>
          <c:showPercent val="0"/>
          <c:showBubbleSize val="0"/>
        </c:dLbls>
        <c:gapWidth val="40"/>
        <c:overlap val="100"/>
        <c:axId val="197687888"/>
        <c:axId val="197691728"/>
      </c:barChart>
      <c:catAx>
        <c:axId val="1976878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91728"/>
        <c:crosses val="autoZero"/>
        <c:auto val="1"/>
        <c:lblAlgn val="ctr"/>
        <c:lblOffset val="100"/>
        <c:noMultiLvlLbl val="0"/>
      </c:catAx>
      <c:valAx>
        <c:axId val="197691728"/>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687888"/>
        <c:crosses val="autoZero"/>
        <c:crossBetween val="between"/>
      </c:valAx>
      <c:spPr>
        <a:noFill/>
        <a:ln>
          <a:noFill/>
        </a:ln>
        <a:effectLst>
          <a:softEdge rad="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[ecommerce-blank.xlsx]PivoteTable!PivotTable4</c:name>
    <c:fmtId val="62"/>
  </c:pivotSource>
  <c:chart>
    <c:autoTitleDeleted val="1"/>
    <c:pivotFmts>
      <c:pivotFmt>
        <c:idx val="0"/>
        <c:spPr>
          <a:solidFill>
            <a:schemeClr val="accent1"/>
          </a:solidFill>
          <a:ln w="19050">
            <a:solidFill>
              <a:schemeClr val="lt1"/>
            </a:solidFill>
          </a:ln>
          <a:effectLst/>
        </c:spPr>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5">
              <a:lumMod val="50000"/>
              <a:alpha val="80000"/>
            </a:schemeClr>
          </a:solidFill>
          <a:ln w="19050">
            <a:solidFill>
              <a:schemeClr val="lt1"/>
            </a:solidFill>
          </a:ln>
          <a:effectLst/>
        </c:spPr>
        <c:dLbl>
          <c:idx val="0"/>
          <c:layout>
            <c:manualLayout>
              <c:x val="0.10984460664062526"/>
              <c:y val="0.3251285833946014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5">
              <a:lumMod val="60000"/>
              <a:lumOff val="40000"/>
              <a:alpha val="80000"/>
            </a:schemeClr>
          </a:solidFill>
          <a:ln w="19050">
            <a:solidFill>
              <a:schemeClr val="lt1"/>
            </a:solidFill>
          </a:ln>
          <a:effectLst/>
        </c:spPr>
        <c:dLbl>
          <c:idx val="0"/>
          <c:layout>
            <c:manualLayout>
              <c:x val="-0.11442146525065149"/>
              <c:y val="0.233686169314869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6">
              <a:lumMod val="60000"/>
              <a:lumOff val="40000"/>
              <a:alpha val="80000"/>
            </a:schemeClr>
          </a:solidFill>
          <a:ln w="19050">
            <a:solidFill>
              <a:schemeClr val="lt1"/>
            </a:solidFill>
          </a:ln>
          <a:effectLst/>
        </c:spPr>
        <c:dLbl>
          <c:idx val="0"/>
          <c:layout>
            <c:manualLayout>
              <c:x val="-0.18765120301106847"/>
              <c:y val="-0.152404023466219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5">
              <a:lumMod val="20000"/>
              <a:lumOff val="80000"/>
              <a:alpha val="80000"/>
            </a:schemeClr>
          </a:solidFill>
          <a:ln w="19050">
            <a:solidFill>
              <a:schemeClr val="lt1"/>
            </a:solidFill>
          </a:ln>
          <a:effectLst/>
        </c:spPr>
        <c:dLbl>
          <c:idx val="0"/>
          <c:layout>
            <c:manualLayout>
              <c:x val="0.29238719131261925"/>
              <c:y val="-0.131846809940967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838550051192345"/>
                  <c:h val="0.19289269236707846"/>
                </c:manualLayout>
              </c15:layout>
            </c:ext>
          </c:extLst>
        </c:dLbl>
      </c:pivotFmt>
    </c:pivotFmts>
    <c:plotArea>
      <c:layout>
        <c:manualLayout>
          <c:layoutTarget val="inner"/>
          <c:xMode val="edge"/>
          <c:yMode val="edge"/>
          <c:x val="8.5725293637389247E-2"/>
          <c:y val="9.748072519484885E-2"/>
          <c:w val="0.8137933889410921"/>
          <c:h val="0.76815319005903249"/>
        </c:manualLayout>
      </c:layout>
      <c:doughnutChart>
        <c:varyColors val="1"/>
        <c:ser>
          <c:idx val="0"/>
          <c:order val="0"/>
          <c:tx>
            <c:strRef>
              <c:f>PivoteTable!$N$57</c:f>
              <c:strCache>
                <c:ptCount val="1"/>
                <c:pt idx="0">
                  <c:v>Total</c:v>
                </c:pt>
              </c:strCache>
            </c:strRef>
          </c:tx>
          <c:dPt>
            <c:idx val="0"/>
            <c:bubble3D val="0"/>
            <c:spPr>
              <a:solidFill>
                <a:schemeClr val="accent5">
                  <a:lumMod val="50000"/>
                  <a:alpha val="80000"/>
                </a:schemeClr>
              </a:solidFill>
              <a:ln w="19050">
                <a:solidFill>
                  <a:schemeClr val="lt1"/>
                </a:solidFill>
              </a:ln>
              <a:effectLst/>
            </c:spPr>
            <c:extLst>
              <c:ext xmlns:c16="http://schemas.microsoft.com/office/drawing/2014/chart" uri="{C3380CC4-5D6E-409C-BE32-E72D297353CC}">
                <c16:uniqueId val="{00000001-959C-4478-A05A-D788D2394300}"/>
              </c:ext>
            </c:extLst>
          </c:dPt>
          <c:dPt>
            <c:idx val="1"/>
            <c:bubble3D val="0"/>
            <c:spPr>
              <a:solidFill>
                <a:schemeClr val="accent5">
                  <a:lumMod val="60000"/>
                  <a:lumOff val="40000"/>
                  <a:alpha val="80000"/>
                </a:schemeClr>
              </a:solidFill>
              <a:ln w="19050">
                <a:solidFill>
                  <a:schemeClr val="lt1"/>
                </a:solidFill>
              </a:ln>
              <a:effectLst/>
            </c:spPr>
            <c:extLst>
              <c:ext xmlns:c16="http://schemas.microsoft.com/office/drawing/2014/chart" uri="{C3380CC4-5D6E-409C-BE32-E72D297353CC}">
                <c16:uniqueId val="{00000003-959C-4478-A05A-D788D2394300}"/>
              </c:ext>
            </c:extLst>
          </c:dPt>
          <c:dPt>
            <c:idx val="2"/>
            <c:bubble3D val="0"/>
            <c:spPr>
              <a:solidFill>
                <a:schemeClr val="accent6">
                  <a:lumMod val="60000"/>
                  <a:lumOff val="40000"/>
                  <a:alpha val="80000"/>
                </a:schemeClr>
              </a:solidFill>
              <a:ln w="19050">
                <a:solidFill>
                  <a:schemeClr val="lt1"/>
                </a:solidFill>
              </a:ln>
              <a:effectLst/>
            </c:spPr>
            <c:extLst>
              <c:ext xmlns:c16="http://schemas.microsoft.com/office/drawing/2014/chart" uri="{C3380CC4-5D6E-409C-BE32-E72D297353CC}">
                <c16:uniqueId val="{00000005-959C-4478-A05A-D788D2394300}"/>
              </c:ext>
            </c:extLst>
          </c:dPt>
          <c:dPt>
            <c:idx val="3"/>
            <c:bubble3D val="0"/>
            <c:spPr>
              <a:solidFill>
                <a:schemeClr val="accent5">
                  <a:lumMod val="20000"/>
                  <a:lumOff val="80000"/>
                  <a:alpha val="80000"/>
                </a:schemeClr>
              </a:solidFill>
              <a:ln w="19050">
                <a:solidFill>
                  <a:schemeClr val="lt1"/>
                </a:solidFill>
              </a:ln>
              <a:effectLst/>
            </c:spPr>
            <c:extLst>
              <c:ext xmlns:c16="http://schemas.microsoft.com/office/drawing/2014/chart" uri="{C3380CC4-5D6E-409C-BE32-E72D297353CC}">
                <c16:uniqueId val="{00000007-959C-4478-A05A-D788D2394300}"/>
              </c:ext>
            </c:extLst>
          </c:dPt>
          <c:dLbls>
            <c:dLbl>
              <c:idx val="0"/>
              <c:layout>
                <c:manualLayout>
                  <c:x val="0.10984460664062526"/>
                  <c:y val="0.3251285833946014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959C-4478-A05A-D788D2394300}"/>
                </c:ext>
              </c:extLst>
            </c:dLbl>
            <c:dLbl>
              <c:idx val="1"/>
              <c:layout>
                <c:manualLayout>
                  <c:x val="-0.11442146525065149"/>
                  <c:y val="0.2336861693148699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59C-4478-A05A-D788D2394300}"/>
                </c:ext>
              </c:extLst>
            </c:dLbl>
            <c:dLbl>
              <c:idx val="2"/>
              <c:layout>
                <c:manualLayout>
                  <c:x val="-0.18765120301106847"/>
                  <c:y val="-0.1524040234662195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59C-4478-A05A-D788D2394300}"/>
                </c:ext>
              </c:extLst>
            </c:dLbl>
            <c:dLbl>
              <c:idx val="3"/>
              <c:layout>
                <c:manualLayout>
                  <c:x val="0.29238719131261925"/>
                  <c:y val="-0.1318468099409676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layout>
                    <c:manualLayout>
                      <c:w val="0.23838550051192345"/>
                      <c:h val="0.19289269236707846"/>
                    </c:manualLayout>
                  </c15:layout>
                </c:ext>
                <c:ext xmlns:c16="http://schemas.microsoft.com/office/drawing/2014/chart" uri="{C3380CC4-5D6E-409C-BE32-E72D297353CC}">
                  <c16:uniqueId val="{00000007-959C-4478-A05A-D788D239430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PivoteTable!$M$58:$M$62</c:f>
              <c:strCache>
                <c:ptCount val="4"/>
                <c:pt idx="0">
                  <c:v>Female</c:v>
                </c:pt>
                <c:pt idx="1">
                  <c:v>Male</c:v>
                </c:pt>
                <c:pt idx="2">
                  <c:v>Other</c:v>
                </c:pt>
                <c:pt idx="3">
                  <c:v>Unknown</c:v>
                </c:pt>
              </c:strCache>
            </c:strRef>
          </c:cat>
          <c:val>
            <c:numRef>
              <c:f>PivoteTable!$N$58:$N$62</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959C-4478-A05A-D788D2394300}"/>
            </c:ext>
          </c:extLst>
        </c:ser>
        <c:dLbls>
          <c:showLegendKey val="0"/>
          <c:showVal val="0"/>
          <c:showCatName val="0"/>
          <c:showSerName val="0"/>
          <c:showPercent val="0"/>
          <c:showBubbleSize val="0"/>
          <c:showLeaderLines val="1"/>
        </c:dLbls>
        <c:firstSliceAng val="0"/>
        <c:holeSize val="54"/>
      </c:doughnutChart>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[ecommerce-blank.xlsx]PivoteTable!PivotTable8</c:name>
    <c:fmtId val="6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 long we</a:t>
            </a:r>
            <a:r>
              <a:rPr lang="en-US" baseline="0"/>
              <a:t> take to</a:t>
            </a:r>
            <a:r>
              <a:rPr lang="en-US"/>
              <a:t> ship?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PivoteTable!$B$170</c:f>
              <c:strCache>
                <c:ptCount val="1"/>
                <c:pt idx="0">
                  <c:v>Total</c:v>
                </c:pt>
              </c:strCache>
            </c:strRef>
          </c:tx>
          <c:spPr>
            <a:solidFill>
              <a:schemeClr val="accent5">
                <a:lumMod val="60000"/>
                <a:lumOff val="40000"/>
              </a:schemeClr>
            </a:solidFill>
            <a:ln>
              <a:noFill/>
            </a:ln>
            <a:effectLst/>
            <a:sp3d/>
          </c:spPr>
          <c:invertIfNegative val="0"/>
          <c:cat>
            <c:strRef>
              <c:f>PivoteTable!$A$171:$A$186</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PivoteTable!$B$171:$B$186</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shape val="cylinder"/>
          <c:extLst>
            <c:ext xmlns:c16="http://schemas.microsoft.com/office/drawing/2014/chart" uri="{C3380CC4-5D6E-409C-BE32-E72D297353CC}">
              <c16:uniqueId val="{00000000-AA23-4F5C-9C7F-01F07DC02F3B}"/>
            </c:ext>
          </c:extLst>
        </c:ser>
        <c:dLbls>
          <c:showLegendKey val="0"/>
          <c:showVal val="0"/>
          <c:showCatName val="0"/>
          <c:showSerName val="0"/>
          <c:showPercent val="0"/>
          <c:showBubbleSize val="0"/>
        </c:dLbls>
        <c:gapWidth val="50"/>
        <c:shape val="box"/>
        <c:axId val="197707088"/>
        <c:axId val="197709968"/>
        <c:axId val="0"/>
      </c:bar3DChart>
      <c:catAx>
        <c:axId val="19770708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09968"/>
        <c:crosses val="autoZero"/>
        <c:auto val="1"/>
        <c:lblAlgn val="ctr"/>
        <c:lblOffset val="100"/>
        <c:noMultiLvlLbl val="0"/>
      </c:catAx>
      <c:valAx>
        <c:axId val="197709968"/>
        <c:scaling>
          <c:orientation val="minMax"/>
        </c:scaling>
        <c:delete val="0"/>
        <c:axPos val="l"/>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070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[ecommerce-blank.xlsx]PivoteTable!PivotTable9</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satisfaction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PivoteTable!$B$194:$B$195</c:f>
              <c:strCache>
                <c:ptCount val="1"/>
                <c:pt idx="0">
                  <c:v>1</c:v>
                </c:pt>
              </c:strCache>
            </c:strRef>
          </c:tx>
          <c:spPr>
            <a:solidFill>
              <a:schemeClr val="accent4">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PivoteTable!$A$196:$A$199</c:f>
              <c:strCache>
                <c:ptCount val="3"/>
                <c:pt idx="0">
                  <c:v>Jan</c:v>
                </c:pt>
                <c:pt idx="1">
                  <c:v>Feb</c:v>
                </c:pt>
                <c:pt idx="2">
                  <c:v>Mar</c:v>
                </c:pt>
              </c:strCache>
            </c:strRef>
          </c:cat>
          <c:val>
            <c:numRef>
              <c:f>PivoteTable!$B$196:$B$199</c:f>
              <c:numCache>
                <c:formatCode>General</c:formatCode>
                <c:ptCount val="3"/>
                <c:pt idx="0">
                  <c:v>7</c:v>
                </c:pt>
                <c:pt idx="1">
                  <c:v>8</c:v>
                </c:pt>
                <c:pt idx="2">
                  <c:v>6</c:v>
                </c:pt>
              </c:numCache>
            </c:numRef>
          </c:val>
          <c:extLst>
            <c:ext xmlns:c16="http://schemas.microsoft.com/office/drawing/2014/chart" uri="{C3380CC4-5D6E-409C-BE32-E72D297353CC}">
              <c16:uniqueId val="{00000000-B719-48BC-B7CF-4E4AE9755165}"/>
            </c:ext>
          </c:extLst>
        </c:ser>
        <c:ser>
          <c:idx val="1"/>
          <c:order val="1"/>
          <c:tx>
            <c:strRef>
              <c:f>PivoteTable!$C$194:$C$195</c:f>
              <c:strCache>
                <c:ptCount val="1"/>
                <c:pt idx="0">
                  <c:v>2</c:v>
                </c:pt>
              </c:strCache>
            </c:strRef>
          </c:tx>
          <c:spPr>
            <a:solidFill>
              <a:schemeClr val="accent4">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PivoteTable!$A$196:$A$199</c:f>
              <c:strCache>
                <c:ptCount val="3"/>
                <c:pt idx="0">
                  <c:v>Jan</c:v>
                </c:pt>
                <c:pt idx="1">
                  <c:v>Feb</c:v>
                </c:pt>
                <c:pt idx="2">
                  <c:v>Mar</c:v>
                </c:pt>
              </c:strCache>
            </c:strRef>
          </c:cat>
          <c:val>
            <c:numRef>
              <c:f>PivoteTable!$C$196:$C$199</c:f>
              <c:numCache>
                <c:formatCode>General</c:formatCode>
                <c:ptCount val="3"/>
                <c:pt idx="0">
                  <c:v>37</c:v>
                </c:pt>
                <c:pt idx="1">
                  <c:v>51</c:v>
                </c:pt>
                <c:pt idx="2">
                  <c:v>39</c:v>
                </c:pt>
              </c:numCache>
            </c:numRef>
          </c:val>
          <c:extLst>
            <c:ext xmlns:c16="http://schemas.microsoft.com/office/drawing/2014/chart" uri="{C3380CC4-5D6E-409C-BE32-E72D297353CC}">
              <c16:uniqueId val="{00000001-4677-4D21-ADBE-18AF2F1EDB55}"/>
            </c:ext>
          </c:extLst>
        </c:ser>
        <c:ser>
          <c:idx val="2"/>
          <c:order val="2"/>
          <c:tx>
            <c:strRef>
              <c:f>PivoteTable!$D$194:$D$195</c:f>
              <c:strCache>
                <c:ptCount val="1"/>
                <c:pt idx="0">
                  <c:v>3</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PivoteTable!$A$196:$A$199</c:f>
              <c:strCache>
                <c:ptCount val="3"/>
                <c:pt idx="0">
                  <c:v>Jan</c:v>
                </c:pt>
                <c:pt idx="1">
                  <c:v>Feb</c:v>
                </c:pt>
                <c:pt idx="2">
                  <c:v>Mar</c:v>
                </c:pt>
              </c:strCache>
            </c:strRef>
          </c:cat>
          <c:val>
            <c:numRef>
              <c:f>PivoteTable!$D$196:$D$199</c:f>
              <c:numCache>
                <c:formatCode>General</c:formatCode>
                <c:ptCount val="3"/>
                <c:pt idx="0">
                  <c:v>150</c:v>
                </c:pt>
                <c:pt idx="1">
                  <c:v>182</c:v>
                </c:pt>
                <c:pt idx="2">
                  <c:v>163</c:v>
                </c:pt>
              </c:numCache>
            </c:numRef>
          </c:val>
          <c:extLst>
            <c:ext xmlns:c16="http://schemas.microsoft.com/office/drawing/2014/chart" uri="{C3380CC4-5D6E-409C-BE32-E72D297353CC}">
              <c16:uniqueId val="{00000002-4677-4D21-ADBE-18AF2F1EDB55}"/>
            </c:ext>
          </c:extLst>
        </c:ser>
        <c:ser>
          <c:idx val="3"/>
          <c:order val="3"/>
          <c:tx>
            <c:strRef>
              <c:f>PivoteTable!$E$194:$E$195</c:f>
              <c:strCache>
                <c:ptCount val="1"/>
                <c:pt idx="0">
                  <c:v>4</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PivoteTable!$A$196:$A$199</c:f>
              <c:strCache>
                <c:ptCount val="3"/>
                <c:pt idx="0">
                  <c:v>Jan</c:v>
                </c:pt>
                <c:pt idx="1">
                  <c:v>Feb</c:v>
                </c:pt>
                <c:pt idx="2">
                  <c:v>Mar</c:v>
                </c:pt>
              </c:strCache>
            </c:strRef>
          </c:cat>
          <c:val>
            <c:numRef>
              <c:f>PivoteTable!$E$196:$E$199</c:f>
              <c:numCache>
                <c:formatCode>General</c:formatCode>
                <c:ptCount val="3"/>
                <c:pt idx="0">
                  <c:v>312</c:v>
                </c:pt>
                <c:pt idx="1">
                  <c:v>373</c:v>
                </c:pt>
                <c:pt idx="2">
                  <c:v>351</c:v>
                </c:pt>
              </c:numCache>
            </c:numRef>
          </c:val>
          <c:extLst>
            <c:ext xmlns:c16="http://schemas.microsoft.com/office/drawing/2014/chart" uri="{C3380CC4-5D6E-409C-BE32-E72D297353CC}">
              <c16:uniqueId val="{00000003-4677-4D21-ADBE-18AF2F1EDB55}"/>
            </c:ext>
          </c:extLst>
        </c:ser>
        <c:ser>
          <c:idx val="4"/>
          <c:order val="4"/>
          <c:tx>
            <c:strRef>
              <c:f>PivoteTable!$F$194:$F$195</c:f>
              <c:strCache>
                <c:ptCount val="1"/>
                <c:pt idx="0">
                  <c:v>5</c:v>
                </c:pt>
              </c:strCache>
            </c:strRef>
          </c:tx>
          <c:spPr>
            <a:solidFill>
              <a:schemeClr val="accent4">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PivoteTable!$A$196:$A$199</c:f>
              <c:strCache>
                <c:ptCount val="3"/>
                <c:pt idx="0">
                  <c:v>Jan</c:v>
                </c:pt>
                <c:pt idx="1">
                  <c:v>Feb</c:v>
                </c:pt>
                <c:pt idx="2">
                  <c:v>Mar</c:v>
                </c:pt>
              </c:strCache>
            </c:strRef>
          </c:cat>
          <c:val>
            <c:numRef>
              <c:f>PivoteTable!$F$196:$F$199</c:f>
              <c:numCache>
                <c:formatCode>General</c:formatCode>
                <c:ptCount val="3"/>
                <c:pt idx="0">
                  <c:v>224</c:v>
                </c:pt>
                <c:pt idx="1">
                  <c:v>247</c:v>
                </c:pt>
                <c:pt idx="2">
                  <c:v>250</c:v>
                </c:pt>
              </c:numCache>
            </c:numRef>
          </c:val>
          <c:extLst>
            <c:ext xmlns:c16="http://schemas.microsoft.com/office/drawing/2014/chart" uri="{C3380CC4-5D6E-409C-BE32-E72D297353CC}">
              <c16:uniqueId val="{00000004-4677-4D21-ADBE-18AF2F1EDB55}"/>
            </c:ext>
          </c:extLst>
        </c:ser>
        <c:dLbls>
          <c:dLblPos val="outEnd"/>
          <c:showLegendKey val="0"/>
          <c:showVal val="1"/>
          <c:showCatName val="0"/>
          <c:showSerName val="0"/>
          <c:showPercent val="0"/>
          <c:showBubbleSize val="0"/>
        </c:dLbls>
        <c:gapWidth val="219"/>
        <c:overlap val="-27"/>
        <c:axId val="279333552"/>
        <c:axId val="279329712"/>
      </c:barChart>
      <c:catAx>
        <c:axId val="27933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329712"/>
        <c:crosses val="autoZero"/>
        <c:auto val="1"/>
        <c:lblAlgn val="ctr"/>
        <c:lblOffset val="100"/>
        <c:noMultiLvlLbl val="0"/>
      </c:catAx>
      <c:valAx>
        <c:axId val="279329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9333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00000000-92C9-4B3C-9FA9-E2C4A1ED4D75}">
          <cx:tx>
            <cx:txData>
              <cx:f>_xlchart.v5.2</cx:f>
              <cx:v>Sum of Quantity</cx:v>
            </cx:txData>
          </cx:tx>
          <cx:dataId val="0"/>
          <cx:layoutPr>
            <cx:geography cultureLanguage="en-US" cultureRegion="IN" attribution="Powered by Bing">
              <cx:geoCache provider="{E9337A44-BEBE-4D9F-B70C-5C5E7DAFC167}">
                <cx:binary>5H1rc9u2tvZfyeTzoUsAJC57dvdMSUqyfJEdx0mafuEotkKCJHgD77/+XbKd1KLlbPqd6sPRUdvp
JNSCFvEA646Ff991/7pLNuvyXaeSVP/rrvv9fVhV+b9++03fhRu11idK3pWZzr5XJ3eZ+i37/l3e
bX67L9etTIPfsIms3+7CdVltuvf/+TeMFmyyi+xuXcks/VBvyv5mo+uk0r94tvfRu/W9kqkndVXK
uwr9/t5dJ/J7VqZy/X73Gf79/cdqnUqdrGv9zs3qtOrfv9uklaz62z7f/P5+Zyj8/t1v4198wd27
BF6gqu+BmLATapmM2JSYDx8YIMnS4OmxgTA6MU1sEcL4j59drRVQvo2rB57W9/flRmt4wYf/7x1j
521gXv6YNB9323nZohEAML+//5TKanP/DlisNvr9O6mzh4krezfbvvSnjw+z9Nsunv/59+gvYN5G
f/MM8vEk/7dHu6j+F8Svk/XdpjwA2vyECyaQxcUj2mQP2swiyMTi8bOL+XS+9uM9op+A9YjiyHD+
I4GtdL8+ANDshJsWx5ySRxzZGGh8ghm2GIX9/ihMHnf1GzjaD/F4gAkYj0mODOSP6/TdRS31u6tv
UufZAcC2TzDHFAmLP+5qNAbbPKHUNBHCYhft/w/W9qP+2kAT0H+N9MhWwWqdH2Kf8xMsYB+Dmn5F
oMM+58IybT7a6FP52Y/3DvUEkHe+f2TI/pHkMt0cYFvzEyrAMEO29SjDwQDbMc2QOGHwsW1m7W7r
6RztR3dEPwHfEcWRIfxRbsryELtXnNjUJKCmrVd2r3kCD01Ouf3wBRDsz5X1dL724zyin4DziOLI
cL6RzabU8v4Qm5mcCG7ahIAe/gHl7mZmJ4QxEyM20tFvYmo/zi+HmAD1S6IjQ/tiHR8CaHFiggPF
TPGaQ41PBLIR5Yzu7uap/OzHeId6Arw73z8yZM83ZXoAfWzDDiVgSllPe3hsZoM+NhEXiGDwtp7L
6an87Ed2h3oCsjvfPzJkvU3ybpVBOO6fh9dCJ8y2GMMA4cPnhctsnWDY2uAyj0zpNzG1H+OXQ0wA
+iXRkaH9h1rfZ4cJgxEIfZhgd41MamyCSY0xyO7HANnI4JrO0H6YR/QTMB5RHBnAbpbU+jCGNTYF
JuA7PVpbL6LaGKLanFBh2buiejpH+xEe0U9AeERxZAg7dXUIYU3Ac0L4QRnv940hbWGDooaQ12gL
T2ZoP7675BPg3SU4MnQvs7TalJv+n9fGhJ5QRhkjJnvcwXsyFdSmFiXjCPZbeNqP8YsRJsD8gubI
kD6t1bcsua/+eaQtULmcIsvC4A/tuMTYOkEUERNCII+bfFdUv4Wl/UC/GGEC0C9ojgxoSESvIQqy
PkSumZ8gQTHCEOd4+LzQypCn4Fu9bY1c4zcxtR/rl0NMAPsl0bGhDQL8IbKpq0OYYfzBIRZQPPCK
lsYniFjcZmhUXOC+ka9XMN83yhTY99EdGfKrTbM+SOZZnGCKGSfmk+m9R3GbkKqEpMZok0/naD/a
I/oJOI8ojgzhWfLOy0rwoP95nU34CcOC2vipukBAzHpXdYNSF9s6E8hvbD8jI/xNrO1H++UQEwB/
SXRkmG+T6c4Gqp8OATo94Tbeul32ozR/ATo6sUxsgi032tlv42o/3nvGmAD4HqojQ3wOFXXpYdBm
BFHbRmg/2tvsM7fhHzQKoUznaD/SI/oJKI8ojgzh2024VgewzsDxQgzqgmz8CsIYakeIBbsZ4X1C
fDpf+3Ee0U/AeURxZDiDrNoa4WU9HEBh0xPBAEoT0VctcQiHQ/3Y2Cp7G1f7kd4zxgS091AdGeKL
ZJMeIlEJwVFs2ki8jKiAvyU4gnLvUQprMif7Ad4ln4DtLsGRwbpU+aaU6+QA2xiDWY25va3QfviM
nStkQ0WRDUobslvbz8jufgtn+5F+McIEsF/QHBveaX8YA4ybGDYyeyr/G5vbaBtOE5RyPgqeLCfy
8wrCz6mnoPv8+0eGLKigd5dwhuQQ8LITi0O5AVR4PmrkF+UGYH1hjixhjTbxm5jaj/HLISYA/ZLo
yNA+hyNfhwh70xOoCIIibesVvxk8KQrPIFU5rhuaytB+lHffZwLCuwRHhu52+TpQGLYu7+VBHGbI
VkFJAeLkqfDvhW5mUKtvmXD+ajeP9XbG9sP9yjgTcH+F8sgWwMVa680BzG3woy2o0efi0Us2zTHw
UFRE4bHF6Wh/T+doP+Ij+glIjyiODOHbOlmXBygNhGIE2NTbKMjTsUnQyDvhbpDgWIAdhmzA/nnl
53SO9iM8op+A8IjiyBC+yPS7P9Jgk2wOoaitEwiGYcJ/KOoXB27gtBWchLYYlHfv8a7eyNx+xPcN
MgH2fWRHhv3l+h7qEg7gVENsjEJSA7OnjOV4d4P8NimkqS000tzTOdqP9Yh+AswjiiND+GO4Pkgd
AmhoOCNHCSevFZ7gE8LBeoNTtLvyezpH+xEe0U9AeERxZAhfrkt5ABMMulhAeNuGDfyUkB5Lbkhl
2GCaUyZGsZLJDO3Hd5d8Ary7BEeIbp4dpKD7IVoCEpo/GdljGQ0WmKAW4xgOXj18dvfxdtqncvY6
0jsjTAR7h+bY8N6k99ndYbxpcQKhLyEYe4p0jwHHBE7jMEqIGDlVl29h6hWsXwwxBewXREeG9i2I
bmg69M8bYNsKYIiQgfh+Sk7uCYVuWxggOM+xu63fwNJ+pMcDTMB5THJkKF8nNbTF+udBhhMbglAG
JWNP1QYvQDZPIEQibAiI74I8naP9GI/oJ0A8ojgyhC835R00x3IP0EqMmFRQ6FbwqIJfGGEQKONI
gPf82O5gtJmn87Uf5xH9BJxHFEeGM0R1t/UkEBI7hNMM7QogEAIHJV8DG51sA2JQ5zvazm9kaz/W
+waZAPg+siND/TIDk+yf39xwOtoSJkjnHwVE4CjvhEAhSGJbGKq60SgEOpmh/Ujvkk/AeJfgyNB9
XMDOuvx2mF1tnVgY2s1Ai8BHEf6i5gBSlYJDUSAcnX347KrqN7O3H/P9w0zAfj/hka0BOGp4iHoE
iG1DJ6mfynvrVu1s8G2OAyoEBTjYu6BP5Wc/1jvUEyDe+f6RIXtVriG38c8Lb0KgbAwOY3D6Wicx
aBdpQ88DOi4Ym87RfnRH9BPwHVEcGcIf13cltPxMD3I+g0OUGzrGQRfIR9k83sFwJh6qieAfODe/
J331Nt72471njAmY76E6Mtxva+h0oQ7SJRBC3xzqSiwwz36guiO3wTCDDnMIcTwyzN7C0360X4ww
AesXNEeGNJgg7zy5CQ6hoqH6F0GUDCqAx7qZwUl5yGDxH8WEuxr6TTzth/rlEBOwfkl0hGDPQWnf
SX2X/Zjzf6YrO4OzGAw86P12OOSzwFBHNicjY2w75T85mmJJvA73y2EmQv6S8AhhP8vWRX2oXCZs
cgsDwA+fF+VkCIqNoJpUiP1NQWEFvIG51/EfDzIR/THZsWEvdSz7rJ6yt952FcO2AR2BLY1/9Gwf
O9+w6Sn0A7ahGOWHrHm6iuENPL2C93iEKWCPaY4M6c9gptcHiZ1CI0Fo6kvM19piPJQTwhEfao6q
Fd7A0n6cxwNMgHlMcmQof9w2KDtEj0FIYBOModvNUyhtbLOBN0bhND3I8XHN0WSO9mM8eqMJEI8o
jg1hiJcd4vw0NMGwiKDQfv+1FmUP9jq1oHJwJK8nc/QKwrv0UxDepTg6hJP1wWKiEDfbtqHb71tD
G0lLQHP2Fx0vsqkcvYbwDv0khHcojgzhr1lyCIcablhgcLwSaktGDjUIZ3jAEPSf2926UxnZD+sO
9QRQd75/bJDW39b/vBENZSYITuPA4ffXSn2hMSi0XudQDjxCdiI/ryD7nHoKss+//78A2V+zuPPC
27vN/vgxt3uCIW+/oQ7SypRCSnK/EAZrmSJQwoD7vpwk9PD7ebPe49GcfTztR/U57c47Pr7iryfl
MLfOvX4j3c9r/rx1tZ49XBD47FK6Xz99eH2423BE+nSWac+E/ewfsbz//T2UaBLQgWDh/rx7cDvQ
zkmov68L/LE0dik3UPr/+3u4b3AbrobWr5YNfjBl2yMX7ebpEeQv4BGGrmLERva28WsKveBDuMUQ
Gg3CRThwaZ0J3buhLyw80ln98AhCo9tm3+LJVqP050WO11nSB1n6c2ae/vwurdV1JtNKw8Db+Fr+
+L0tvzZcpGTCsXzIpUFtC1yxtvXQ8rv1zfakLkzE/xjcIHHZJdlV3dN4uIxwbkcraLwS4VlVqeSa
yaKpXJXYKzsvruuQ31lB2M5KrG4blGSOQuqiwOXXpM/OEp3eSCW9ysCZQyL/ktv2Zd5lsZuydhGQ
JvBKHV+EZvtliNKNkLpzsgbr1o1p9sEOhjlSVuSEQ+LUfhh72KodklTRZVUbTgcy0CtJk6Jv2Iic
rmmDZN4GDUdLuA+ylGc4plWwiJFhDY7ZCCodlZOIOr5hktyhTb5kkqlFwcQZTfhg3RK/YtLxVRvV
nhBBaF2UkdRfo9ZPvbohCs+buokGt6qjc6ZTGrmJsHU7Y6VteELzMjqNU9YMs6IMzGKmoBw0cJK2
+1ZTFTptkn5huV27VdgueCPKRS7pOvcz32Nt0X2IeNLOSZ1dSt8sXKwry8lDOSsG33RCQWaZ33zC
pv/ZKIdlxYybhik3bdql1adeY1QXXWtfiYb2Ds+pWyb4ptdynRvZeVIzw8mq+rJmaeowIz/lIcud
UqCbpjaW0B1plvrFigf5d0xKRxntKZLVWUvVaeAXF4FIVwp3qzorv5m9vhFhcooj+ikWjRfa7NRH
wRUNG+0USf4xyQeHpdJLcnPR2vqmrLhHunYZUeuLYtQxBV8Lrs+SqK1drgieReJ7irKZldAVaetZ
m/GFlQ8uyvSlL/W1iKuvpR48VnMvN9AsZeFqyNQV73tH2MMq1dap7vCXoc0uGxw5lkpXgKWbR+1c
hOEq8rOVJuJ8IPYc/NKzyI4WOTX/wnY057K6zEn1Lch4NNtCHzBxa5XIlQotOO0uUKMrpxbmqsah
1xfRqqT4Q9G3bjUYn+yQLJNoi3CdeXmslhpxh0vuCL/YCEu7TZp8YVH4KTPDmyo05n5uX0Byc45r
tTKjJnFojy5aq/vWABOuSJEXp+jCb4YzzpBbhtVFwNDckN1524XLTKvC4X25KRm+aUR3U/axcPyg
sT8wu1xI2oYr6luXvY3VVZmY0VLFSRE6EmcE5U4D82V3xZVJ7YsWwZKqhbVMGm24BW1zL9fivg+6
ldkpz1LkgsngQ1dU1Oty6TVJwjxSFH9VUQ/Lj1Avz/1FVzT93CD+X0OZXLaiC+dc1bdx68+IQZgT
W5We4WyQDorT3CHKYq4Rlp2bN0Y6wyG69C3rxipl6RqWqpyoA8SbSFxHubHQlvLyJspO8zA2XEOz
aF506LKK6kXsB64tMsdsdT2D1QFoYVw5otbXhR/2bmrpc0yG0g17fZ4oeWX58QUpjAUi7UzRYpVj
LJ22UHe5pQCMwfBwq1sv8nuYrIp+sBO+zKqIeGUWESeN/djxh65yjah2M7hX1MWhHTmRzC+UTGon
rgxX4ezPCq4ddXqsGtdQw6pG5LKL5T0lReQYHJ/6eWo7nQwjJ42aG5riz5WgZ4YdnHKjTuZJn+au
KdtLKFDrncYCCaCMJHdFntYeLvzaaWVezKO6v8gK1DqUyKs4Lj41tKZuGHa3AbVhvSPppEblNjy+
8hOYmrBQsUPK6JNoVOoKGQrHso32YshIch7aNHafXyS7o0/usrwvZRA+3Q3884//uc0U/Ptws+zf
f7m9WvjvPy022Tawq8df2ur+n9/6+3bara79eVXtSIM/3k/8inr/5cM36X4TFO7ruv+hB/5Ltb8l
+qn24ZphaEYHtWXmNmoGWvpvtQ9ONhh3DBonMELJNvn5pPa3HezA0odSNChdgaI1Csr6h9rfnsi2
oQcpFDUROEMirDepfQFu367ah4MoYHtw4I5Brn3L33O13+SdttMgJFe6s0x36Jpl21uFhyJCnJIW
84zg2imr/gvDA/F0YN2VhF9Uoo892/TVPOp8a1GV4XnVZqaTmumlEZmlw4e89jrdrLqSas8SJVxk
nNXfepF+DWUw61VyE1vRIu2rM0zwTZHnsLWKvnZEjrVTInyRqth2AoN90rHIQOGq6nRo/U9DFn2x
g5A5WTZ0Lu3UlR2QK9TSmSiyM5YUy9geyHJo/NKtY8zdJuwWQTzMMM+/W3l4U7eBfZYG/gKW+Tcu
QZvo4XOnVebEWGGH4Dh2KGgTj+S+a3ZZ7bI8/Nyi+q+4ayw3jMNTXGepk2sGOjMExVk1VerKnKxi
VZwlMYiDtiy/F02InM7IKndI+JVUZe62QXEV2U1+1qkqntfSDzymstiJwzJwhRn4K00z0wtFPVCn
sIbvHDfxqrHY3SBhcnNfhR+w34NZoMtNWJniMsqSpS0M7Pg47xdhqvmVlp2aMdYCanVoOWVQBW6s
utaJgjR0mgjRhWy6wKFlY59aHQs+mAFBiyGPAqcIZOKolAQOadvMkYoEM7NPolNCumRmSIkXUZgM
Lhksh9DOhiWQZafK95GHut5cJJaWc8vM/bnVkmRWqgovqoyoWUqiC5QW50MVXYGyW1Z9MHhS8e/+
AIZZxJQ1M7QkXl/30Qz5rF/EdZDMzCjkMBGoB1OrEIsqogHoi7JeCKwbRwVl7pkSyZu0ZXxR53Y4
g+RDdGqavu81TUIcTYjxIYGuzY4a4E2LjlJHUpPOeQDiMupb7vRZkM8MVSMnjmN5ZmsNFioOb3us
r+vaTGehwXswo3K4RkBrR4bUdvpCWGe50MQJUC+dfthOkcTpX622o09pKJGjQ5Ge9nXqO7gLMifx
U3Rl8zBwwnzwHQnzDvLZqE95C/ZH2FptDaaOvI+VZI4ZMX/WBMo4NatoXtvJzPdT4bSK5o4SaekQ
iyiHW1HtGFHLvTJXiUubiH4YENiTXX1DWxXPNI6QdBOcrGLoC35qx8X3Kh2+VagJ51WOaicRSXkp
UUdc0lEvKQu6pH3rX1CDNQvup9YNNurPUmSV4ZlV3fmLEHcIObLO71rgig0G6MgwShzNw2JhyP4W
GS2ad2FAXbC8z1KF6axte+SIpl7ClTm9k7MBDOkkmMk0Nc4MyzyVhHxqdFS5OghvVRGdsSi9bpl2
DYNdavsvn+HzOqPNn32cbFoKBq9lGE5aosjjbd1e1Jqlp0JUkSNLGTtBbF5g+LUwD8+bxvpexBy7
aEguzdZETiPY54GnliOjgTuVVvea6QBsf7XMov4DNDq6qG2p3CxsiJcqni1iiRpwMkLb6/qscxrJ
mFPC11ONc5dpMC/7HiBEhbqqjeBj0vl/mVn9NbdAPHAzbzwWl+eyResupnSmYxK4jc6COarRAkni
FLFVzppIY4cNSDmJbi41b7/UkC71mGFdi45xJ1MsXYITBd+szMip46Rx8yo7ryPzNOFN6jaWP4/M
rLiSouqdKIlMx+iEV3XQZdensWM30vNDTL/Gfq3sWZZ2lymu7jKLLdPa/jPxlb0E69eJyuFbh5rS
qbPuFF46mYfYrMG5G7yEslUYgZQRmeHgEnw1YWROk6FTo6CnfVt4EZZg9Mj2AziiFwnWxPVl8q3i
4pSlZIWCfGFYxSJoQw8wdbsEwZ/tdcildLWsv2vJrpOirWZN1i8rZYWzmiVgJMYffOUboAtqNyH9
eVglH5QwPCTD2yQOZiFNT1mdgKum5G0iK7fGtHRSXzNH9cOpz9GFTFxugo+pBXYJNjd+nfYO6DGj
X2iONb+WYDO7AU1vTFmWs/+LttFzK8eGbfArs+h5dOkxMvUQYnig+mEXIegqtW1IYsKtczZ0W34e
DoFi/W2TfQpBCIiObdvE/bCLwGJC21JucxsSgwvtwGT6YRdhOAgPA4Ilw6EdAtxW+Ba7CL0wiwS4
v3CXJYUMCYGSFYijPzeLqoFkeVHX3SptiZg1rR/mTkYiFrsxa5sP1LD7s6hr0nhmmuCpVpnVfIot
3RWwxtLiy7PZ2xOc2bZL2zXS4Ag4XB8CdyJbEI2CG9F3ubHSPo9FWDcrXKRoBdYMqJWaZTR0u6bK
hNO0Vv2VNbkhQTTxqnCLqIxBqg2aWS5Uvqf3oqrMKxgjBK8iSdCnwTY4WvTU9jeoN1A3/zXHGBKB
LziGYBf0jgJjFS66MUccSxYCtn21Ip0dBB7thuRTAxknMq9Yn9nglnYgvyXzuTMwutWhsUkWqil7
5JVNVt2Hndbg4hm57elKZo1TqdBsHAi5wJYPsii8jmtxprQItQcRc/FZh8V5nLR2N5PaoJeyDBu1
+PVbvYQBfDkTGpXCVYlQlvjw0s9CZKw3gtbIE71KK198zgKOsGPFGJYGeGvddduV4mPuo+TPX//s
dq09j8zBuUKw0RmB+2OgDQQmW7ae/axtdoGV6yBdpXxAKxSHNUQ/SldyP/z861/axvjGvySg0z2D
cCQkGvhoneWp1Q9FGWYrnpvWumizMln4Fe+xE+fhzCzqre1n9jxzI2K36r8tmu2i2P15WCjQGdSC
e3LgfqTxz0O2UoZBquSKFbG9VlFtr+Nky4M9KD2jZZY5vQnQL1pQExg0Z8Y2VSL0shW9ddFRUpou
aSMIM0YsVZ9ImWPihRAx2uRGA6aiMSi2jSFY5alN6FA7v569bX/4Mf9sKzbgDBGGDpjWNsT6DCiT
1nZq275xiWpfrWVZgWWBjLgCc4P0fRqctaGMvwVc5BfdUIRzmlmddDFq2PcKzKLM7cOAuVYWNRtZ
Enbf2HnIzn7NpGW/ABmsQ1hE23NO0InAZpAues4lLbk0IchELiOryH3BvUqEw6KrOiLmVVPXbtkV
5odG9XbthGHI3BKlC43LHMz7HLsQXFI3eWKrzmFJG3xpI5Ute11VTm4X+SeqY+75Req7dRZFEiIr
JGodP9Lpqs0NfVUYA5kFARJgKQx+qlzchOrUplVyg6PgOuhT0kFkjRWryi9uK6wM4tEGw0TKHoNs
sOoBorotjy6S0OZffbO2zkIKOn4Iuka4rRlaYL0lvVwavOyV0/Z88FALgdoh6u5yXVQfa9NgEJZV
FZv7uqiXlo/xbRGiNl74zIBQyhDG/jc4IVo2jkwL469aMQhL5RovwZDOl6gQyb1scrDGc6Lij1L4
HXOawgrOSr+s3R7mYYEsLK6KVnUzqy2LOUJgVc0SuDAIzL824IXb4NCfKU1Kr87FVegbgekhlFWn
oGpw66YmOEa8YsmfnTLDc1yK/KNNKntRi8jAc03VsOY0K2fa7KJh3sQ8mBtdZ66xTtrvOshz2x1w
BbZbGuAmmHdVlMHmaNtZHzQ1n5eZH3pJRdRpCl91QAGVGUy0apgT6SgyXOa3zGGZ3Q2OVSW+Syoj
VYuSxrPAqnvzQ0uQ5UldmokTwUqq5qRqhV50hHUXkEAYEv9D3RaVUk4vIcpV3odgf+Lhq26NjkFY
XJQgyrM73KuoAie6ruo6N1dVXKm4OxOyGBaNqCt/qUopcyfCSfbRZAZZRj0htVsDBj74YaboAC7F
uZf6PujDKonbYkbjNjAhFl4h/yosTMqy07hnYHf2XSKqC6orAiuq9TMEKYcadOGcGmHkXzWwdWjg
FjznsOBIrNU8TWQpnKQA5eXPukZS1/Ahowc+oG+mlptpcB1c8Nhbf94mLFEz7YNVMIeYihpcPtgg
MVMcW7WrwtJInEb3gb7W0lBqlgWSfzfqhknTMzNcLaTFa76yDT/wz1LCKmZHbtrpYuhPNdROluEs
h8iHmvm6GYq5KHUq531CVX9qaq1y18Z9Il3W2X2yKGUhDRdgxV+MXA3IgxvcY+XBf6ZxBe6BoWHK
0/RLpJRQS1KKKpnFYUVvhroiZB4ZGUbnYRuCc+WwEIfVwi+bPP0IypicRcGAIYCRAwezDJy5YcZR
NwiXR33eXirew9I2YKuUno9QfVYS2068wCcBOLlpA3BKpsE+SYeIDJskhmIkjwMDyiO9CoslMqV1
GkgWUxeiMQXxZCZ9b6h9iAgZbZlDrNhvI8slsogGSO5Eg3Fu+ok1R7kf2MCuYPkM9eGQLcEVb4NZ
LKywdbbfc5CQIoXlE5DC7VppDE7VSeOvEppB94YjYR/hFRpSCfFr3lgGue2TFtcrmos+81JRVJd2
nYJKCjSLgUAoArPlyxClXweUpOFZAbGtbq5be5DnqAqqWyvC9truwIdxOILFO6/TjpGZpoME5msU
KS8hRaxdDiF0iGYUX5O2BcsiCqLmo7Zp+y0vQ3LasDbwZzy2Teyk3Idx7CSLunlaNmg1dDmxPujK
RreoMuAbLTU0dyvUs27WYBXJ07LDuF2mLND4ShpMfE7NYrs4o6jQC5boUF93vVVx1yxawCZsU2As
0yB0z0GDic+Em7C6FUjJ0oNmCF22rLTw8XVU1nF8g3kKeYXOgvTOZdVVW+Mz7LtrOzZoN8taBT8N
AbsBPGmsqmFhxmz78lvWW5BPwFeu0MqyU3iLurBhqsI4iwdXxA1snTwJYvkhLRls+bIGqyCAZyBT
cZWGVwWy+jJ1SB6aAHdbdvWlMsIcIjVmXXTzDu7hJLO+KfBWaMBmcuGNQIB0Am3t5CpVn324DeqM
NxJSODyEKInb9QFdtykBNroy6m9I1Zn6PAAzNzrP8jSOPnLQFgudmmhViKD4CrcH0cIJrVDis4wH
oj73wyxovL5kRQsGbk8WOYZpdU1W9HdxEtvXXa3N7LQw+yb+Ahm3QEMYzVDf+0FsZYgsktADP4CT
mcR9qOc5VeKLsQ24qjYPCodZIOb6sg1vZFbpc6HiCKJxuMQBiD24DdxpQiw+l5HRBLMEp7BNBsMn
YmmlGSo2CgRyfwb3KcDeaLcSexbZBsxo1wzNDJRMW5yjEtxo1xdJ1YCmJY0JpncR/VWKRtwaPZjp
Z4OoSnRf6bTXEB9ArFnKFsNQnULh4FptQINlDrC0rhELOh+ypqkuu54lH6NGQ0qL6VNLdRCEHFoK
4MQm0sMiT+Isu0xpZ10YlWlls7BIVXMe9G0eutzWKrwFS0TfmyIFMQKiE+KAcahb7Yi24QVogb74
mAQFkn+ibCC8cQawwPpPeUUMAYNpv5yFzIiDM8PP229hYBqNmzBN46UUJvrQacMfFmVdaDmTQw2L
VGLICV13cTLYKwjAJYlT5I1JLy0UWp3bg3WjZ22YA2otT2XglANTIDu0TmYQWetKyKJhXi4GXsDq
j60uYF4PMVzt+rmmxZfW7tFtFJaw1kDTic+w1pW+TiErCAIW5wKylSqkrdPVXzGvW74NUzbsk43T
ovVaO6isS8uHENBN4WtRgnKHFT3LJQE0wXHouwtJqji7YGUekmvcmQld+l0m4L26zggu49LIW09p
H2QGWGN1dZlALAjcSBEHcx3yOPTazjSXfWHBvu8hWSEdyw/Z5YNV+lTTcf1o5D/WIzzP8zxP+0zJ
H13KuzLT2fdqnEDaGeh/W5Zpe3b5mRH/osLkjwRyZvfr5xGYbWHKI9mPeMr2DOy2Qw0Hlc4twsA3
+VleAk0gGYRGTAKxLYIwPHqKp2zbC0KdJwFfZXuHDpRt/x1PgcZ0cB0HVJRB9zk4Wovx2+IpL3zn
bcqKQt9/qICBK8zJyLXkXVCImof1VSSr/Iwnwros0+6cp8n/Y+9MdyS3sW39KvcF1NBAavh5NcSU
mZFj5fSHyJpITaQoUQP59GdFue122T59YODeHwdoAwZcKGdkREgi917rW5u6oPP4HPd9qRvTHqRK
OvdNqEl79zPMa6tdXaC86O4zMcjctPbecHKCLa52upugvDoLXQC4x77uFpLD49nxdhFHFJ9+wQdG
ciwPXBTZouWuT4ZufrR8eMuEVbmHwU55ggqgKeA7kdOyee5EB7kJVtjU1qe5a0sbMu9gvPE7iAgH
ScJnexsoNEdBm0HU5svzgBnKV2EdtzdpJFH714/DHImhSnvr74YghZU+epBzl0yWKoKP1nV1mIcX
TGQMsqs2GU2leVBQE5od3YZzSsWSL5HKdkvnttxjBiWFkOthXKdzME1ZYaR+G1d+bYO1Er4twym8
8Qm/Wp0RuWmGOa+xFOZNmhbrDMdc4grnnHkGVorh39mq4nfrmoXtNAUtgJ4I5aqYgkM2zg+ijR7T
xpfzcYiFZ+5reDcHdDWF1CI+aGon+RgbPxtzMbNkyaMEJmAUrEuTU0a/Q2Nej5es0X6WbVu6Xt7Z
ZjrHZDjJTpy1H16lxtupaT15fVwqh6VGS9gerqD18HWV4UNtsrf/L0vM/7bFg4Id/PeLx1DLb39c
O375qV/XDoCGiOVFODLtcr4p1ojfrR0YEZxAoMWZ8z8UVyxUv64dKeae4R8fzBqgMeBr/1o7UhwM
EYMux8yzDMd8QMH91aj/aSsAl/fPP/+f36FpSIr9QVdBdCyE6hahjcf7DC4Q3O8VCz4ma9NEaXfr
BfqN1wYl1dx9Diw9dkEv8yZ2xTTOVUJ78F7JzkX8OrP6vKY9ytC118e+1n0+c68YkznccervfBU9
rvUSVmkCh3fh9to3rIw9hd4kMM91CnOnC7prQXVXLN546Nrpo4/hm84B+crCeioGr+cFp9vVli5f
2znQRdriQcQqXMV2oXlgpav82evKsadbid3bFMmczQWxflwYJe1OKnsXWkrLkHdX80YBknDzGkGL
KVFWfVV+fIJMN5R6A0nDl6mF5xnlVEC6kkl257LgZWEOnmgK40sIb827xOCPcVMXjg9h3vec5Qk7
RtzsbKJYrlHY5OG6PTvBb0wirwY2XAl8plzZGn52GD6sdVsunPdVK8MbFoRPzHYG69Dc5xjSACF2
WqD1tF6aExId+sjWBUuHl5SOXhH7ls/gdBZd80cTNsM7uoln68h6ZdLpFrzTtO+CFZKBHt83jpJR
tvt+WOOczFTlZMWaPEcszAVLbwQPnyMNk3Wu11svJnHVtrMrQ+p45TJU63zMvL2n5ofIE19px9Qe
nUsRoB+5UvGH2T7QtO3IEH9MNlL7eYRBPU+8Goe1V89ZIORj53dD+63m7itQqwcX+Vge50GBYhpF
mn7AYzwz3N9H30j/sJlQ3YYjy25Jz6aTzVhBMqysaxIfzGib3Bd+XQiS2XPUOBRKterXPTSfl1Wu
ZVL34iba1DfUgeHBVzzTACxS4X5RIf9fl1L/+9Y5Co/hv0dx/pnm+/NCd/mx3xY65CJA4aDg8dGQ
/LCPfi2SLmtgkmEUJyZ9wV66EDe/LnQERRLOdscoioyggrkgNL+aTpjVCiEPWQvYAsGPv/obCx2K
rZ/kY4rEFU4lxWqHaQiXuuznZW7zPb6Mo5zPzraFHuecTzSv0/5/kqn9P9ViGZDiFCVfhBU/9P9o
bgXo6XTckOHszzT71ArtxUWfdDBLsdDTEVKfnMlxmph7bEK08giTkJcmTfjboJr0NHKbXQVJD/kT
dsx2J2z0EFm1QD+0PJmulraZovdl03F6tzK9LLsmUKRcyFLncet1t2vTTUFVD4MKoQ1081KkHmfw
7ycmX+vWZhVN3ehjDfxCO7KeEzJ0t2T2h64IhrazO8XALHQL8IduUmue1KuKbv0loO310jW3o2lX
yEJygzB3ByLkG52Gr1JzyL3+U7LoA0y9PfVitQ99fApvqKsM/nnWV3Trj8xaXUYAMcppDMrO6u8i
xdowkHMQDt/naHnsAqyOKxmbt6RVU5nxdr7xkmE8a8g1p67Oboas7yrngDJJz4u+E8jfB7RNPpwj
PVT9wnRedx6twjW9iUx2niRIRBemS8lrB2ZGJp9s4L12odAlDA8KyMjwMMHaGArcFqwHzuTXFfxV
vIQJd0Ebj59GYqKtjFMpHia+eHDPg7HKNn97JV1t8S2GyuRTO48l8UZbNtQ96NikJ+EFwfl3z95f
7Nl/4f/h5agf4Eg/PBy4rX++l7UdNedbOp6nqv9Yxzx4dI9J7uW6MAcJdDgXJa/6fVKNlczpieyi
Cqxk0f4P9/ofSof0R28DMxhHeqPkISDdfn4fdBvXmU9wtFjIT7YTW9FyzfJhJSEUiDar9MKi3Qhi
AAB46t/wZGSnANcobnVf2MSeM+YDrQ7du0HbvJtCSDDGDDuWuvcExW7eME9cQNEXYNAJuAhtQYWA
It1WbGOBaHrs11tlo2y/BrJomCs0SVnuaHZwUQByNNzjgK0g12bETZGRAsTmodkIGgUy5sofANDw
65C1Im9lHZTLAJ69b6YSD/F53bJor3nT5lPEP/FVHYKov5m3FPhHOkBmw42WZJrsZr95/PeX+OdF
BN8ssMUYaOPlvHvQi9llNfud2ZW5cM2Gno1nf+mbPRaCDh/el4VXi4qqGo2Y5uhpf1vR/+quulhT
/zII//w7/3A1vW1JxqXl0xny7RsF4bfNXJVuSqAkzTdKMz/n8TjkiUZT2YHhprDOrx1AuDz16LWq
01e/hvYE/Pk7a8lu0PomVPG9z9wXyvV7v9a61FIPVz/e+H/25EtK5Lcr+Cfh4pfjq/+8Jf9I/3/8
kn3BYY/YhdBBIJuBXZTgNvt1S0ZiJoPvHUKY8PF/XBCRX7fkBFk3OJeYyYnzL37mQCh2a1AjCU3g
JSPK8rf4WJxm99Mth1gMVAuK5QPoPc2A3P5hU2570IObYcmZbdOJG73IG7OGNi6afsEGVsp6dvt0
nSYYPD3fnlV26cZVJoGfmUa8bdH0CE/DlmKSbbGaea9XXraOQ7jwZViqoItzlTWfEUSq80jSurLe
BCETciMIYVPEnfcGAf0BPOzLOqugvTcAUh/BKh6ydUMfwIBFwc3hfu2dWybTNdeLBnvp8Tc7GHHH
mKjjO9HZ5I7KdBKQZpmL8njujCop6335FMNY27ExQ55n2gJm4NJOon6eST/BtGzXlzbMBOjfVh1A
sjf2EPrjDRyY0zrTB8qJBdAln33XPc0ESJsSw5cwrdEviPkz5P66GE1ToRz5LC5K9OiRczyHL/G2
Pc+iprAlvWtv8UqvJzLnNToUMgxBmdoVHKVMSBUQ8RKyKC36uH0POX1s0/W2acCGWK/+GmbJUz+T
bz5p6mrq8aXQ1NwnUYueacNuv+L185AP7buNIJ23a33wXbaWWgud9136pLsg3CnZylzC5cy3JjwI
tFFyWcYSS8IxEhGEjR7QMTwIl09+iyBDo2GY+fYUDeE9Q7SjcJGAM0PCg2ptUIRpuxaZ3cKjRV2S
e7P/1VdZmc5TDweRsqpNpn0vsw8u1BWy+FcIq1yYDqCNkcseEwbCD2zLbmPeV5q5XedvR/RqZz7C
dgbcXA6jiw+9hNozseG7Ud6Yx/Xa5rPXf1lFtpWLla+4pU0eZktyiAmQY9xe9yTQJjepOhvaeDlx
7A6WKDJXCjEYETywwfOKuYNB7m8jLYArTxcAGokf9To3IXYkbk4GV9BM8w7KUb3fKHJWsa9V5SQ5
9ou93TR9CSZzzkz91BjgGLU/PfdcPFwcknLw533AYw/ZIBPBpxgfbMKeQGfeOz3jEQnqoYSqxfOs
rm0ZjOxuZu5gO+Ydo837MmpPlD4Z2r2lWO9dkHVQuKAecjrt08QnJQwhd1JDctvA09uplK7FMMuo
6JfOgCZer2kbfIUCd6rnFM35VN/EzTDCL0quoFkFez+DyG+5RieJOAoJmo/RH9adzcxtNpLXxRN+
gUd9yRvbI4QxR997OzsgMuphdgNSYsnBXTS1JLl451KBd22XT+Hq5MEjuDsZH9Z86upvnQ3dfk6S
V7rSxzDAFV5UC2J3DI8pBOAyStNrsYDujomGL9cTslt1c1vzGEpF+9B3yxkRPC9fRRLka9NWdZ/d
hVzqXdyh0V6HNSr1uNlcy/hpDfRS+KP/nYXk3Y+6L4g+HvUa+XnNDUU4LvxGJu95apKs6Pv+uUdd
WYUZxFJrAsSM+jdlyRX1lKVLDocXamlCtvg+atIhAQjgW+Ar+nO0QuIMKXpbVMT5TPVN7G2mcq3a
08V9HqPwTadZdMh8ueVDlty5eZFlakRakhF0dkwimUOb/cIsmxDoM49CGuCbg98dAP9YcG9tg7U2
eh9i8mh6GJYrbArgtGwtYUU2ZTMMspC1f17QyVctjb4tzmalpPFN04RLuTCVHNpWZtB1SIcAkc7y
3l9B7ZP1i7fgSQ4mCBs+W+m53miNakFvZeohChaF+mGVMXr/NDFVALOsreWG61TvDI9sWdPGlrYR
w02frEfbs/deblvZI+hUge7jORibrhjG5kucyARAf+MqKtmOk8geYjnqoxrIrhVhXYok7nZp6np0
RbXby0a/jymF2+sBoGV7zMAX98IDjoBaK8vttPp5Zvpst3lS5TG17B5Zo2GX6OCIYum6QbBrZ/om
3U8a6csVGGXBFmtPYp6/ttpvdgIW2SlEULKgg5urduPyIKR0n9za49qs1tvRFCS7J3FdOSzlnJrl
CI8UxX2QuqKjsOm67MQyd+XVrodJPIw71rp7eFsluIXH1EviazdpOKWzg+S82LthFk8ydBYbYtDt
BqQ381l4I/Ay8yXWPRh/uB37LTVw2gJuCtThWx504s7U4Z1kzi9bVS/7YXBXkWHXrIvKVru7BenS
Kmq0X4YM2lKdjOeMNl9S2X/uJrbhHspYHgPiLNGEnVSU2orFfCm4013u++szNKQP1Xp33Vg/ttxT
BaC5uGrGIM5HMnzrXPKd9z7ZmYhM5VgTvCTw/3Lt/LcBbEe+zPWZZbPaoftcylWPrFCsvZJp76O2
b/izFl1Zr+wthruYh3h0gY58R17ijUYeGgZzHtBFl8T0XxgNswrUQgvWoHueVVrnqq6XPPS8e+cP
ful19U0wUIZETHvVjahECPZU6i1YwILg25ZOwKPZdcpsv/dre0IUISt16+UNlS+9Hc+bDCUyiSB1
RkAVuKAnPQVXtOu/ekP6fd28OY9XdQQJdWBT8y31lt00K7OfQFlMA/52Vd6z3/hAsK76RsCiT47D
1H5kc/MZ1uwl+OcDLE+OSLxc7pqUF1M8nty07jowHoiZgFtthulqc7ifaxaOuzAk3yJotHlIk8e6
4fifsYAvPVDusQtyAvmsAEBY71G5vaMCO9Yb3CBUOnlk4pOjqi/mob6NdZqzbH0JIrw48sdAfpqr
do3FPuoN8svZC0+YLIZen/2kv7sUMUGEDS+TfE9F0Jc2jc6I830a11XkwwR5z0P4eaiza5hCWRnF
+mH2RigQDQ0KR/o9sHlXIo9axcHagxge0nyCCLtD1keBd0F/Ho32sV80Ploql0qg7szTrq48GV2q
h/GYROK02ua7CGi942t6a4Nmr9x+ypCDTvcjUr/Bdp167ZPoljb3CHg3P6X7plmG3CYoZCL3OUrX
Xbzyz2lcX5NwRtSS+QIXS38oFV4gjBW4wOAv4xUenyduN8jeJn0O0MFusYJ7PVbpIeII/CJgtJi2
ZGk03Mt47G3hS2ROqxo9q/ciFqX8YgvBo57aDR85ymv48MtOdYtn78EXv0uf1l5JmOI5d8lag/Rp
T2oFy7tBC8p9D954xpFWUt7OS5qhlK237mqiStK3c8kW9QqE31UyXdC4WR6AZ2jAdsrHlcTbbooQ
8WjGF1LDyetReHmsNruMZkeRkA9oQHdbDVoLwee2ELXpwW/jCWlbonO6LkHuIdSB7QRWWetjY5uw
peH6Xa4davM5sznPxLUeIZB3Ayk3k5wXU99mc3INsSHL5dR8BJktp4xcw4hEdaOGz9hbECvruqKV
6aeprsnJzP43BzBs7xo/zu2SHsgy3+nYwZa8wJdoJXLUNWsZM/l1XPtDBN+tQLrK7fQUXxMNOrJd
MBshWQraq/WAdfc6g4qVWIrNDqGlw7zgiW5C/EI6iqIl3ZRPwYLyxsU5wl0AUFDtZkH73uq6IOK2
HVqsADYH/3GkI1T2LF3O3iR1Lgdz29PmKwJyiNMEtlhtfVbcP1PI6Z1cziS8jU0PflOX4+jx0+Kr
FxB3RyPqN5OYT0OmxrxxfgXuYYuTx41PBeres9Xhez3AYpw8rIw9PzqbuGMzd+94g59E7cVlglqw
Emaor7AqvJNeLS+9W3iudHO1gQkqJ6SDC9u7m3WxITLMweuw+B9b096vq/xoh3REvMbgTsjeOqpA
P4iXHtjtf0T2X2Zd+BDq/vuG/v/2H1/V+BcNPX7qV40dXTscQ4h/KcFYfRpAo/mtoUcWNsR5lZfD
7n7mENJ/JDiCGEcRQ4DHbIzf5zowvh/NPAGT/ksWNvk7XiLMzD/286DaMUwDTD2St1An/yAhqYG6
FtXRdOt30RPU28dwolc9me7bDRHUdSHixP187QNyaKxtyr5t2Y4tMbL/28xyXw9Q1CzSesAFH3yC
MJsYLtU3MXE+ueDe+BqhgAyvJRMlqq4ZgmPGxxAzHbrHMZFN7qRK80BtN572MTZDNgiGugVp941i
IoRJmqpbQg+Z2xW7kuyfEjAKN5guIa+bS+BdxaGGkQ8fK+ySPZnAEKSLWotYIFzoRvkkZArAwIOw
7Y/TUQ8UWqXhSJ6BKUxI/w3k+TOoXS/vQnpQkffouTbImZ5u3AXQc5R/hr7S5JrOthjVWsnx2ATX
AY++LuJjjAqT8YNSCK+uywwK380NvpG2K2W3YYty01ANtvlYHbzUzYxfZ7OeAoOWJ/PxgcaFHacx
vbOX9sDKynPXswlOG0nfaRMfld+QPLPIvsHDuB75iGjWtuVkSZG/2YJb6NwdpI65ClIflyRKptxw
Ph2TkfhohPuHkK/kPvPEF2xK95NMgeJ1UVfUgQh2oVZhPiVLsIti+MUYwWGgboxNydo1yEc/vQ5r
cbQzxEusoWWTyoetneDruTmodITwQDqBSIkzUN2QRnXFtVkeufERdAtQS3iqQW027FFOn6Y2eSKZ
+wg8Lve9bXMDb7FZRIbuSLQ5Sl0UFGQ4YCMMi9joUxTgs7hR77Oob4qWBdK/G4iRjynT+MXjBM9V
3ToyfqkVqrFw8e5wg39kqlao27g8iTZ4HfVyM4JGLj2kQ1FgRt+2df62JNbuJoNNXk8pOwAQ/tzj
EUXBGGKnALayq9f5kYZ8uupT/7Q0zdvgMDpDBwAylNgr6DPa2gHKR+qj04F8r1q25qg1z6ZxeHyW
J8HZZy2S9CAjINmN1z9CZBKoNOYXHSXHVhtMPKDqBCykg9cc97t0kseY00+j8MUJEeo4bxv3iNdc
r/VCFxCaSlUGei6aOdC4ywisOsguF2+LUIXELC4DRl4m1WDJd/OcT5OUpymct2LzENIUttaIU3YI
YG+TeuU+4wcpxHjXQPDL10iXm7TBLp37Z7QVTc6NAADZQHIKoYWAXJQV65oZMGZb42k34XGqlchV
E4tyDOej71L/qFNxTALW7WO8l1zHkc2xLJo8BcSHTKvDxgXnx+hDg82tUQ7zLhoD2KjzAjxpBNMl
/HDLLREJbCRo+iQAbo3/QDDyruFZrqblU7A1V3Sc0afAjSDj45LA+XJTvxceZlTInjlMqwjOyzZ/
qhWVeWfFXU/m+5avz2m73Uy9e50YmNAWYbG8V80zAhUnsvkHO01PJo39XM/Sz5HlRhXQbdftpKvE
H9Wut+kEVX+7YWN030rbVdsaVEk4nMJ5lug65++EsveaB7dIrZwRsrnTTQIQYpk+M0bRFbXutRMo
LiBgpBWI4vepT0AaWlTqJhyelCBXm4c2felw1yBVZdvnaG7ooSaxjPaYUBhWQiEPQGtV/keT96HZ
4N9/t4Ujm/mx4Ljx6S92cfzg73fxy9Qx0H84+y6+ZDB/28Uhy0MJD6C+x9iwLzTOr7I8Duq4HNEB
/R0M9c9IUPIPkEXYwwEYYfeApP+3tvHoz0hQdJmNgd/kI0iDo/d+dp8kT5HvX1J16/sdPwwY5yA4
iJQxWq/mZEHJOofT9TaHah/5DjfSNt/JhiC9BglghBFaTt50wINCqwwNWcHXOMobInSBmQkOy9ca
lsKkHpyk2JXeuvV3Gt2ioJgvs4xRVGy+uwKEfz1SckhVBvbaE3tthxcGjaRwOr1xowVMotrlAKH9
xPsGHQahJ3fRxTlJbuKQfOIUnJ6p0/tsTdpSjjXKh/EjhGsF1pk/Lz0dMP9FcKRAUPi3i7uJZfKy
MYQFgih6zToFEX25ylrME0q6J4/2NyZdhwJc+Cc5Qh31AuR72HqVOPIgZbMLuPcW1lvBYYajUknA
TQ3XQ6JewxRjmAREHUG3/bJhFcFN8WE6PP9y60TuQe+q0a7kADE79LAbuhimbZWmcq6WZbGIeGH8
0LqhieXRQUHCyrH1nNeLS8/dGuxpa3YN+uWtXSAxtfBCvdDdRSz+EprhqZ3tDnBzn0dc3m0k3lnR
H2tkBXKWTHfxnHwSmvFqIPY1vhgE9UqHEiVeW3SyRjNR26mUYYJJJNCbNpnsAtGdtqD7JtxlfJIJ
P8VixHClLmRFrLLbZknCc8eSw5byR30m4hijjEGu7Cq2TQP13t/VyQIiSYMDNw5joiKzgAtPX0WM
IRSzlmHeqXoP/kzmba++tEmsysaAAgp1sOtSUN4+5pwYe6gtsEg4tp/HMfoGMOMbBqXwA9fkfCHk
YVBwpBqXvmpsR54j2iIMZFOUaqwulNQnTBM7djRA7ETsxpRjD0QiqbLbFhYhj+0+/cErSTqbal28
+3pYv2auXUd0j6BafRQUTpMJkKs+EU+jZULRkcWXjSyEGiPTBOIeSQ/hpU5R4/aBrMxT7atymfrK
vxC0uHVxH2UvKloiDBZCxaPhIVR1xjeYGDMIXfDgmLCAGsl0qHsj2j1k0BhjODY5Ep1HmcWYbjUF
eX+ptTre4LlIurlKURvvoktNhsM3/Z13qdN8QPdXFqUbXPUv0aWWMyjq0kt1d8l3QlfCZxFmRagA
IuVEUExw390qhSeluVSKwG6h49Br0fs+FA5UkzHKyk7G7wZl5qTua0IwAw0VaJr27Ai147yxbs0X
VKlZqL6SqUOZhPq1J/1QJe3Ult7mtSU0UbQH9FLca8pL4bw9qpDGwY5CXTxeN80RKEpVK/j/muE2
WHr2YS8FdWj1DbuU2BK19jaQgwyEB6xZPHu8/dbOeGRCqXBvo1KfMsCKl9I9Q4TzMn/rCUnK79ml
vucb7rvoUvIrySuCACnAFdQTC9fy2gs3ehOgWfBqaFnbgmQSsoNNlWSOldulu5gZUwUf0XGIdblZ
xhbC1KUb6bL6UYy4mynhwXHsGlERhiuOvBJSv9bdKzbEYKyBKkz94ooBbU8EOAmDV/BgCQeYwrt0
RwB92W6xpimVNuQgcL0uvVSLeB+oFX3fk+iqQ7vlM/+JXXbzIFxO7LK/R85tdT6pcWxuhy0YX9sf
w/XiH4P2Jozcm38ZvvdjEB80UwlOHNP50h+D+v5TE/yoCci/ZYRxtgqGWv7z8MU/1wWXH/61LgAm
d2nhk4gQDKJFdOqnugAQMDblS4KbXKDf3+oC+o8ATj0C5ZiD9U+T/18EHZg6nAcQRSgOQrzs36kL
/jx1gML0B9qWhBGCEBHe3e+ZlEhg/IyxPTmL/t1N5217+12p9BcACgn+JB+A0SPgmaIgxWQD+se6
Y2YTMShs5zNSo1UIHsyCC+tY80BH8x15qHJsxrrEzY4RWp48gio8IDYFFAsCX3whzhREO5mMBw8o
WoMlnQBN8zqEjsPL5BmMyZsu8JoT3W0A3xgT7Bajo1tkgsC5bZD9Ob7EgmK+m91FyropX3163MTE
vq/Uv4kihIVKa+oEi3rdfdUhInMXb6UiU4jyyOfeawNtoMxa8mUWG1imIOEFAQN4FWQY+cSD9DYZ
Eq/q0vE1G3lUBWFw6VTJeteg+Md8LGV2wQhDHKm7q2Ws39swvKZhWGZZb68xh1MfOqkOUhpXjohw
M9rtI1ffpALosnPy3fNXwNFk+9633q1Bl4eFxbndTNKSD+YxATHl+cMx0tl763uIJ88nM/gKKRF7
v7XpqXEbKAE3loFpTzpJPliwrDlWuwPHVJi5rT8MhACsbkCQaHrAfnPrIVtPweAKFr4heHqCfHvo
Nb0mUlP0cstNF7ky7iOgwfoQW43pYiR7bmqHmWNtdzcyDOmaHICOGv6ODk1hvQa7KXkyXdDmGIyG
YXuOPNaRVIWYNgyuSeuj7XSd04bCW23iva/rCdpN+z6TrFr9scC1wNxBaZYdZh6cNhSWGVleiIrg
Z9JzPMVvk3G3bU0eRM8k5qCCliPLDRKOR2XXI98aqO+WYyDUeuiW9VqE3WMcqD43TfcCQf4ZY7Re
Yjbv1BifEERGOnx8BwWAzc9key+a3hQ+POLX296z7mvbJZVNRDEyCvhxux7WJkWZw4ccc0bxoikG
FJGEga9K3vEU7Jq6eeMMFcQ2YUaVN8+4bfR3q5pDemE9ouF9Hv03z/Mfp+QirrOmXLas8Gn32bXs
vsVEIXTo/LrFpBLgABCjiZc8CYSINUzBgtcc5Vjff84CpNG8QSxV6qCDpdskTzUq0dIboG7T+LHJ
yOuM8Rg7D8FAiPSXp6dZH/2gufJm2C/IXeqS6m1EEUMfNpCmxWzn7mrhfnupKaYq6wbs0qRm1TrF
Z27CuKpp/OzHKS8zzdLPCEfDqcEJZhh3NMQznm+oWAB+rMcwa6leaky5q+NrPcSQrfBV5EBPkMP0
kH1pOiVKdPcjZhp4fmUcyhdMD2kfVArrD/Ff/2r4L/bOY7lxLNuiv9I/gAx4M4UhSJGivJ0gJKUE
7z2+/i1kVVYrVVlSVLxpD3qUpQZIAveee87eawMUMyMYG13d7LtuOqMt1EJlmlQs6OzQkly3WwRU
iRfG/UGXQqYUaVX40qL5Aa5rb5lkye7VrMKLvVZT4CnPDJTt1MZCe8HmHzpBUL1oy3zbBMqTkeLl
UaTThAGXY0mC4M6ZcAhSGkJShlQl1bUJH32ZX5VaL/CqokW569PichyAPsmyfqaivWdlcRgXujAK
6YVWxd6oDRZE5iS4SgFAgbmq6PCxRp0guNzicKb7ReNj6Q5ZIviRFp2KmXiXNoOj9OLJaNFDKab0
UU3QVLZQnEYz0DFQi+glmO08V6MgO8uy2hfUesyvUykfN0Os+IpRxgDpEEhE5pJ6Sxw3p4uZHhW5
2qZWeyHVeuus5LYpp2WxjJrLkreTpaD3QtqAu2webnShus5lZoa4RDJkv33kzSPTdNac/mQU9fKx
UFdhUCy81W0kgqmjC8nl4BCjQjgDqskZck6NYTsk0eAXaj77LP3RXVBzBbnProtciSl5ROukn5sE
DG54LCxNx3qqmDs4hZGtlsa1ViP2tVUOqjgxEIHNahBscCRf68F8bRbacg8yA4FIX7YbrQ8l2xin
TTebgs8sj/J9riEl8oc2bL/+vokzczPhYmM4HwM/gKjVMXeCR5qO1UYxcwydefmwApGLMd5Mxuz1
LSfq2ThJ6/lGjBJviJF/l1V002fytYlSYo+ldNiVQtK4ZZDNCGuge1Si+MCpH8HKpNb3vY52qypz
FDERD7oBLQ4Dm3IvT1Z3FcjaRMtNsJykF2fv8+35VwH9D7Ev3BpKDXrDOAz1D1o9Oc/JEgyTAopE
4gKu2Gn6eDE27ebzy6yuyF9lqPClkLxraAwVgq3+VgQAa8nTMCqOeZadtrp8w6p0bub5I8tlA3HE
4geYs+0wVRwE020rR8h40BvLxZ6V6qAFrZ1Y6UUUAOqrRU+JsKZbHQfn4LXs9YEDlYYwyzzq4lcK
2t/euQb9RUJTvKr/fy2QtLwvcdalsFiwRoXztZgArygPn38/1q/NmT9kulDJVwsY3xEP+q9Xafu0
mpndDkdwFS0eS3WnlCwMIjOGTTIMmhcIwz0gpfKisHgGLXE3muPqQKpYqBR0YEm+iTjfXfSRYl1B
foYlw2xSlDLekpGtXEZFqJXhMRbikynQ+M5l3hs9x1g0A4e+1KTsKUU1JGVh7C9jbQetpHtRFqde
2ikvQiPjsoTUwqpEH4Pod6esFdCWzDvZiihtIn1XL/JrrBpPE3PlftVmTkZ2Oi+4HQ1AUFtRGpNT
Mapye5mQF4dSh2bHSgywdOFt0Ev5dY0727Wk8KDl68lOr7otogDgdmxxUoXVC5qYV4nymSYaBYc0
vGWSkh0C8alHr60ZO9bFB1PIct5yaTsn6kO2IkCKqljsSgcCiaN0USk9MKumrhFCo56EfNt0OYNw
aTrpxeEpjeXoZc40X0RN4xpZhNwZqLrS1ptYaS27l6fLXNezo9VL2DyWaV8b7R/ebizX/+Df++3z
wAtp8jiYovQj5fN9WR4osED4t+6Ih+ZJsdrcXaohO+pCDTy8jR7xudDHRpkq6Qit4gyRoQKv0eCD
Qn83tgwmTjtIHeMin2qlea+oRbRpc63eAOhEcqiBqA3jFNmNOZieWKr5VmZTd5ES1q7ZCNQjLERi
XoJp1eqrMKcDJkVtyW7QMz9iolfAWIaog/tcf1rJu84glYCPctpG8kztPIeu0kmujivZAfqe2s2o
3yemvkPk/103JgY6I8uAlaHimq4DKzkYQ+PUmAyRYvGEoISb5SttGE7TJLqqY+0yNyxfn7t7EykC
st9S9PS6pxasB6/tRxwxWouYJQG8idnQlXThSeCZcCpLeZAU4V6KBpTqYOqgGYibYREwCU8lQtnG
F0GAW0hLZGxs7EaumtLFMU2agHRfRmlo2eYrJJ7dtTJWR8ucaFzMT8oovtQKkaCG7mkz99kXbjqk
Z2U0HYxC34w4eCKDjlJcGI5sxRdpJaQ74EoejBBPzwI3r35MJ0POJbyMg2Bd4MB+iw0BB+IsOmqf
YJxA4Km3oC3QckmSDolH8WOl5ldaLTVquDgMUis77aODIKGRlca7EtNKKMTnWqQiUC03cirsc3bx
aGSgJGUPQ9VuaKEVsC2Qfkrsmlkwbjq296LJK7cXanpOqeAn9PYWjBKGBThilMLRaUUW3UWWsCeZ
iEHMc3Qm27Do9uFYHwpTo+rtMmA51VghPzVO1HDcV+h+mYkhj1WqWAI3lWyjajwVWk4JGaJwWLcl
uH0nGM91jfbRSB1zzKeNjhBV3eKVvqtEejO5eKprkCaBJx+SCHrFEATBvpcHOrKaJDlGEhT+OCxu
Rd2wZfjUwl4wts1AFWKUHeitYPBQAUtfbG2/W7nfvanKevx9Z+qQI2tOrCqFd8O+P7SnyBdBDOa4
aM/S5lTixPL5VvE7E8n7631o48tRVHC6YGUoy1cJ4Nl0OViHIrwf1e3nF1rNAr/u2atdRdVUvHUY
k1Vt3RnffbKxxS6TiMN0XKSZXls8tavS7FprQ6gxpcAzRyO9qmKmopIonZq1qdE5LAUOEwhZsAvx
y0jCG8jKi6lQTMz5/a0Ql2elaFxh06LdljhdK69al8ktunCTd/EjI4c7Icqqy7BHvaNFUJRyrd9r
iWhTWHizxAybEs8vGGTfgVK8qpbMpZNy0ivdLlbk/RLOOw08GL7WfcO2Dblkn8oFL5NgC5HpTJV0
l1eNF2fBbqzAt2YTVFstf1rEWXPAsz3Uk9XcyWHQeTIWoS++1V/7LX/6cd59qR/EFKmuFnETmNPR
nB6j5Xk2v4LVffGjrY/rux9NFMjZ0MN0PsbmVZVYdq3cfPFYfH6Bj2DNXM9TMZXD+ajJ57GKCqLz
RLIEPr/I+i38zbVEsIpOSYq7U//w6E1GC0ZL5VNAn5W7l27MqUluQEB/8WvIvz7jq1dFA+UBOJ7m
F6Wp9OFCcxIXY7hU8pEy5oVNzb3ONoEreGDsnDu7sO92ujMcni8xKd9O3lPmzc+80e1W2X3+geW1
z/bxE797rX/c6LvfzRpiq1pdkUd8467oiN501fv5RbSxPAt5+0by+Z43jGNsWOae5VaDpx6Ll8/v
QvvdXbx/5dfF591dZEGbmXLD934/7WTPsJEFnhv2WatiPvTvNOegu7lvHZn6b4srbXuNStmftqx7
9uIDVW1dWmeu5QqHfgsA8Syyo8kO3Vsc6kfRmX1tZ+3KPUiOm3xz9fmtK1+9WB8qaEFu4wyaK8+l
XdrVpn2tNtW15NYOWhU3cmMPkslJ6Z+/HLx+h9h3cpKTxLZOkiOzQifAvWh/D5zbz+/qg3bqb6+7
/mF3iMGwNobOXUU7y46cZZv7wTXCgRS2v02+jt04s5355rHeyo800rzPr78+vh+fKuTef71HH1Yb
lhphbqt5OopL6RnjuAc/jsifkcbn11lXlc+u82HVIcpFGYYlwzGLLHUYX8RpO+rPs+LVYkcravP5
1X7/U//1qT4eJgUsPIpWJ/0xMlJOfpdVePH/u8CHM58ymZmuI6Q8ptpeTugDWob7+RW++GGM9UV8
96IxrzILFGDzsayObZ5uKvl+6c0vfpWvvqcPi1srZS1D26Q7TuuvsmSONSXO/+9zfHjA+nJp+6LN
5+M4TE6sHyFROkt+/vlFvni6jA+rkh6Ewkxzjt1g0uFHFF6adWcr0tKYWycZ5eOANfDzS/729yFA
xpCYs5AY8uGSJsbLoIq7/qjiMUg2KbqsVPc/v8Zvf5531/jw0mQhot4aItpRY+QqiBd5/kVX4asL
fFgSFzIslKSsh6PIok0zOlWyL76mH/vjZy/+h+cYVqQpBxnPMWcDnOoIm7fpKUcE54RUIS88g4P/
hzH4H8/GH3QsP5fUv95+ff3U714dif6f1MkRe9Q9jeGCVfU05Nr2+ATRdjfY50xc+Qdb87Al2eaF
YF+iWWRXP3+oz5UTTu2RnSAzsLeFE/lf3d5vN/L3S+7HJyduCE0IeOmks3UjF2zwLequkBw79VX3
rrBPRHvev4nPHM6am3k/2uMXqxecsc9X4w+/+yC0elRbM7WEO7iLOy9ws2xrn7mX1lE/KH7vPsib
wC7o2G6IVvNNR/hihf7qFowP+54w9YJajFV3FPaljZ0LgdB3bSO5xr5/nbbwHA6GD4jmLXxAGOSn
Z6GbvH7+dv04eH3yaBofnpOU4beKgXg+NptpU9tkcKxV3S51rofdtNshj7SXI5r8O3FTuvmm8o1z
LBVu78FBs6PH7IuV8geu7W/389/XXfvwlZgCtjmOyv2x9lRf9/XMnTbLZjnAPLVfwl2wSR1zV21p
6h0mx7jx8OHwE3V+urmK3bVI+LM4+J/Ffn0U/lmRfw526XdavvWvfs7sV0W+BatLNSSdQ/Aqrv9L
ywc1kLG8AfQdeR6i/L9m9kRQrSN+iVm6pqgSEVX/pd6AymEMzmmDcc4frMF/Qb2BvfPLG86xhXE9
YyPuwmStUVa5wfs1UGX+WSjBTD5ONgIAjAd65bVZp6dJkDnq0l4ASboLWpJ06i7zR3R4MCZgjkbB
2gT2mRzhXkqnm6YDUq+UzYU+lL6livueyDg9n7ANt9CDt/idH8owPAnCTWSGZ1JihadlDCaXHp2F
mAxrYdqC2tQZh2YqgPK5py+pBuaDAWLTMxWhI9eoeyCGcDvKCi1BbTiPx47CsBCAsSjifhlw28qK
crpGW2AzzG4LAYVU3oivcdW+0cD8boKbwVmUMmqVp6vcnAhSmdQH/JV3zaLqNsIelOc6wVWLdSz0
ed6TgHKpSzOGqYKlZ2KSamg4ZaegfdOCHmDI0r5A0mW8hGeJDBZIJoEquwCna3splRcxvdfm8wjg
MAJuOqBjs9UTaw1h6RoXc/ysoscjANAuIkXp3EphvNy0YGmepFilzxRPTY4VdMCrNBXpFg9hja8B
31+nTpUnBvjfRDjc5A2Z2Uac53SnyEMjOXrcMMsIx+4CexVZWEvWXAyEaJDUhJWrAjhky20Q2u2q
7opq8qfyImV8Wev35YJjYuzT0VMblfibEj9n10ck6Vkl/Gsr0HzdGOcLBeeInZCC4yb0TKNSL0+s
DM8scI/4NNBEGp5W355E4WD4E9wiHHYgwNwanT/9EyXwpbR/ky2yJ2EB9E5NyOCWXuvzgCoag55V
o20kRkqqmcPGuJa2CFtfib1hJFCDUi8qHtVmDVQU+9YptSQ7N5Uw9SS0S3YqzHCFpEL11YwcrXRo
NZ+YpNd8kiwfRHdk1xDBz42lDE/45thUAhxM5tpblOdY3AbgHPnB8E4WxIDZ1AkQWImKAALXCMVz
RaAA8nA4ku3aKkas2uxHoxzpXvaNT9IHGnbKQb/q9Mzjx1MZgmhvTDSQRczRG+moio9pG3iNuOQM
P6wK56Zpqs9ivsLkyBrDBRMbdpg3hJFV6uAF4SjhMQsKlOxFnz3zzkG8T2RxOy5p0XlRYtIqmxRz
2liD1iRvWV7O9Ggl+QLocI17EThUh2m32dM8RQAxXSODD12qYQ1xnJXiGqxvZ8EKHXEJcLogSPFa
kD0wCB6EsL7LynUiYFoQL/MFrnXOsTMRDQYkc3IrFeV5wnj4cbYWODxRGB3m3gRSV0GrY5aE1IIu
rw4gvSyMemf1+isGysdeBNwemiSpWMLbmHQtQpH4QUHfkanZ/aSPhq+QJ+JkebMuItYpXwUDW+ut
5D0Vep6LLjevMWCe11J0UjEtBBJRHuEQvMi6dTdkwgTDYDrvlsbcmU2z5ZBx1S7WDSTNwBNJNXHq
fg2AIgMlDuLZV/AiOEkxqXSJi/2Ida4BPxWKDaDSMGCQwNBqr4kLnjckxbAyt7gSTlIjODMVGtET
yiNgQyZvCjy/godt5e8XcAis+BlHS/Gopx1SGQUYl6H2ij2tWWYEGDJyZLyBZAbNRcvQIhf7wtOV
+hz3x5WOK8NP1ny0sKDmnNbMtHRNTzPWHLVZ6PRNtWarBeUYXuRr3lrL63LRry/PsqaxNetFu4qE
tiSILV9sq/gyC8lvI36JQmbNdGvXdDdBmyy/WhPfljX7LfmRArfmwU1rMlywZsSR3at61pobpzfa
G6OZxU3VZYf08EwkYi4nak7rycBjoiH7yppDp6yJdKTzxJvI0IAArnl1WIjLrayTYQdGhFQ3UOjB
mm8nr0l3Jh6NbbSm38kjoqhsTcTTo5UKsabkiXUg+SD9wgttzdCLhpUKuebqCQmQJlSoEFhCUveK
PEN9aox/5oz8r9QRObj+c6nDe9k1T/8hUqF7+rtIcf3bvwoeiSwocDI4FBADwBx+V/DIlDW8hH+a
CVeJwH/NC5KoAAdEq2YQP2VQJv0UKRrfKIS0HyigH/5E69+IFFEkfix4qKZwIfL/ibCZqQT3977g
sXJjYUCnDWfZwHw2cJq6FE+ySVJPCuItefv1/GZOQjTgk3AwC5TAiQYLYUx0NyrYD6QuuZ7Cbp+a
09UgToc5wK5XRdiR+9GE9B4vJ1bc3Y50Mowcd2+sIxwOSoqqFoXtdKJXve5McFHjBeVzjjZmDEIy
hQ1r8jE3vCGiQH/zA8kLjc+BJi57TSpQTZhMppPEdFQ2PIIzo4dZx8nTZurskTuXu2JTXas6CigG
FDJVRego1UKzdOxsNYQ/0hTBXWZJLhorvIVt62rx+Kz3OJED5tOaZLzgH4qdQY/v9XpqeXt0qjfT
6Wt2IiIp7vVQBfJCTnQwKlRxDbSclmmvPmjuUJrbdgIEM6sDNJdhep7L4DlHUCWWWJ/xHzzEohU7
uZr6aTrtECQWG2kaG7cZCLIjBvt7KKrE/EnFfcVejpScDMCg7171QF6ObTo/xWAW9uQDMhrW5Nwm
5hDfvildyq0BVI9EFaorfFZlyyI2jule0uoBoTKOEfL0mm5Dsg+UACNmHm2UZP8qItiMifSMCL10
aC20llHunc6iObkpYVgbEzuhG2TC7HSU9jZYi8hj6oT+X0SuVogtPmmxpOVqjd2VDGDlFitp5Jbi
KvtsM/EUox1A3DFNH8oG0xfhhfo9yv78ErZhfR7pcrwz2Z4OtRWgN5+z8oQkgwawoqomB+qRag3y
mA59s2SyveRi8DyZsWC6BOrUu0IWL9LSkrwoGqsbKj918ANT1h8FSus31UTjn6/YaTS5AEUgUc+5
TEDaCqceVkx123BchFvdzQvf+uhBxjpgQH8QWwDXQt0fmxV5Hazwa4PRHTpyCHzGisam8DyqKyy7
zkXCnlZ8NhxtEmBCO13R2sUK2dZX3PaiphKQLRDcxgrjLvuVyy3HV8YfoG6Q3eUK7yZudLi1yJHZ
6SXhztEK+RZMcN8t3O9pBYATM+KuYqo/Rlz/W8xFWhSfLebU2b9bxvmrd8s4RFZRUhiuIjhfe2d/
nVvlb5i3xVVQonFMXTs2P5dx6xvac/6JBRa1yS/LOMRqINJ0O+G5rjbzf7eMG39fxsHImuvZmFsw
MbX/uowDeAyJNwnUs3SpjHm36GWuPA8RIJozojOUPCcKWZC3ZrCmWPbR1ayGKo1XFcSF3LOKB3ps
k2SWeoi/VLfVYMOII8o1c1LILh7KJ2leEKtq8ROyR9pOSgRrptUJN4dNVQcJ5S55Eetot8oZag0m
mRXmvJCoapG5DJE6INYpZd8QcuSrTZe5kd7t+6Ky0GjGd4OkX6BYpneTN07J0HpY/LgGrj2IOTOd
pLxYMJBypNrhuaFEykrieDrEpBYpGmStLk9WwlkbBdu2J+cV56h8LotddtqrS7khqKaAvpOVoKHq
NyUIn/oEAHYuGF43v+ITg92mcbwSOEdneXE6yepdVYR4jDGwbel15U6DPsVJK+TnSom3bzEBpEnD
tEdNnnhys7z2ZrBBGbYq133JgAVSlX6LoLchykpOpAEVK9SPZlBeO0avKdg7POirXPtQwLpdNAKu
+hB+UWQQnU54qLmmiGZZtUXd501lcp0hKO+64qJqxH1E/CjJGOh6tfxi4Cft14RScYqbwu8EydyY
enUiUT0jZMJvbgQHcdUyDDHTepA7aLAVubmQJmrRx6TJQtlrlTIsLoSlmys/l0gkRZEs3gPlRxKv
D+kLLgSidDldx3L/wma7MWSORqPJP8f9+IoLi4EBW42dD9O2m6OjWgSmh1lx3tRd9DYKOhQOc37Q
Reu6W6YLDAWPSlOdQBV5iIfEou/RKp4Rqt9jeULmGs6PWVSnkGAqUugUPIgDB3hNxLysNRdEwWyN
xmQaatTXc8zHIkkBEkFonoFGJKIhWjADa24fdcTNprrldfosbiElSUmpEmzU3Q4dqTZ5RW+Cwewx
DWGXaij4GhJXEDKgxGfLc4QyegmBOKFynZeNOYJHSObQl4X2AczvtuS1cQoTeBgMMpoI7YJHHDq6
RILLNKoBTnnhfA6E+6YTKXQUiY5IcqMFUUhGFQTdFsk2bzOHUZjuRmo4eleeAFChS0qCVr/KPiI9
fWuj7qzK1aehJQ45wx2ezskRz/y+oiqwcRDuC+K+1lbP4CRs+U1ERyHphtGvJ6Jcugi/FBq0pyI1
Hxaj9PJM24ktDeJUqa4WQV/bDyZBd7J2YwjR1QTwQbTGeyYo8a6KrN0y1fsgNKt9ULb3OsnLqFqu
BF3fRYp5JiBrjmhEVOpyzPNmm5Y8mwttK7eSih58TXg50AJLCRgK+9hvksiC52UVNm+P/tgO7S6S
k/4yMIfVgZBtOLHs9Y4Wy48V/X9bm8hg8J+3Nvc1+8+Rao4W/3/Db/+kq/CHf+1uyjfqWbzS0p+Z
Le92N/WbzJ7GxvczPuHn7qbK30SRZoIIclylabsKB/48pKjSNyK4DAPZrf6DivqvAls4Pb2bgWuk
zEpYvOGdm2S1qOqKhXl/REE+l7TZUgBZIwdaTOODEaaOMnyl2JZ/bJLvBgkajFZrPY1JioVi+G9a
alIPU82M0vFc03iDO0K2VE9b+pM8xvdRyiGEq9Eg7LkrzxgCHeq0ujFkpLsVPAtnJDvQSxspxYik
geMqLQJAcT/RRqjW6IfmfmyrysnNiEVeqQLMOdlVxQUducrOSzHmlTAK0ppqGQkiWVmOQnOBrHhz
X+eTYyX4dApiqVxkSFtFSYtNoA8bWdU6tyd8ASDqxBKExss0Ti21t+ArKfeRmpUOFuorLJyXQj4d
BUE74hwasBfHiU1m7o4UreMY5BCwLemG1xwMVjgMrrwuIv0AjVNYNqPa31lm8yqHxmOYzw/NamRO
0RaCJEcN2QR73cjjDXqgrW4Fjd+iXnaUprkp9XAbm2roZFG0Zxr8XIxRuhlysaIiJqwhK6eKzhU8
sgwr6Ubqlkcpz9eDSXKmmpw50AsjcwAdubqVDOmmaemT455AGTdfGnXvc1De4l0W7I6jBDeqgA4l
5NSJZO1KmKG05x12DMN6hEjoiTDP+pW02vZqavNouwg8ELK2iY97+M2ccXSIunYKeZElssixd1Jo
SJC35ZGYtpnKZoykeJNK2TmpaMlGUUZ/ydXTMKR33Emqbw18t9FI70XQtcGtMI5xut7CkrikYTi7
ytLexjosk5CELFvpsqt27HeY66BjKeILs3i08ON8m8Wx5k/KciZPtG/bKBkI82q+S5n8XR4zCohJ
2paZtaPnLFFNjH6eahc5caeTUeoHQ1kKYL3Fy5JU95GBmjnXy2v2cTB+tZFuxx5al4GBRgk2BNCT
1cUjBiBFHSOCwqL6qUjKsNksptDNjqbjVwIImuL4m+WGdDh1rAtXNMaNZI5r2nwznWSZBp0D5JkY
4NxVle+jaO1iTUIOjJGbROVquAV/STeXxq2IYj5et+dJit00kXcKTmRpSI/dalM36yeq0UspFV5N
i5+pZocpeRqvZ3mg1dB2tEdHtxxTaSfkWk7mxXAwG4o7geaBFqcE0LdDvIYhjQ96YrTeFFanYSwG
TltNVMA4hdX2UCUki3Ttdhy71ciCd8xKnCERyRAsT1OdV1Yp0nP2xH0mCLslo2dNGzfC4DTnGAfi
7/pIomsyJnQte+mStEp/KrtXYMojJHDBLvTqfmw8kEm7SG2ILRS2qGZplIqPi0amAhOH1p6zx0y9
GsZ2O2PuqcDSZaBzk6Jx5A2W8chSO2zNijcq6naQYcNLEfXWUg04jZJuI0op3+eg4giSiI4sRzcQ
mobkksrvpeJsLseHpkxIH5zVWzK3zdNKIB31ej35h6baBNtSzrFjvttgzv9YLt9H5HxUZrGKrtYq
CjkN960ocbL5Zblu21ZRg1mfz0fo87bqByfTVXm6S9ArPRV39Gp3IIrsYE8t1buJ/5XgbxXG/LqI
c3nLYN+R8cbqH6fBTdBrg6D3y/lgPFXBzkInZU2PAmbEzz/n764ji5KIT0DUVQ53v35Mq2PPigkp
PJfiQ0R7KMterXC3ivg/v86vux9rEF/nOtsER0bePBilX69Tw0jQeikS0XDvG/2sUnDNq3efX+PH
WPPjl/b+w3y4SB+JYisTaHMOTvMWDpM3bMXvpmsCujrNecbsy8YjkWcjb2+OppvZx+E03ty2XuBd
JCejvaVvdehc/kO33PA/7/bz+5PXL/Pj/a1RbYaCGxCv84f7ywha5lAiSueaHR6DC9ETT6U7RlWg
F5yeGf7Jg+RPzrHejFsME/meY9pFxf0SQvSH2uB/heRqUP/nQhJb/n/s1yLuyr9Xkutf/lVJiszj
dTrenP9w+6/5NH/1SaRvOtUb/RMUACwPlIs/+yT6N/paMs3pnzP8n4Wkon8DLE9GjqbTENcg/Pyb
bjcC5F+eo1WVLPMamaAc1BX6twoJ3peSbT9rGrG6wpF8roTqYzfEsMOKTAe3Tlm3SY0ZN7yqOEmU
X9Dygcsc4+Qda3j3M4j6LOl2SwOMtWLQ6wArKgmwmgPw7eZIc6F9JmT7liTcx0qsT+de2S2Gbh6q
PGs83GJ2UCk3odVwws4TN+yyy+mHhaNWXnSJTrOBO3T1nFmiAAvTxHmHg/9OnIw3KDTTJhmrq5wD
pCHlEhDrpbZ7wVio2+p7ta96N5YqEIEAS5OwIqcLhmlRpz2p740/rnhTNVCw6/b5SfSDfaqtGNRl
RIngBpP6WP2gpDK6hphK/3/FpzL9KK97rAoVoGNJxUFWycy/R4scwQaqSDuDkhZ7w6kRpA6Y2pkz
J+d9ggTMKqi8SpPOhJh87wzjlQkyXf2YI63SHTMQ5C2WoGAeiUm3eorkubwyJgzsUi4/EsmDwdVq
ZNAydE5a2ip60LYntVg813KE35PoPlxKeIMkhmG5Kl/UKdV5wUjNHef0WsSiTUE32+0EwmYS1ftC
LW+ZIJdn1TKVB7Cxs0PusEdy2ZkS4jnNymMrAcFvok1mGSfgD+85L0lYMZR5V+oJQcmquJN6jF0R
n9tTOpg3Af1ZW8wWxeF+7hhUxCdDbODo4OuzTSkQ1slAfkaWy3VmZsMmrwjisnRjr+YxjQmgivFt
2gpy5uHX0XVPIoFnkecLsV1S6lDsQ1i2TUAA4lU4zBdB3WAabpQz8E846OUtONYLLTF2Qbb46dAD
OllaiprwujPzs8kafHmSZ1iyg6MysmnHyo4SjYz5PLnDP34NE5LJgHmbC8S2WU27JcHkGkffoRnj
qybv7+NO2koE52DliCpHrzE3Lricp2HUqD3A+2LTPej4xfb85KBV+uSVsBh7aLg3YQ41j/KYE4FM
dPHC6HrRHuUGxUQh0pTos9MlDC4xzlW7WevCgyIALejH50Igpqe9bnqsR1ZtXYRR4lbMZYtqOWl0
6Va0khF6XeK3cQPPiLKiROMSt+lj3uOwhOu9qbrZsJW6cqMqjB1JIJOvnscnK5BKT8wJN9KXI6zD
s0g07wii3petQFt+og+jPSuVqONzS66WMDobyZqqG3gGmnSb1aLkiTL9LEKXnTgVjoFo+UleHHtw
xXZkFc9DAFtdGaHhkhFsK0O2zzL+M6YBZG109tjkOzPsD/AF9/yXizdNinJCrH1npyZF/UaKKbf1
hWz7y0iUNJkzRPiQxLJXaAkKOk18WyCFUYc/tNa4Ga2BYplbUMzHzixO814VHOxZriL1Ttcp2yas
7mdjlXDknCpGVT+Ycn9pSjW+nmnEMt8o93Hf7Ma2wZ0/AO02VRD64Y4O+IXMjN6Zl+FUG0YECVrh
BwWqAaupttgg/dhM78jjOoRie2MUlWgT437ZRarLYfY0YvSdiv1dmqtXTcxvkVfDi5rzqhHVQdDh
2ZTl/S6cpX4lFmwzud7XlnzJQ3JS9nhM6Q+fkQK8GQz6WxB37hnVuAtn2c3QipSo416wpL3AKN2u
R2GnzupWbACgw6zPl3E7MoADO3XA4+132XLRDWlnG3kNkaQBvc0ja3J8zdvsJhCLRyI4ztRa23WN
+tqSCopwZycp0e3Qxlea2V5j48rQagAU0sArDuZzChBEyglZWPJyByD8MHcFw1KZN0waTyPA5zFk
kSlTrqwsBK3NMUEqa0ZDuugTO7YpquoMbvI+Nsy3H1vy/2qTtbj+59rEy/7jlg004L+XJusf/ixN
wAWRIAxvV1E51f86iZe+EZ1HdUBUKMr0VZX4szSBMaQbKgAf+QcSaB38/JzEr4RBmRwvDb4rBDo6
cf9CeqjKvxb61CYm/z+cmkRKkzUD+UONW4fBpAnSAA2YvWpccaAD+hmBthxI97Y5F5YVGspB/l5T
q86xtKyGNCMYaHMWUD3CUJxg0etB7HB+FKGRwgszYACZTM0B52z+j70z2Y7cyLLtv9QcWjD0GNTE
4S3pzj7YxASLZJDo+8YAfP3bRqUkRihSWqo31aRWVVYynO4OAtfOOXefRbWuFApfimDTBr01VJsm
9MegUZjTFN7poMCnWNwxYrX7xYeJyom33DoLhAkXXiqHlWjfQlDtk+mBMgM2a9P6tq1iOLRa4u+F
Hr2W8Fcn0odaMVxUOltKuBpipbep2M42z1PYGcdcJjtSeEtQQXYFNfcU9sZZ70Ddj2G/6mOUb6PG
YdNeggMlFvPi4PjvwZHAi5nseetX05tTOW+u56frTiFmO1iz/mQ+lkZVntVDXlED7D0bI70UClDL
r/nql8VlxhOMhRo30GKnqu4nxHwGGLHLBH2dNuWc3MW2UZVfFyFYtMUu3pxcbCZV5Fnl9c6i2tNt
5Y1kI3WPfe/hdtik6eSyrFOI4ZtBmy7dWAKepy40oTZ0VP2hliE+YEZA91W7aErNKJCcg+n0XwvV
P9qYFKQM5CEW1U3q6fO9l7MhfDV1eNB1P5EhzDmu+8dYq98XlTwMwfhtupS8ZTUxUlhLPu2KBJhj
k6T+oW7m+NrMjC8iUcG7GVPM8OLVEmXm06JT9VGsfH+4G5w8usBRqs8WvWgppNeyfW1XG8mdXACx
QwDxgPJBM2SESO4V5ZAVeHZpyJ6mazPiwVI79bS2q56jvVZdRWlIk0WHP+Lod65GDkSmIJcHRNvc
ObOGko+YXEaYTg+1nXxzzeIYElNi8m4Ij8EKWLna8EzPEyw7y3xiLvqK9Af0JXJ3s2+xfBane0OP
bhuXpsNpWMDsUNDSLN52LrP1BPCgzLOjE7onMVDj4M20Gyzlu66GqHEgRUm4dgzqLLJZCU9fCVc+
2oYN3nG6yeP+OI/aHejMrz1HeQRMVjwH7RxYz4Vuhl+mMj2fZcG3FRr3UYEjFbfhXTi5NGvxCdVG
RG9gjaaWeURlDespdOUXR4cslEd5CgUYuc9N9JfO8m9ky24chSTUNgDMdkc1Z9BayXspwuS67cSB
dvWA7bOzCFT14LDqrdkv0dzfKyk1Ku2L0bIv42TZm21BsjJBjO3mR5uI4S6NqPzIEjxGbnOUozQa
4Rh6BVbhNHLESNrHtivOTJ+tetM4MDHe097CCjFUlKAx5aFu7STggtVXtZbfkHF7qc3C37sZJITF
8XZ0hJibnIlnE/ZVtyEyVGwrHwfTgrKZ1kV6oJMlmDpgxgbhM3XH5S7F4JVZ41UFB2JFclrfDsyz
kQ7GWWDp6XwE3JOuzZlanMF/5TCo7DTni+FYJ9NqUrA8s6Bwge6nSt3i2phii0i/NfyS2o4YzmXd
QdlqSNwKO98XwCEpFgXEUPRO4HC9DUt0K3TrxS1wVSPDO1HKHu6iSNO2eAs3wjVbcnKZCGbDfTES
YBiizMlrOjVtidAeisQg2+vN2ywZ3tt+CW/Thmhk0oq7MhkhYmFiv9axduFU4wiFgHtEkjzIeLxs
/Xhf2N47xw656eGfruJaD7KiqUWQdLaG/90txUMRaW7E8E8suCcyviE3dm577Z2v6MSt4hQvS/W1
WhJ/Q/zVpHp+eQxHOMXu2L04vdYEy9BegVm7iAEgm4CQJ4DIQpGRzbI9yxdjk0VWvhl6+xoQ8mnw
qWlzFFc5BbDsAVrWNZJBrWIv2xJaK+zLOxMscxISBwPTnCpec0Zwnt9mefQVyrmZ7wtbXkPnuuJ6
4EMA+lwAf15sEkR9lOS49+VuUIRohdspQUYL+op0ENKWPn0pDQ6EoKUdENO1T9uax/8ywaeCDeIg
GSsite8QoEkUpbrUITqoVgaZ1PsSkHWriNYuaOuI7i7uRNCubcW9Bn7NRkedHhbFxNYyeSg/KNmK
l10qcnarGNq+omlTicLKm07RD23xgoI2LAxF3/53KvsAOeoou/99Ktvlb2X5k4mMH/ptIjPEL55N
5NAitQKl+btlEINGd/Y5iLTYUHuUt/jHRMaYhC3+20j2h+1o+tiOBv8W/wOxFP35n0xk4mPh7Q/V
US2D2HRPwWkyyJpb6p/7Ti0q5841psHzL42iBa5mi6Umk6iCEqZWxgYQhaILv3KLa6/JNBKrKFTC
YiFqwU7DsS39jDqf7CXjvjRT5jQaoBhmy+JCrM18UqGS5VASkt4Mo3/NEfA9J9QREGygrsjgJGvg
EiV0yTU7PWKZrKT/p9b2WpK/2C2lw25aHaNUXmeGsvLYn4haZ+/qFHpTR7gyAaQlPtCIJGU/XPgX
Bg1VCXINFpadU8I672dBOLHUxEtakKNuRvvQeu5jbbloXPKVvpoTMZccRBLv7cmH2NKHLHMzI7y1
s7fOGJZgR/VKYaiay4V7Ke5GGRij2Dd9dT5m1AbKXievYGotuSC3POimx7slN7ruquWh6MaTtwBa
lilLlG1mtaThTORtg0PtEG3bDHKbaCN3k0rx7GXYKB1GWWOBsBPV8FRM4VcioLSyVZfTzCCkFaG9
LTqj5nZRHiQJw5WfdIhXGEVrXVrjqiq8agfBz1zTTVgEju/jBM3XhZ0dugh0C2GEb3MxeisdX4we
oJBZDHPFjOZnglLUDAjx3hvamRiHA1HCI4TNjFon1I8RhO3el4M8VlS1E/ykPXFy+iPQxrdCK+Uj
3+d5b39dCudkJV0AUPcqb9IzygNuJXj+oCVv1UGN8RuAM0Y5UDME8Sxa1TncPrC3feaD042AMeWd
x1HfHmOO4R7uGhks/2SQ3TijAxrVh26aA59LrW8snQoI+uv92zALB3gHswBY2VTUNY72bO142lv5
Oh+maCfmKmbML1vj6Ob58OBVjrenjkN//Pd2+HE7VAe6/347PJEYf2vf5j/fEdXP/X5H1GmYARnH
oe4jUcG97ZN8TlKbjTWUQPtXZf23OyLyOSq5+xFMdPnXfjug2gQTPdC4bFkbjnLj/sntkFW7P4nn
JlFFX3is76kk5A/ieVHj0c/kyC8Kcxm3NUdMwr3uk+tFm8odHoze+ULDHmeTndGIjdF410MffUGc
zIKZIGRQWxmFxvPJOTKkvpoy+1IwdcKYadMdAFfGGA4SM91NTJF7PSppa6O1zqZ1M4jHlMCfLr5q
5Vi/iJ6chAkpe5NCytwuHAtkwr0vjNozAgbMoSZNSzQulTQvLVoPiZMqJpk0zzPdTLTHPiMkPkKm
Vm0n06n/qHFShU41zU7DgFiGPjM+EH3+Sv4sOS9r+E9C2giDdENldETBJVzQUVkuVfVRjsf8S58U
CYQLn8M3Ru8tKn/GBlLjUz9lp/IL5bJPpJXpWKkeOlVU5Rr12u/ouKPESnDs5MF0MVFuZQ1KrYT+
Fibxt4r6K+IMDW0e8sKnQ4VOF+NgMbVRnBrPFQjM26g5tS6aZ/aENt6s+BV3XbcwdcMkZW8IqJit
SrhUHVdoIfKpgq7R8RUXilWrUDsCZJD7StV5hcmwkVV6U9Pz5ajCL0tVf3Gn2jdV/q1VpWC90SEj
t/quVYVh9jhcoUHyxNEdmHpwH+OShKOqGcvpGwvpHevsiKij277oqpKs050jsMp1RVfZ5IT+yhvc
o6TFLK/9C+J4aydli66aU+i9MY2lDIM251+2+xx2s2xkYFWPFi0UpTlyFKtclaflLjVqSUKhWqKq
1WZVstYXy5Xfu892rR1AdvXboUOwV8aKgcIuldXi4rk4eC+zMmE4ZdyUypaJ+eY4dn6x8WsaZdzo
ysJpNHHIvepU4+2MeDwxXk+tTB+h7J9FGUGVsoRmZQ5luETgx+HW4xsNykBalJWU4CnBbDYpT5j2
hbKbYBqj6M/seXLHNnmMkx/33vk+zqu6vrQwIzJEQwiClLzGnPRGWPwzwmKKwAin+bxHcKyU8rgg
QYZdf4QrdzCUNpkjUgKge0m76ODH0c5RKqaDnCmRNetBo53FIeFSnQ3InhVZvkyPLjXk0BJZlL55
PtRFHi0EU3OoToNSUOtsus6LcTeF9PgNDq3Qck+72kEgvfIs2TcRdVUWmmw7m+c1Iq1ErNWVajsA
SA6j/lEqPbezlm2CwItKU6xmJN8W6ddO6nN07T1kooF3iDqcIhNbyMUR3bmsNr52Skf2IuO2q7oH
amXPwyk9UZCxjqP5pgTfypQRP2R5vHVk8hAhUVMjvC+cxMNeIFisVOzE7U+m0rUBg19bCN2WY1wX
SvmO9Iby3PYw+vqjrrRxT6dawkcuZ1hi42DEKVNKerkUjwPSujugIyC1G9OCAY34bubOV0LBO6lx
ykOczxHpy3bYd0q076CEsM+1WbrwMfkQ9t0Pkd9Qen/+If17ygWYlR9AP+uyaZ38nCLCo+WTJFXe
AaUH53EcX1qYCqFyFwjonKTyGxJlPCgHQmtzuJT+rqn8C/qJ0sADyFoo14Iczn0ihiNbPQ8mxgUU
hdtFfYUmhkeN8VHR4GVihFDJ8TBhjJhCXOjZREabuGiLdWIoDyVRboqFrdIof6UVNMAqx6Xxiq81
Fszs05DRY8pkmDMZUte6w65xHf2swb6JsXFs1vBG0k+BYd3Bs9kkyfKS5u7tovyfUjlBOpZQTQJb
Ux5RSKu1hWkkamfnYiJZyk1Ke8faSOUwsanM33L0linvyVUu1IwdJZQvJQSUSx2rylWeFRdFHRjK
x3Iifd9hbHUYXA1G14zhFWJ8lcoBm7DCYM+yzFvRQpk/9E0Mz8C6yhQ6GQ/NSB0O58W0s63qUuKy
Jcpu85xxr+G/9YvHorJzveQC48XnoxGXmjLsAGNf0012mykVShelokDKbDUKTs6mc+o+nD8MT1zA
QRmC9oc3GOISGmWYrAplHMaNwyoyq6SJN/LXuRxZQUJzbXlLVGHtqVXeuVHpw3210ST7sdwsGqKQ
MUL9Jsw3rcaheEFW3dBklG55whAs9ogj14CTJ1L0SHh7FM9kPeU9j5jRH89SDiirRpvfS4rb4B3m
pI4pjTfpnaXbe/I2dp4/jFVk0BDitGs39ojvxZ2rrQpWxsBVRkdJ09pl2Yj+MRUuKzYU1mjbwZP2
dSfL5Sz3FsijMrc8iBGFJTa1hDi3CO0ozfZsrJMresu31kRzhLHcF014EwGlHhojWrEwExi5B1ZR
NI90I6eBG8lNKwiAjdm0G0Bs4tD2L2M6BILUM873aZQzDxl42ZAtweavErO7q3V9Xntu/Myd9V43
230o40vdnt7C1DwHBG/T/pxsuJAq9HXzsV7sczcpTmGSmwGJR+zZbKvVxdk48IhuWfFdO214mep0
+WbVDSlm9lqL5VBHztGekr1ol1WU1Qcw6dAC9Iz1UaRlJzWvfVncEuBib2ye19S43JW5LFlQyM71
RB50XSPSKQJGISzd5kA31U7L4kPkNudR3T84qs+iFGecJxHcvG3m1a+qzjnNouspZFKY7XqzhPGm
JRtvN/1bEftHrSyDjotumobzwc9fHVNnxdsvqb1LblrVGmskYODTeWUWzj6e9NtOrd31JZ3s2PLU
u0Ybjon0EZILCDkKDn637VOxLwbjcfSsIE/FtKWjmxwrO2Mh1yP57oa7e/aYgxiKhI0picfvZ4Ny
CfKDVqf3vh/uTG+5ookOMFAv7mZJL0taP1QUQK3NApFRI3wXthWlbKkcNqTbL6StX4SR+XXSe3Dp
aa1W2lgiTw4+S3ZbspmcRZe3eib6WpN34/7eHx2DiyWqpM0Sg4soN9diQ2rNu6wEGXwLcSj3WHHs
9evcwrFAhQ+0yNx27GCtQvp4V22nQyKYnSdbpvOtz52GE/F0nCaPxjtZPUz2cl1rzpNhpOG2TppH
fWR80Z1hm3VjHpQd79oLKSBVt57GA/VWIRVGtJ5Qep2danRV2p6XS1Dy57WIWFl3WLxp2uJ9FAAj
m5kMpsX/BetqLUZIsslU7+ANHKRrgIvoh+PCojOndetxUojfVAch304+CvZsXYgsuchkFsD3xtWM
FwKRYUv98WQCaMyjM4kc63f5E+dHa6/+3B2TgL4PsmALJt188mIEvdq6FnJKjr5Ja7qoD1Gt31H5
DujBRkCUwy6iu0cvsmMT6eiAVruK7OJ98EhN0GsB8ty7y9h4SHqKkEdwgLlU4Ib+cRbNjT81ZHJq
9yIV0UXhpui81nxeTul9k/tP1mTesI1VndtmWm6GyIHF2ltPS+Ef/E5oQUqceleO/MMaDUgVxvq6
xpnapzmrg11Z83SMrEI3byeRGhwj2lazUEFny6Du0HS0jSGSEIH304nvJ9HI7x0+BVhSK7ZQP3nG
+xCvfzhAGYmuT4ZRJpdpXQNYOnVQPnzr9q9f5Idc4n9eBCS4w9IxQUh1ivtEccrCqTVJwiaw0w9a
edKBKqhyCHn31y/DSfRzIu/Xl3EV0hCZzIUg8v3LhDiZnAJ0BnfjXVZfNPMf4zZVu4nAYNU5bLIC
/f2/3/kzDp1T5Jel5EIjtssC3++n7598Fz/5/V1aYfmE+KBs70e6bOTS2A7rrrjErinsK9v/G0SY
cmv/0A7/811/+nx++P0tJ6NZiVvpJUXcGk3PYtvSgwK5+y1P13/9Vn7yUmp9mz0JOkSgzf/wVeQe
rVM0nGaXAICp1+6xblStG7gZGsL/Jo2qfu0f3tZ3X4u6xD9dXbpICmJqeU4ONfBZmebc1a+5p87j
9p+/qc/f/w9vqnTZPBu8X1+IuoKSdHq85TmiHsX131xrP/m7dFnPR3zk6Wiydv/9mzJtbGMevOVl
Z25DKgunjR2+/vXb+dnl9uklfrzcls5mVrL18rL0ntPwydL+D5czVYYQU3y8fPtDu/n0vaRNbvcW
quEl/i9xylU+/x9uXiyloYaj/rC5+gEm+/QKpVYy3zuC2lf3WboXrG6u9P5v7l0/u5K5iF3btkwW
F1R69PPV5bP2VoLxpryPwW8OPOBi9jUadVWvF/NvruSfvBbavspWw5wS6E/fvxaiKCJbapeXsTpT
U5YWxPPGbVYVM9bNx5f/by5H/CUPjFXbF2Sh/s+Sp/q53yVP8xeiM7rahQbsQir3k+RpsT9N6Jci
UfM/2K//SJ4smFlUd7NabZK857r8Q/UEFqbrwuAvgX+VUA307X8Qy/n+1qB2z1R7l+8JHniUef24
zNAPsyRtYMsremEi5Jn5pup2f3Nr+Fhg+3RTJUWk2y6WlkNBhUPQ/4dLkYCumaZZV1+ZkjUvxb3p
WOyITaM0r2K9bbA8KmfKrpcqcbwLZAD3EVPEyK493Z6DWC8mA1RCHXRTdWhg5CcQwhwzoX9GzKuB
eOo851ehra3zSjvMnb/Xmuq219lxmWOSxI17MyXdPpwbonfw4UmBi7VtNWdaLS81L3vJ5+xZA5wz
1PUhzdNH0iciWJIYabLbeEbOANnxpzq17+3g7moKXtY5Js0uaawh0FgxQYKU+2ZEmxtc8svevjG7
gLf3GDn6QffZvjFFfdZM5Vve+TFRBYvYSvEWUrVFugloUqVP1Px07ZY932PYu3LtlcqulgZ+lKu/
qCYm06JLTFjlHaHgs9AwvrQThgYaCzlEcKbxLF87xzqbrbbcNml9KuNJ0qnkmoA/QjsIq5awYklK
w6r6TTSbpyJCy+078zqX7Dov4/CopSYAC5fngwHpyTP6dxqGEYsSo1q5TXVVVta5K1sLj56Td541
6d7RIfLUPUbWlAIxSmqDzMPowXKrlweBXGfyda6qQbuxpUYAxMjvZOFTuuhlT+gHSByyPvhQVi7y
XoqAkM5Zp9EaoIuGeiMvOkb9KyzSLQypICmkEVhT0wV+Xj6Ey2gFYeOVZCY4G3pDu+5Bj9Fc9Qpy
HjrmzGnatV69rojXXpq8ewUScGShzja9f0cC691KZKA3yVvS2DIQHRwigy5yIsFBFRVXo9G9iDTV
g1YVErGReKDUpFhbY79NPBXfMlk0sroecBq6FCyr4YrYwZcxgk+m5T3rw3G7EVZ8G019s65QhIIy
JFxiUUYwYvotypDyvfTWYLGZwAbQOX98yHS07WR23tPU/2qLTJVIshplThntj1R0nEAdtUGUJnXA
feVLNDe3pWWT68yorstddx1XseRiRcfl+E4eraH9U/J5uO7ylDkha3JYlmNavllCOtux1b9kUf6l
S+ilnDTYHWPUnwpXe+8170nzZhIH8PNApxLXnkKiMBsX+oKx6U3gc/XHgpW0Wmqnaj4Nn03N5s6O
JOwwh7KN2s+zLxkPooO9TOmVY8q7piE8vdRvBfG7JKtzql3rb6JvOMa7SUSAw2P/UMJOaJP0wbL6
de6AJuyc+9LfTLs5RjovKiCEmnbTDqmvzFXK39ZhAYhgpHdCc9EZWr9mjspte7Vw/UZmzfIaoEC4
D9jP4EPdLkC0oBkghqJcuY+xZ78l+sTTMUd+txaxLejtGOP5HAf/GSgpCeeEetjhKRoskuCLedOW
YpPW4qYS5gFW2808u2tHi+6NzHnqPJvAtX7uy+iKjaeruYhPS9dvFyo56N3+NoysK8Ruus5oINwU
BOmzBgJR11JZ7tnbth4vXKVMNhn9MYTv4sSWq8onH5h62irUtMu5b8n7+9kmNLq3jjZ1o5ketO7N
HrgSR8fdmlbqFkHI5jxpuFDi26fDrGkbfZzdezcap13TtEaQRuT8ba/u64vMNB+LyqI3daGSfCwj
gDkp9y20e6uGUWYv5q6fqzbwcqxozyzuMzqG2l4+Spnfd432RMzOvNYHe7nigdds27x5bgxxiFvz
2xR6l80CiDn3o3VZIInZVCWuk2aEIZvmybbgbHtnFd58ior4Nomil9RotUDiRp23y+zir/fs1ZX6
HFh9/FQafIsyvoOTnq59Uzsbxu5xENVy62lmsQ3VrmTN77caE549gZ9xDxi03Fl3Q43mAMHvDl1q
Xs8zhLuopcqdv/LuIfS7YW31brHnr9lbN3m/tpxx3I+ilzuy0Ig9cPYAkukxx3ngHlGfJfyxJ/Ze
wlraY99fAT+66SxQc47YpaPy5LXwNYHFSL5M3JEueGzFdBvZrXNgj/lRkfcANi3hxV8/dn84yaiH
LuujbAI5xDtcusK/n/+cfKjZEG+Gq8qTG0dcpt6dw29tE5CgKeOvX+v7KULt8BFu4TwulGsK+1qd
Dj7Nzl1XTb0hO3nlhZswu29mKqXu//9eQv0Kn14CdkueyyGXVzV/mDOp4Hj8atV/M5//9H34ZGtw
oZmx1NT1+UW6GFZVWkp5ZbZ3DTRd7UIbD3/9Pv78tfBRfXqJH859/VB5EYWc8srybotmuxQQZeRl
6T6n89+80g8HgF+/lE+vpH6TT59YHo924fS8mQaOsygdVsbPhuIkKbMpzhbopn/9xtQv/v2QJzw8
fU42OjA4OhK/f7k+SunVxLAj9PEoVGuOcxfF53Px+PEy/541BBfb7wLP+pmS4F+JFhfPxdv//s/x
OXv7yTmDn/n9nGH8omILxM3UCVNXeOHfoxUmUGJS2DbcB5Xk5//1W7QCvLA69boGcQj4GJ/OGab3
i8PAzv4vKGMTDsY/OmeYP9DXCZu5RDQgI3vsFCOe/bjnS4pMmHpT2pfZmEfnWoThcTtNWUl3hZFk
O2lZ1LS55H/BwqwJV+YHq2UqU7WY+yxkkCxmg6tX6j4Eu5zOeEWpxEBX8LhCHD2bKVumcDgzKl41
Tr4nd2EXfsp12sZIRHOn3vqL92anI08FYhhryL0LEak4QnaV5ylwFu2D0qJ4LT3gFkMRXHLFcukU
1UWKdJeDeVmYJqQR3TSK/6IrEkxnMPqUwGH6RVz4nf/mhgO4J++SpswDN+fbhNZIDbiMpigzZVid
N2BnWsWfAaf0mMOv9ADTFABqogRSDSc2mikVvUaAsUGzOJhevUn18MkEc0NRH+7ESBl41sPA6RTI
AtTsCmED6F9bu7RW+eeNYudkrUGkLL9ociRzN41ODZidFtxOT2wcbgT+T18FSyUlbRj1WaEYPQVe
mQ20R+eugRZDwmyhAz1Te5k1lprpzmcLyB+vja9nxQCK+/QwKCpQo/hA/kzZvSIGESmhoguIkCGb
pwyoEOAc2gTNdtliPsKHqONXSs4Jk9TQiEox71ixOKPawNwVAIvQ3o21VAyjpG3v6zC2Nmb7PijK
kZPBOwoj4EkRiRW0j3dNMZE44F42ipJEKymIBMBJniIoaaCUWIu4zuE6AAcEZzdWQaqoS3ZU0uen
SEwzbp0HmslVjCaaU33WIZYnC3yTHVm4Lst1w7wwtuJJ4iLQ6Ru/gy6hZUxmxJW7FP1+3meKDtV+
cKIARk2KHEUJbhSwo7dNgUrNMXQp1r+3LripmRV/eLqtCsknTveCL28cJ9vmQFCosFrPKTpfSxVh
4/07+2JWuTa63Mm4jYQ1KdjxXJwabEW+KcNlNm5CfjhTn/hCrg6+LfvqZZ9sfQ2INJBmbNCyjuP9
POqXC38M17OXurtM8/BpGYyxh40z00zNwAJPaTb8zJLU2mUasePlTnqF4TiSD7QbWhAzMZO9M5Pp
wEHBXlGlmpx53rTs3NGWm4qoCidvCb11HLd0u756hC+aEQoKN6mTOeB8uL5/Tfw0Wnd5etE4NZ3c
4kF69nzbCi17KgXcCaMh/Wxi34uwrTce5MJV65jZplRmkkWWairxfUyBceMp+nJhgBBzS+gbQlKI
WVjWZoooF8KeO2UGG7M+R5yhaeG+5Mz+RtK9tIO2EyZbv6PZHkoHRC8S9JnmmfaZiHKPsl1y0wZn
8a+Gy3nULpmloBc6Kwt6m9rHzddJ0daYpHkRLP1Cr58wHtOiCLd+x39XttLblQuAkSyjGbIqCJl3
WqrvRkKztA2r7zd06LW0QlYE410u5UXCX1QgwfKkfnsdS961rtGAEFXnYqbBr4BBV/nEntKlZePP
p5gsdonD4habPVUtdZdhU8bztihpgbITenNTwjmVZ5+znIklWeu7xM6e9LHdDVp3u2TjCNyBRQvq
rjGcs1M3tOR4B2jJidvuwrreO0P3HplhjB5eDWsWJ/iD5WhiUBFd3BVdmh/9eLwq+URXlUWEv6iI
JUTs5dhp/zA7JdyaGkK89zZVBpmmqjjrM7ywSEw7LIZfh7h/JwTBc/u/TwiHon5rk+f8J1MCP/fb
lCCQHHnKw4D6NXbOpP7blCBgEUDIcjkuqBTk5ykBCdMkmYk8yA9Sa8BZ4rcMpvGLw4aghy7PU4lK
AeufqJHU6303RTJtoIvbkBKgm5BL9/0fThJuTKRk0pr5NJl1LbYiA1Jwql14Uu86hfY2Ykyv95z/
zUR3lz0l75nkxohVvmHwyW5CgwyfxxrKvhUjGRKE/ld2eAHG++Ez8KrbLMyKqzkDYNQsjrGFyUDc
wtK7EyGx97j2OJPTTs28rAjWwwCzjz1s8HrSJcQh7OMydAW+Y94jCGZZOQcTHZtBmkbtRU2olPOm
f2RhIztntaNcd7Wct62N3tU3rNbngKECOFQkdXIS69Y4n2V2cvSqPjynSTzbZhrTDc9Aw0N9c3gY
ZKwDTr4brz8W8htUIAIfLhGliTNz41EcqlvaU875rnam8syNhzvh0JodFla1LhNE08iftYs2dV5l
iRTQVK7YAdx9X9L0qysT1oqsUWCqh0AUa9IQX9qih/fQxnTjmMSs4/StjxbjCWGMsuCcUN/o5M3a
7XKiCkSqCSv6pX/OfpXYOFLXzqx60o82BPhdAqNqFbWDc2xd99rLo/QWrfQg4/lOq+2SWwW8ft2r
rl2nSBEpWiiIukUooULnXTJXrCxdEtyfM+0o4kGh59vYpoSUBG2omxl8+1n0u6jQZh59C8/JFrOD
ZloDePppppAWtlYkGBXYt9MhMXi+Ri6PpgGNYBUPrgOL9MadRmd4wrCXsX8/lv5lwh5Ws6oWD3yE
z4cQXvqQJII4AUQ/Cj87GpW/pkJ1ubUYCab1v+ebj/i4ilP/97vXbVVWxfOf713qp367dxnqhEOd
KKFvoOJMSH/cuwwAf8y3nmOYXCHIHX+ccDx2cAwWnGlkwXTDy//j3uX9wv0GDp7FLZGzK/sv/8BJ
gVj03b0LFQSLg00fw8OxMT33o+Dp04GbSCAIVJLCl4ZJInlre0sbmKYzvLbsYo0W/Dq9CLO9FvaI
ccK/D3sml7CNm7Vtuy99kd+6hfRXYGTWAzgraCrJy6Dph25sjoBHFA0VKgmS2RoyXk+1mPiKVh/t
OqSX86JpDoxYAcDWS7PXDkSgTmC0V6KF7zyEJIDHGea123n7EqTrIhmVKCDppVMFlbZcZc4Qqur6
G8Psn3yahCGKl9f86QncSe1Oi5M2CEdgW02SbKMQMm76mCfzVxkpQclOb7qWjFSLNi8K+7zQyTaS
4t3NVWWc9NpS25y0kgvrfLHri7Eczr0u/Fb78jyBYW3MTnaNsI88X4YnicC3igztSbb2pvMM8dzO
FcAY6G9L196z4/Mtcqk9lrXZQIHLv0yu9m3AgA4gxu2zzDvNeQTojfcQ6tkJnthzl1bddgyzZAPm
hhp2o7F3pR0eQmBwq9YDAV+Hl90gv6KYsAboMox7za63UN/9oijh/bLvyeZvE3J+NZg6bbnsBynA
rS/+fer420HaSCvxTu89iC5eel0WOnUx5XT0uuUoO49i27B+TGLbDEajScG+IZR1TPJZ1j/aC3Fi
YOCrviveK689cViOjnEWXfixFa9Lcl+yA+kremPfhazadk10Z+TtQa9jFfft/TPpDMC2nfhbGbm3
UTjvaHSZmMSKs1kNXYOpvU1MYQvTmMNUxn+2L9WYZo2et6nU6Ban/VX5Mcwx1TnHSo14PilARw19
FLjEa5c5sBAwapkLnbGJg16NivwXWUhuNnXFPVpX4yRFYreC+TJlzrRmsfPV4FkzgXZqFO0r+q1L
ptNBjakN86qlBteF+ptZjbKQOr0gY7rFPWDMVQOvweRrMAFntgW/hvx3xmxsZfIsVcNy3M4X7KHu
dKbonrDtChvDnV/BLrYPMZWPZKj9woMkW7o3hipqYSu5LbRrvfabG0otinwn2I3sTZ0HMKtIgxG+
ZxEpSRvGZVwRZtMb98wtp/vOaV/6jENmXfHYiogpxtm1qPODRzQ1YKxa15MbpKY7rpNch+9I3TJF
8xZvrt40LunR/8feeW3HbUTb9lfOD8ADOZzHzoHNbubwgkFRJHIqpAK+/k60ji2Klq2h++xHm2qC
QAOFXXuvNZchY7wI0lyGvol9OHXGOQ2JDPB/tmgKuTLsAeOAzgtePrsghlVvuOOLZosTM9uMlIu8
CtdhomxzNpCIcJgEIeRW/E2c4d51yamRbjkbzHFnlM2DVolFaJGorjP37DI2TkZEXnpUJfMm0QHH
OeveQ3tbZnwh981kVJHtpGFll9luIwXqY5I7iyGrmUF4jxlj3FktwouuhMg5VpG3kpndzoik2XiV
emk03mvd81JH9z1IBxaeCSm0HA4Ekm97YYAs00mk0fue7xabv9Ju2lq8oj8/xtJd1LF5q0YBA4tB
4Ctz2GZZ+dJMeApVDP6V1LypIryxWv+tsmvuzi7bNl7gzmun22Cjl5DsrY1pZCdfHbt9yLYyjpAM
uxGBRWZ76J18LxGGUleRdhW4Twg18SO7G+hH6FvVtee0p8juHlS93PomUeKd6iyTOGX9k7mCC7e4
NiCIz6NRoN5nvhzEmymeoYy6S98eaRqT/KA3V77e7phrz2AKTVO9YTGO+sq2xdLAZ1EUdYc/MB9Z
hY2VZzV7NYe+jH5vTq1G/o/6hTxdfdbo7bMRwZjqoVNvNSc4TeDqMgiutNG98Fy8/iM6aPgVPS47
kIsFHoCkDOJlBq1iawRWSzaRPBmpskrS4aR77juJN6ucqPbabpY1/ZFVFFX5vKcuGpry1DjunYxa
cJqWBQ80sxi5xXr6mBAZtgjK7j2u2z1S2fu0zbdxU1yEHtJ3JnXX7agv9Ei8W8GwbFutvAwl2Xnx
eJdoOjTMLrlnBV7WuXUlFNIxAtV7Apn9ICu577MQEnmbOeRXuPNGC/c6quFQWsegD/bs81nGzWHr
V14MQtZH3bmx6zq5J+6nTxaakmsruN793EXFmapUclZCQkefkXNQhF8xkwPQ62Cu10J78cbxqInM
WFIuBBjltZUUGKJ9o3p3wOjMvSY5NBGVZzvInEI0eihi/VRk+rWZgP/qChOZVv0Kn37RqN6OzsKx
tuV21Fm/hAPvJ7fyOzko96UsbglHSAgNMhYoBsiTHPpjl2AzMEf3ZqRzgS0xbq9EE0dozZ14Y06e
ANvHfTPPNNSov4i/1H9s0J8bsISxqDjlcLjRE5q2Xh/Kk7pCBDIABj5qN9ns0Vp1J0z1s2zuvdxe
s/3ZRcti3myiC2vdL8JNsQrpfm3iQ7j+r8A9F7jTXvZfClwAg4voLfgJxGf64J81Lptwttl025HM
nIU/32tczQE9aE0SPtqvNlvA7zUu1S//XMch+Rd68Pv+HFghbSBPZdCM1ui3ID6M836ocaf9Ocpl
RIQGRTOtAPXT/jyK4xDkfmMcEGzSILKSqiG/prWtZKJI9yVYjm50pjarWuoYbID/37QFad9hDgKt
jZ2XJMznRkPiq1o9x06qaadeq5HqxOdtVz3twGhBj7vAmLZlWHH0W+O8WdNqlQgab9rDZb7h75LB
VqkMkiTWbiLHSyktgzGtAeEEdn/gZSOsK8iE687O0zcfq8iiyKMWYp/ptvFajSnpvIo3w3VTDc3W
THWgfOMYJuPSV4f2mewYsnKcKlT3euv5e1FVNIZz/JfLUHrVXFQkoeAyj/ZWM5gXvj+WFMKe7720
dR56M7PyexqiJk98koftic3wCxrMZywRr7GNsYmWCq9923orGzg8XqE1dBgq8ytKA/bBGECqALbD
qFqrJlHa594ObLa2ahRNQ3GNzWxPHhrGqAcNvczCI3LhVfLu2tRGDvgEqciFkujZJtGEcwlJmlWq
LKu1OdXJgkgY3oG5nEb/KE8FFZXX+Qe+XMDVDe/TvvYXbpPt3daja+8L5wBZctwmJlF6EbB9uP7h
mjoim4mAVc6gmUyYFDQOB1INW+w31wyVtduNGxodRyOO7PXgk0ykkFk9IweC0DJTPpqh6S/AC3VM
C+mOavA+WlDjDa1y5AiymashkXQeuT0LgapyGSulflSDJLlResu4zm07f4tVU+yyKsofGLYLbJLV
1xwB17fV87+m4qRH/OdVa5sPP1mwps/8tWBZUE9RNrIe4CpkkfmwYLl/wJBUWS5UA0/A1Mv7c+zo
0IUEieHYDrt2D/jE9035ZOpm7oh2HRzh7zMuPgee2lMc6/Q3sC03GK/w93186xlhirmkcxoCxu1w
VRQpJrAiQwR2Nejd2CEk8kJ/tJdm2KkhtJSOHEyLbZYGPUUf8GibQ2SkexaKajhCreI2xNPbWwJu
k7QrYqqtNDSIREGWRcPKTCPyIhQ/7vSF4ntF/jwKuzVPTtt6Il84atmZewY9fS0BN1Zx/eKMjRhH
qlDfITFUStF5NQq6kN1TXXqHsFIxQkm8K4RgmndVQUyLC3qmaouEGMEkRhNY9d0+You80t0ov3TS
pL0moqP/ouaWVQIHC4MvPBpylWLpuYjspECDVviXscJuClBUuGFkzGPp9sZwpeFE3NZt0R8o/Huc
212zEH75XvQuyZfYO8SLG4F3SBtTb+ehb7HW0OW/ZcyX8bjm1qs7pt66C9Me6R7BADB91ikBmNcE
VuJNMgKst60qTRw1kCssyjtIYSobOBhqq4QohJVZavhH6hp4GNMdYn7GrtlUVPTxTJv2HZ4X6s/G
WI6ncBypCRO91b8QOWhhnsMOPICZeDQY5RHSqusnIniCxehm7bFtk1cuab6tPFu70epITTHSgA03
+8ibQQwNLwfSaBbBYEWXFrTbtefhj45Hz71kr2NtsipHSjQQ4RMCzHiFWZteABOq79usaFc19Sk2
ukhnKqMRMWqH7GwHz0cPKSv7CiUf1XZlMdKKjHLRtGqxZ7Tb7alld/6AKXZwFXdVWYN8780w3bhl
FuxkEcGVBYKqHBgUqbxkaxIPioF8xKahs1oNbr4ug1Zbm1DaZtISSC9G3fN3qVDse/SID1Dq9Atd
ccsjf76/UqBWHupCn3iSQj0OYwjdnuiXbRDloJ1gn6GTK4frUOD+7uq+Wg5Ry6ymG/1VXdV1sPiv
HvxWD1Kg/fPKOgGnL9qo/p/jl4ispL93PicBxV+LLEFbjk7d7k2irvNy+efUBsYQvEcVmbjH+sbg
5Psiy0rq8Rk6m6zAFI0fFlnzD7gZfAwtxv/Vkr/T+fxUE1KTTiMgOp/8PrCtU1/0w8ZC0O6sDdsJ
kJ/isNT3kRn+Qltk2p96qwzvaanyi8hIYULFSf14jAxgm1emg7zE+b6lnKLxgPFQrJxMMioiOpbB
71CvxwkcaCslfVKtca0bHbxFQSHj2QdHOF69zQO/OrRCcat51hp2dbBtRZVLs25pkqilBm+67tVl
UfZquUnCLFvinFPXUlbjWuAGRgWCrA/pRrWsix66vw0bNu/sU+zkwbpMMnXREi2xjpQgxQFIPIGy
zjPcSze5GMN3MlS6lfHNe+fWqrL0vnnyvJT/WmqlCfk6PBv34BZi4isrWV01BKyKqCLyXdGYaMjw
0Sg1tuGhAM6MZTXBRG901Rrj0kXf2trMaZTLNuzurcS4JV3iRuCoDvLu3rZoZbo2k+ckMi8QXy8D
s7rAub7VgiDZaqKFxiTtfY+i3VXpmDGyX6uRVEFfRLgehx2M3qcyjnH1p3RnJiySiOx44+XhRSvV
L6Q5DXRdiBwx0dbM3FQj97dIF4PnLQco07PGg3cW0KBZNVLSgjX8cV8N5b7zlbXMkk2jRMGa/Cax
iAw0IiNNsz46ZBR7S9+AhBGE5Xocxdan5RBaVbqO2XAvAiXZirEAcwBaMK8lLP8wuyE2aB8aCJ+V
QbVfhy6poVeQXsEOeSVLblXSOZYIjAnCRUOedf5WlhXNZ9grWkxbOKEORubWxbMgtm4scwC6KU2Q
B3lOhLLvkfrtg3BTh+ZQ2Z3CoA2+QoJVvUjVN4I5v9IId9eQr7O94WWT4JdZ31WZu7yxpRlZDPKY
MzqasvPYwqzpEL/SfSTaTrlsNOeuoX5OQ9+mcSAQVZLLaWgXY+ZedXm+8mLSx4W/nLygmd2TeJLq
a7dv6BsaXHgrdza12j1oI93s0goWyC2eR7s7FCr+94g8EytVTyO/tNMAK0/wTFNbt6Xyotfam6LI
bWGOFwZJjJ5zD4SqcMcdRm93ZcXBUjjWXTVqCDDll44tEortBuJ3cmHpwynwsU4YaKBRnHhPJK8h
WaIrKnrtAgQeiWrmsUKDQpzbPByRW1hjtXJC5daV9Z2ZdAg2wDJYIbLpDlUGyhWExx0gkCLZ0ttg
ytdp96US3tJvvVPKYjbm/coJynfdkbvKU3YStQ5yLXvHZm2dIoKdEYRNWJEGFrw1m2uzj3ec394i
p8RoFYzERgqzvGBeoxslSh5TJhupZPoTBY/zWBMKKgjGGfw7xqLJtaRIm0kJNJV4ETGDuxIuKmUC
KEwirpDsTdp/0L96HguapNQRBPTBZElF59fztrSnJ4wuDV1Cr+mWbuW7X6BOBjRp7Xul1u1lV9uX
fkgUqJ+WHVwYj4i9EMlNNyCEpkKAj6lb142qkq5T9dUi6Ep3pmnxHmv9TVYmkDN6xuNdWQerxDMf
bRuaio3DplXGhTP5SFxYHgcfRthSjjRIE7v4YgYxhDWwqjxyAOtN6xYgG53eeEjWwRBcwE8bybjx
r7Azf2mlN499ohNjAkZ9Rb3xbb5lo3yu2wRPQ7zp4ubdEf0xtcaYUVHI9rBPn1DVreBtPBe0OIHB
go3V2D36ZM4x9MiJnwZuUfskFRKbBDRjGVf6V6Yxcl1W5Ebn3ROsWdAUDbCZqH2uG3NVCr7mpAcz
6jwwr7+32vzB0ghC8WR8I9PhIvf6TVMx4Ff6+CEIh23U84hKeej8jLGxn7N+2tdNMx6t2n6SoXVZ
xObcNbuHntGd1tMTcyBBdSYYU0k8Fd/GMieoiWKwnnmxvTZjHAYS+wFyrGgb1JLegJGjL7PsG23k
W6tTkP9B7txWXbRrIOLOqTqJlwr3lV8QtxXlJyAhzaaIgwdrqBDxqWJj0Z9kuSE3SoJz4eyz0LmA
I7QRSbDTGuvJKxkBjsW8dBNQmO6Gio5y2c/ormNkcpWF1UebFsANuwT/RW2SHdd6EY1IyDzd25nt
cFVjPWIqXu9iVdkIy372AeqQSTszm+7GB0vEDHZcIWkrYIOGJ9WU777aWwBt8mfVnMRZY3TwrJSJ
WHWb5Q254Hmx6YKu2rheNoApIUhZ10HLRM82gkcVCxhD96Kh+6xqjP7N/oSqnLEGjCDyasUjkvpg
pajuUZ0E8X1eVfuanjfNAJmtLNt+jVL8T5UaKI99aXO/jJMtl4THmQEW9KukbbvQjSyEoDnohz6s
/fcP9dlPHNVTf/SDwJkSxGPypDNiRirroon9sQTREovortxXLuMYRsl94n0xrW+90Vf5v8Fb8f9x
CCq2j5XUwF1sJy2HUCvwJ86xLY+4Zv79NH5sA5+N25yGrdJLhHbG1PzHY+h6OzBljoKjCprZdY5j
A9PhVlG+lfX/eCoM4/92tRi262cvrel89rcHRQwTLemCY8vOpmJaW8M1Uao79sJ9B2KlBu1i/Zfv
+y3LcDIj//NW4vAmXt++/n0HMX3qzx2Ejmt06injNXWxajj86MMOAn0E7RjiYjSbuPTvOwjnDxvD
KphxT7Pxh06Kiz/7yvYfqKIMB0G3gbFzau78xg5C//twwqWJpKNWdYCbQl2Y2jgf9hCGokPTqZLk
qKlmI3ZeE0ERjsDmKIAaE6dfZrbIhjlhLRUtimTR6hkQz2wjt1vCLNZ5frbJzeLGvQ8HfFIM5G7p
bou9KqFLPvq4E0CIIvgFu6vPwZoe0YBBbIqzZlPqFiGyfXZdJMNRKmnH1Ft/8dmQzS2R7Et1POU2
8XGOL+6ZHq6x8IzMSOX9qPZf7dK5JrOKX0BHYhNI5ioAQDZm7V1hiXjvCggwWZxNuDrVxurRJIQQ
ZicaIuO8oXacku6ObuFfka+Yz+wJZh7YI4kiwoViRw2UJcRy84ZFVyVnfUG6dxczbSqKqlt6lhlv
4FenS084VKuFby+zKnxsacsvcjAr6wC922xEmbYywjwlUMeg5untJtywQAYqw0bY0DP66wPvMSXd
EI4+TW1ja11rWrpHsB9cO40jH+xOBLOCIpDMmcg6Rq4OvVWLtEuSyHG2mvoJSimSsxr/nF05zRr7
Xr0Ki4w1vss4tB672KuqZpPrxrhADU3aHqSXWYOxkdeQJvIr8t+NvVsKKtjMG5Bb1OCkop3pKLa2
9UiSSVb6hJYanET7olHpLlqS6JwqZkoFhBmBKQhXiuoQ+fBkqVqpVgYHzYMUKydEuCGSt7RoH5Ac
XBSqGiwyp1+nTcLo1LIOwlMOYKq4kbJoYZWEF4Ww9nXxpCvJRdxH02Q3uzWCEAJa6L6aZXXSA+cy
zyTCjLBxkpMVD1DQkOEbFJJWGI8HwB8UGbQUkxLAo2GyyUiGcNtmPoF8fpFDUNXdZTYGr6Pso5mv
Mj8uvQk5jqp4ZrGvmuOCeLVUfA2QSpK51BvK2VAuW62ZUtbv8JbKBQkd1iLqOvh8A+IUjA2XKBaz
Bf7pYoPVgtRHIJYy4l+iOZ+Fmrd0gI3PExUZXmrB8XVH8uSHMOoWqlRJj2IPnEBKnw1lAtFabfYw
sch4ttjURlN6kUqMkT3lGflDcYMKiRp6yjry89qZVYgrCQ/AXIBgalYTjpT5wVfwYBOMK503U35S
PAUpTYlKQ6cvNZWMpXZKWyo0du75lMDkTuX/lMmUq6LBqwFCDTRSUFDURLFTJLt8Cm86L5v/Nfmn
lsy/vT/yr8VrlP+kCTV98K9XiP4HWiuDILNvejl+9NcrxPxDPdMD4Cyrpv7hFXKmFfDeoQlvE1ho
/pgvQpv/L77Bb7w+6AL9WG0gvbMYAjKBcG3eYp72qahx2H25mR4oR40brG0icjrN8Q3aGfoVK0XR
g7TH0uKVOIt9gD6Ja29SAOnOFIqOYQZlUHAWCXmI7BdtrYkH/ywishS3oZVLcQ1X01zDJUXBr7vj
OqgpU2vTM9cwtgXrNUp/ilC57ErFWwlsAHRw1NegwhlQ6bJcFZNboEfZR1sFB0FT8G+NyVXQJrp4
Ls9Og8lzMGLc2/W5s4tjEAA9xgQ43FCdsCq0evsFGII66yYXQzr5GVKMDS4Gh2FyOmTMyELP7C7d
yQWRCXbr3uSMEAO2nGFyS4hEQhuYdEAD5mF4k+NMn9wVo9Ev9EbWp7jOjYkjnz51kxtD0x4ik9RY
1t7LCALmgjrhKgbHOcPPdRjUGIABAUNA61/rqIcUC1zWbNJm5k5OEGfyhEAziHb52ScyOUaSgU5X
fbaRsIXuZ+7kLWETO+328ZsAFgB0jwUFeYkxbwCtVnT2ZwkKjqtxcqzktZlcSUwsxeRm8SZfC5tQ
PpSMY7SijsVfNTcIypjFkxlGTLaY8eyQkdJEY3T2zcQhGXHgvkr/hrW1XHdnmjQ3dr7NRdetsxpH
i28r7iEyGdXQt/IJTeXD+UFjT3WlteFTGrL5C3P7JRCZNesRRC+hbDwlWhOQHVG+qygH540SXKQ+
bFM3Bs+nJhOFJXsPR4tGTYDoBhvRPCMVk2XeRX6SJxTJnb0VHYIz3SJDoQO+FsaYQPQsW5s0JNee
cOeatAgqMYeejIGoRewCEFZvadKJrtfNQwcVdkf9jY/JSI2TdeZtCHVACc+IwJjrNWOOkp7Fhag8
OpbcaMeugAYgKqva2yYvcqUo1gX8CRznY7tmjPacds6iUSUZEvitdr0kQC/tAm1lmb57iUNvpWTe
V6LjgcNnV0Xb3vmKcahLR29nulJeDko0bHWb9Z1FfKNY7D4y3ie3KqkqS9d9a+jKRKlD99i5GMKC
N1Qcris5LG2qLc756A75hZVlz2On7C1CSbPQDeZRa/mH3C3rRUYA/aoNgxvqvwBMSLoVcbdJKr4k
N3R25ZQHrcSOP9MT9yVoe55AOzrKrkCglaOoVJouY6hezTU73ZJ+unSFeMmES82VaNhn3m0nYmnJ
VmKERpxUc7WrCQPVVWjCCGYIZHAY7Xk9SdkazPiwsVCoyvTOTREEm+0dUjKXm9Qr7KMPR23nu+N7
WWnX1thuHbzmBr1m2h0GQzTaU0qCLLB7CW1jbYtuWQcB3n/LPdVJfu0W+lcv4RnOUuOt8YZrU4Ee
TOLGYaBJrCTmvOQ7zuIWUxyigoC86W5Uyxn0/ddxGG776X7Ukngr2vAEafiYgevAHYgattg4GdBl
Gqrz1FKvslxeDtUw18dhm/tw/wByhqOyhmOwAXw6z0oAILVcKZYqWYmiV9ttiVorNwo+tSR0lkNZ
QLdV3WWuFmumqvEsboOT3mCb6oKNVN1FVigXXTeshjR6qVpQRYmE/Ze9s7Gc+0JbkMw+95v0TaRv
hd9ey8bhjlQ3tHQh8OWPVuUs6pFRn8kxGkHfWT/iUrmpG3tlkpNmBfLalN5tGiNQ81L0pEWvrjOE
Aig1uAN9hcGfuqJn8T5U0SUr3Ioog3kdgrp0MfQFdbg1tGGDt/lR1ZrdaLk3tl0+umF9PWUWthlq
g/KtUrHWkyoJuTNa4bpY1QjmCCRZhvAKAoO4IgwVRWdc6372rkHs1gVNdTwlpapuFK/buLWyUsP0
Jobq3VjaneAvdaARzGzQlr7ClFBtVzyKl7XnrjSj3qHI44DVkj6dnMu8XhQV/SzT1F/7tnjkV5kr
CXx8qM2SIAU05uQ2zZlnv9R5Pc9dZY+VYzsqzrIY4P52AKlCbBQzOo/V3AsH2rq2s9ab7iFr8+cG
s+lQOgTnwWFAszEvGrHJXTLEZUYP1vLWzIkfe6E+FCK+LhRtPYknI7/l2nnLIG82TmNxdzrrzuqu
8iLdlwR4d0p7k0bOxpX+0Z+iIkxIo75GxBzJU3kLEwLRIk6PLQ8Ygj73KiYjCj/gU2kzUhBqO0fR
eAfW8aoW9TGvrWusk+qMufJNS/p2V1Jfi3HS5KUXqRUw5axUeKzBQUwL1Vg8Dkmz14W1LimFWxSE
sdGjfJmKHgIMy/xOlMNO04u9opvhUfFVn4yiKL2pka7MR73ZwQckYBStLNZiRYm/hoF9FzeZs9XR
8LCJbJ5MC/sgWHhoxssk0r7aGcnZTfWYiHBL++vIegt/VSRrDQm/NZJwpaVOMh9V7Sm06nLlGclt
JhrG/TJZI/g/xYkbY2QEr1igHdVdZ+MnNgJRBVAyHcGOqENQsaRKDPoUYEGER36SgQ0HXe5kPnwt
lXKpwCZv0C8wCkeQ66OjjTsH1Sat/VDJ5woVQtK08yzlJYH7edMp7teus1a0LtdIKVaAUpZ5gWQL
558kVWZEBJzvhybYi8a6LYgoxyJLRAXMpCZKyCLrlR2JUdzrBDOytxNasU2V5jAq/VMtytfWFcsg
xqbgp7RmTRB/2Aec32PgnStEehlk3aFF8Uih+7HB0PRCMN7KlSNU0wgVc5Fco93+xZxyEpN8aBH+
30HsCbVnUtqeuxwfuhiRkqk23DflKN0vol/37ZMsME4yXPrVRPRnBa/BqPHPI32StRQ+SQWjz5F0
gFkmqmAH0NW4Lez7uH2OCnv+YUPw68bktxPjaaI5YmoaHZofr57uwir00yI4dcpz0+4rcvDS138/
xM/OiGqZYpnDGKb96RAAoSVa9zI8QXWK+3U7DMuUqIMsWEcIP/TmF3iUT93c6YwA8LFpYTKNl+hz
N7fL7Vof1CY6RUjmI4Os4Wl8+4tzmvq1n+6HHw4y/fzD/VD7SkOyJgcBwDprxEXshYt/v2q/Oo3p
5x+O0DVj0wls3idRHuwebVBx6zvRLw7yqZf7t2v16aspkyEpu6yOTlIhvcaaexFJXExAnCey1Oz6
qLf1L474s9NC/DKplIHmIXb98bSSyM2iPNaik1Nd0fKf47BwfrOffz4rlEW2adPVB2Dz6dL5lqHY
bidiPC8h7UUEBMW8T+/+/fv52aXDOUsjDqWSo3ufDoIi33GiiCa+KJ9yoiHYKcYTaJiAtXZvduQC
+lf/fsTpnvp8z3084qcvK8SNKUptiE+qVAjteQD78YvFYCKTfDjEBA20NAdyIVFUJoKMabv/8aar
CzNMQqllp/hCbOGczdsDItGldRVeW3MYcCuYTqt/P6sfDzl567iCH67jp0MizstkU3bxqbPrmU4r
SPdYFIrNvx/l59eO8YjKm9OyrU/flj3SH28yNT5hNpjr2t51m19cu+nqf/52TG262xgnEWjz6cYu
az3SBggAJwaks8HVqTafIzNAYhD/4lx+dsU+Hsn48UtiR1wIzbHjk2a9he6V5d9U4y+Wt58fguCd
CcNskxPy4yEiLYGDTuzmKc+PFrhvibhDb+1fvFR/9ghxs/11lE9ffSI65uroU05R8poqG99QllMi
R9LOk+akkDVq/eI7+ttp6chYkbafxVGaaX4qFRDPOYR5Femp6daVQHi9rMbr37zRPh2CXtrHJygH
/2fYYZWe+hFPixLQl7V+cdn+di+fD4FUn9mbhnrq01nEUqI5Yad1qtNXZdySGvKLA/ztVuYAqHQt
nhMab7o1vdA/vHpYOp1eIzDkRJ2XtdYcGRFs+lnuvZ2v1X9d2alL+c9d2f2b+Em84PSZPxuyGEJs
SkDejw6Um7O++q+GrPoH4G8NlAJqJioc/ftMb1IF4vQBcnYeBH6c6ZlIr5HyqUw7YIbTrf2dmd4Z
MPx9qcOQ4kGeo9SmWuQOZBf94/3haGWgauHYXDo1opmEaFZsl6GeLuh5epBi3BcmUP2qKi28usMY
m8ouq9128BZOpMdPka61/jH0i7baUm2UGQDDmLFEqVitcyqBaPanvC8vSyOJbhU6VR5EWVozcT3W
wAbC+NlAgHI15LCHyPJC0B0gLPAHdk5owHVzDFfNWc5aWfgftqavZCS/ao2T1k+oCGKGiJJYUTku
jNauo3ql5zLSdtlZzBeMOKPhv/oxIMxJ7+cZAemDkwZQdo29EJM2UEmGatlXvgbtxdaW/aQhVBNb
3I9d2GqbBAT8uDTOysNB90a5TM+KxNLxFbLxzFKpsfeO9qEd6pDsLr2wbyI8hAxInBKV46R31Mow
aW4SIyXf2DbL9ChxAOvryuG/h6AuHsfe5EVZkv0a06MOC2dbpXC4lv89omcNr8XC/M+P6C28XCKM
/j55nz7251MKtYAqiVGVOU1G7B9CQI0/zmqSs82Bt9B3+DOPLNUBme3f7BHfx+7eH/x/NOmgWCzk
u1DUfmNu4qjTe+aHZ5QGBEmjKnmiPKewV358RhWGl3ZV1dkpR3uKLPzcQx7aSKWhbJy7y1J2pEWm
TvladfReizFcMwO/MfEXkUH+ZejwQ5VtQJ8941GOcpRQkKta07lUG62C7dmmAAQAHoOO7WjHDQjt
kMHRaAouFcVP5h2vd/RkxbEemq+KnUxjz/4rd3+xDAs0c2RyMLCI9pIU8BlE84PC4FWoBYRVnvfL
sEHc1vj8DDrIV6VgPCNaMSVGwVZMhjWV3hdFaquwb+jOyWDj4AXJxwR9ZxL6oKv6p95V7tJmwAyQ
aDeG1TwG2PPWHmp82FCGfQwopZbs85pZayWCtSp4gaVbrGHedzMSRK+iSD8WJgmo4ajfoF+uZmEb
XTGn2WWq9WY22Zqw0pfajPamPiRzQcKMdPW9IDRY1bxNporH1oi2hZxSx5LgsajtRy/+YvSki5jG
a+15r0Kvj2KMHqxCviYmElJAGOOC9NmTwh8LlqvfZGGkMDUBsjwqhIsOSXRDvPUlqs7L0ah8rA6U
Z4OeIrok0mobA/Sd4XShS62ap6kfv69YkGckhDvzQGr7OLSDday09qoKUnworbp0a3ln18oOs4eY
+ls7t0Aey6DjWA6mNx8SeHeizPX1AC4V5Swg3slNXA6pu06cUCxiNeuWdudDmG4ZY2kpP3UGnUSp
/t53HWLF2pOttke1wHmjKF61FmbO0BseDq4vrL0ByLYGshhuBxRSqthmiiXmQleI1bEMf94X3R66
JxDxEZxxI77Eiri2O+sEp2IbxDjEbT1Gt1eg5zQ33kRVS0b7rokrRtrBfV00b+xK4fGOCAGs1jYZ
tXnhym3HxzwmGizQyx3l4YPSsudN6/5O8Wh18dF0OaLFXhpdcjMo+rCkOYTxQyves5p4jKgoD+bg
HROT+VgzSH3mFj2S6a5fSlcWR6fPAp4V4dIpjGh8J96mb9p2lhhCvjR+GS/UuvQXhmD0biTxQ5sQ
Ih3dGc2k1IbWseRZW5hm187dBu0Fs/F8ZvWi3EhN98mUIDus7A8mOWCLLI6MxagoV0jlw+WQV8hC
9ewyyvV8xmQHyrZhIHkNxmkc8JLISp3utRvT2BGWlahoNpVAXBdOvTQGSZwgXX7XLO5V23mnoOZd
45jvYlSfvNq7QGJ2WZJSr4OdmpGOFi5twuhnQ1Zdh239ksJfBHW9dYsRUaKHhVpDa869F89ckiOF
O7zrtXgOlHbfF81VWioHsiyTFXChxUhCNynvuKjULkHwPE2q2mRKaQqhIDbNe0n+7SyFardIpfMS
UchjYVNndaEkbBwlZMjetXcA8ONZzZAX1rH5yKqLemUQACJT+7WBtDnToFMuWJD3BCNJhr4tKtax
2zU+sEVdBNd2KF9gDIC3MBMsNVWdLsug0ea1CdiSrkIF+GTSMN40VoWlnjSfVIKoqhKUIgjJBQ9d
wSPh2ocUxcyykP5lkRL/Zba+nDtKcIOYg1Gnd+P55saQgzu388kmOaTXkNkug0CrVkHjpo+iB4Lo
992Fojr6vE2nB9uKHxzbYH7d9cn/Y+88muNG1iz6VybeHoqEBxazmALKV9EbiRsESZHwHkiYXz8H
VOi1pHbR+95MTDQfrYDMz9x77oZj1UA8HL2MRclG3Ig3cigOHOg3k1HKXU2H7XMBXFeGJJN8GaAj
JdtGABkYK+vA7yxmS05xQJNuwKvOTm0kr2OTYHMtQchL3hh79EZdF2HG50p5a1qJA4ywf2mJjly5
VcPurdAiAsFq1PKz8k4Fy30RNfEWMtM1VsQXAOHhqs7QMhm5o7DgIB+YIJsCQaS7xBWDlnXywOsc
lKr5NFpsodnCR5hG/JIz26wKsUli0W3Ybrz0Lvb9igdpCIoN42lClfknX3HdEZaqo87toD9u0L3x
NyW2b6/rw84NDVIbI4MkuNJEL2XIe5Yh1wN3IsIVp+QP0yasjAA7ZvgKUDIvYrSE/0aOXXyqlHnw
kU+dJ0UvETfbAz5n6JpKat1jE942jODN0rxKwuptVPlyrZEg0WZbMDQ4Oay+OCHarBHgzGfufyi6
hC5jutl3WcVya9J6tLKi/FxnSbZv5/qeLXztZ4X+qEzGJW7gr0OdbYgru+eyF0fQkkh+HXffovfE
rXvnzumO9CRg8Kj38eGVpFEa6MtMGI/Uk0TjASUBuyN9zbZf47FUfLjqMFnLat5MpXOjBnm9hlNp
EBU5FuuqQlsksz7Yi2Z6thQehi6S2gYIz91Y2HgKA+UAzPsZBqEfYm9YjUm1LWs4ChSxV2WKFLR0
RbjG2fJK9qixQbzxxRAxW77auhK99VAaFgzCbNzNof6eiMHmjAW0gBExWjtjQR6mjcq/s9p0JRiK
rxkbdis1nlwAb+oXq5UXrgH3Z8Zbs2oUTu1o0kMftfngWUryLArtnMaAM7o4SDwyHI6xhK+PCHE7
zcQ79Drpe71Id0mIMzl2kDGLDsdzrQWFVyYNSRSuw+ZHGVeEnDUbSXXtlbmUfsnqr0zp7yfFegS9
oq5IajO9vFbuoma4b1y01UUMmXHITghOQKX1jJso2olCIzSgs+waE0AHXJU8gVy49wYBA2GGykpf
MgfySulhjPM+6cCgxhAoo0ZEgULlxAtJasGgEeGK1HDUuM+XXANBwEFticFDv/42VJL0JOvdEsCd
SKRDTEY6Alaid3vJS9Ay7VUSoOByk4PlNV9baW/hzTV+QdhCUJCI5s5M6kcrfQzznLy2EZq8Q0hD
ouSI/l8QnJ0oDIyVYyiQLvvkUJmN6lXkdl9ocQnOAw+4QwhEqJhsoYbkTm2cYlURFGHnIGk0iL+G
OzyO1Fzob2ZcAuzz1nVH0sRkghPKl/SJesmhcJZECphCR4eICsfBp5MuqRW8d++ElYEkQp+2DlN9
I2T/uZILk7VRAcKSfsGzcNatuFsXJv1Rn1a31pKVYdrI18slPwMc4XlcEjUayzioTvcKZgfEFaEb
9ZK+kffifs7iwzhld9qSzzFgsCht8SLlvBhq0dIQ0jv4JbEeFfEexZLzIaa24zgk+6OzkjeX2jiS
VrSqiAeZ8+YwL3khYTPviVL7DHDB78gUqZZwkZYqz045+qIleCRyBxuvEWEkNakkgnQSHKc1Z/D4
Rc+p+ZYQkxhKV4+oJSDdJEqL54C0k6TrLw3ST8jhVP0QLhCxxtyUer1jQYvoUV2PZo5xty5vR7JU
KoPEJbJVasai3ZK1wgAT1wxOB1JY4kaeGmh9PWkUCAakdmgTdfLqj/SWrJitz9NHpkutgIC5JsMJ
58LkWF5vIlD5twf96EFVmrI/70GP7Kfa33egyyd970DVxT1q4P9UKVZ+NyfS0aBacPUsJqy/9aC6
9clgPuTYKOrQ1C2zoP9Kv5kgLRJyG6A4UG8M4f+oB/15vLuMiYCJOGwRBDs/nX7m5xZUDfSO9ZJt
XiAs0Zt7zY2yvPCKKVepLZWeUOSEofm5dVICSokJqrdUlddCIZ9N6FlOh4HqzutsgVWOR6ut93nZ
IDC2pW7SsLUMdfDGHAY9G0BTZ+WcXpd5+lih97bU6IkCsSPdRL8AU0sJXbCPnxc5a1hHL6UdcRBx
Q+BVdxHQCfq2DqZSkaQeVpvJH/T2NlKDz8smPTqWIpknP4vycHwgDZdDO+5nFA9NWpU+ejNq67JH
qns2lMnaTVGyi5d4dy0g6F0ske/BEv6uJfNTuMTBdxaVjloVuHCIqSnJjK8TZQffAvAxafJiiZXP
loD52cjvYxLntTPpYucSucGo2/x5lmD6IAvuVJLq81LA5pbbZL5WybEfWAxhO1sbBQKw878v4rcX
kQn3n7+I5+evb83zH7yJfNYPbyI62SX6TUOmyhv3g4RWfIJ8C0SD+AQNfwQf+g2Wga7GdRwwPkzz
mdD+9iriwuCdQZLLlBeq0z9j9Bu/uKx5Fx0m+YR0AcWkSXZ+3cErgt2U1qkhCrV8Y080UF27KMSn
BrRb9lilINDGzvXneDrYMAuwNodnFPVLifpmKLL2BpdFgD7A27Wz4wh0dzUzsinY30HqosaPY0yN
jHOIvcoehItUJIgxBxvoR9WeNrdz+ouup+NQ5RcrQyuVpIRREYAdh9GT5Wa+IofwodF6sSuC9Bjm
Q+DZwVKvdmq56fv4okSFsQpV7Uuf2YVfx8a4ontp/UGxkER1wbsc2jdGwxaqUBwZTpmA5G3i2zKN
rseweMbU8aCgAVu5Vig91CzzOlXMg2kppt9bEX8B5FGo2ssXx0xeI7tB6o8YrRn4FfumTddtpV4p
GfY3lEaUzUc6et47nNN+G2t4BNjMFvpIYHrWeYNDUZkhWNsyvYWb2A6vQZtA11B7nJmRk21m8H1+
JpI7RHJXnCdM3URX8ytl9okgrds2D/w8V6/bYmg2SWbkvuLOxyhzD1E3HqsyEp6NGQ5RrtyHarWo
L0Es8u6Xq7I3lY0St47vRmK+b9MSil9p9mQw2eTHVp1+YLafbNx0/KrIaTqEMkJYXWCcaPPE2eoM
zmh29ZNVq/vacCqg4UFwPSmLGafu3A16UwHiMEdGp8SWV/RFdF1aCrpS4hBie1Mm9RMOvnnbhjoV
SBUtkcCoF6rK2NicTAzl5bSzimDThTW5U3ZB8GOYv3YEKXqqbYcrwCL5OivG0R/z4Cmzh70VooSI
02ry+aKTDxGFhrAYfXiA6zhQu/Wi/DhoWn2TBmCVbU2OfjLidMBgaV6I1tB3jTblXtjPr30j9FXV
9i6+GQLCk7RYUKqljYBIk/48OWdiAFzfGa23ppLkNbnqRTFAd9U7HmW8OSP23DjbVCFtu6pYt0Wk
P0kbX3+ctzxDjp3tunZEbhgOt8oUtPsgml5RMBWrIec6I8kCun8veYxdG6QhsQq1kRk7JTe/4AB/
QU68tZFrrbWxPSs5YaghYANmYwUi8vplchEX24ONRLJoXeuaRIeOInamImBuacKdG5spX+nDWzZF
jyPy9w3a2NLL+l5Q84+bSe/0K0ZTX4YCgS16eHUVtB0WZ3N6QFTWeVYAMn5k7OgMbuqXJdhHYI04
tnrETxkXb4wED68+nTfaOBBaCB5qJ8J1bRZ3GPYvG6tiCkbQal8W73FXE4UW7QvNOUoH2jTxxgC5
tlqaHyIlOosEvVo5JUz/st7Y541xI0qmvypfdwMc8ujo6eCBEN+TtaatrZQf3A137WAchSLerc7e
QMRdjibahSCfDqUyPWuoolc1rlokdrQ68SStA47cjTOGY9B7id11j0VYy3IzRpUxE1DXlLf60LcP
5TgOX8ZAwyhtiVY2O1iN5lOYluaha+ELXGXwMJx9VyvGUxBaGngtpHHb3E07H6DYoxoZ1tocmT6A
qM7WweLlMuiI18Pi7xp47tbm4vniKfzSwx2YAZPDPySrfPGH2YtTbIhJo3YxjzlwDccCHxK5PkuQ
d36VWWF63y+es7yKOZ5S5Ok9hrSwsa8bixgTZTA3E3u1HemHmWdX9o3udl/zST7Ui7+Nt3jrYHib
3R7yJhY4l/F1n06mV1XiGVwquVbFABEpv1HhRXhdF7S7OlOIsv0w1wnNm3BWMSxEI1iEg5rui1KT
HFzFs13KiAEpQj/bik9xmrxozsBpML6MtrYpAEKsZsdEQ2rwHmaM92wlvRPjqZClDyRiWTAU8zbu
460inUv89IyypuTd0iNyjbo93Slhalm8VonHWKkOWJtM1kw48uE2n3WodAGnX5Pn4abQcc9PIIFX
iRazyWPbNxForEuhevlQDivNqm/ixHT9rLFPAZuHshWxVw/UkiwI7upIuzAiNWexoWzMpiGZ0C4e
sNTDjKwvFGuZEQjrMXHkazJY0RZB+HGADbmSY4fEdH5kFE9jG19OZpl7WmcdqoDFSp9Um9hdhK/O
E3CXeKsLhjCWUgKmJOumgCDkmZPEp4Gi0rRvbTfVV6pmvFnSbTbDzGGrA2VI4IDiCQHGUEwjHWxz
MDo0832M8DFu7D2BnZzPpMmkEqKuEt+iEEeEjX615r9100mWykOq808tnHrd9GXHcSM3uRq+Ja67
M4dyXyp8NKicdwazX6tWPebav8DI/3xz9arUeH9eT56e2/btjxQAfNYP9SRWAdo3KjZEjD/tFuEC
Lf8ZQ60FF/0HBQDZsgyu0esg5KL303+sJ91PqEUsviLBT/R/MCb/wXoRjc6v60Us5pphmipSEWEY
7i8SEdm7I5AOa7ic6JTsdSQDOBO9DQ8XIXW0zrSF15wCAJgwO6QPaq/CzkC4EHf7ao7FapTWnJ5a
MvrmdYL1kVJsqIoS1VyB3ewV7A/jHSajwbxmvIsHCFDabrTU0H13Ra52t1PbMnUBDQBnMJjmmfe4
wueCi0FZluy1hQGq4nAceFHmkly2ld2zf1jjJWvmNUj5nCvP+cB1pQBSRMpEvJGhYd5nKqTojY07
C6ECXsXCMnASUybtRn3qk/dBd8ZNiGJfrMMQl/F6QXTuonQMD0rgZC9xUFi+y7mooKyf5FrJQLzJ
nMGni7iOZRQ+XVpH80WacNfmOSd8UUwMUM06NLbmFL1bg2Ks8sJ5J7nKWHV5CFKy4mOVkuCUlH2z
HSECH6Owao/OEpITxlwgBFdQNjUKDaTNfFZTu7Txc9IPVg2XJA0zuAx1isXOacA4xcFQPKvOQjOb
y/BQNUp2ZUwwIPE6uFunKt5Seza3mIxCjAHS2LJAQ9DeFkvxYidrw+yzq1QwwGR+T4IJmwVA9QOO
tZJ5p6O/Ra1S7uiQeSwkm8kcINGagbO9EpbyUqVBuLPmrPdIS2IV0TTv9hAE20qLcWPniaSqb0Lo
Kp3GJKzM2wO678TXlCg58zPTBpRWeUgHiU0oYY1lm2wx7GG6dt0Ayq1b5uu2j0wsIXlKvJSB16cH
Ql7MDT+mo3/OChjZYU3B0TSsjhjnLxbobOLEppDpSz3ZqplVX5PBSkxFOHTXNgOx1TypNfnBE/mo
cNYo4YU7rlv8VUz7x2o9qna/avOW6e5YpDsVuLeHkCTf/duGf2vDEQD+xbFZtv/zf0X4lr390VSM
T/3v2Yl6iiwJw+CUtJk78aHv6inV+YSyFbE7IjxOUPUH9RTgNA5VVBzfoWq/9eLah7CKYxVdrI1C
9h+Rdpm8/STMsJFhCTRTOp0/Z7hYPv6DuC6BWsT02E0u+nw9m/YqiLZG/fjDH+bqm8zjf4o+vypZ
iLb/+x/iPv/gu5C0Y1LxGyjhTf4GP36XOiBmz5zN5KIrkzjzS7Cz1DUN3UoAw2md6NhJSrLKTnbo
FOCLosTL5uAoiZO7IXngOoudrWZG8WkQgiw8VQFq5SD4yNRYeCKM9gOYhl5G51gySO7Vk5iH6xY8
Sz2XxxHTIZqwg0iIqcglm76ELR9jB46XoDenhTP7VWVZCuaeeXTSEaCRZf17jF5rxQljcWQFvetC
mgJeYCvuahopjw+DMufbYBhxKyp0WYmrsXXqZ26NtCvID9KMh0B37a2dmfqTlivtSmEms41FGlnr
qK+rDE9UnT6WpUo+rJOKaRe6VQAkTS9wn0ndubCmdiK6qufYGi0niladXunOw6zVFsngWrZtlBmg
rVoOZOl6IBaEXTPzzrspWInRVC4dKFFnvj4gdrgC6RIwXC4FN+lZPkEciCsWoRxMh3hHekB66CFI
Old8v1Z/MqfQbo/aVFINE+PNKr4xx6tIRXtZh5N7dBvLPhBCHX4Rlmo8ShsTtJPBYTa6grYJnAaK
CbJPSbBwuJEtFiWte1+Wjr6yUJ2tlV4YvlaNGNqIkGCWH057qZns0foeoQF/8xMr2fa5JThxnCQQ
fMQsK7eO9wpp0GuUikxPMznckCgOXmgCTgHZ9waqproimCz2nQlFRVnl0E5Tw5eliiIwfnRyk931
nEvfqpm5NB1j1xZpISq8MT5Ycx+tbSLgtl2XqV7BNvyC/TMNxVS3W0uXO8BtZF+PWnsdYqXmhsnP
cZGdZdMWG+Y710Zp7p2oTwhPyXa8Makf6uKqdYdbaGvyPpSj804MO9Cr1LeG0Xov4943CT5Ig1q9
E0q/oePdwIdI1y4rrtQhmmLEhNla1de27d6KuHmbkumBIa3f6PLggi2Cyki41Lw1RnGeHOnTYe0Q
Xp5mtnFhI1+E2RPJqGyyQeX+IYmkn14LWMxh+RqIXvUHK9O5xUN+CFN+Ma34JZstY82usz2QxreA
reaTlmuw/rWzVfXYy9MvFf98bafTIzn2OpDWJtScXS9metV2DfVKo52rV3qAo1RtC7FPMMb76kS4
m21f8TvemD2xUmM8h2QvQi0zpIjP9KoptFftusuK9jzU3THURh7mTt1mNaINhik8Zfl0dHmJRGmj
z2/80XFOTqWfjLF8BNHvpbQqvRZeF3V1AntLDop7ynt5HbkkP2qklwTMJMJwXKGSUldJhJ+lb8rS
CxtxkSrpE0bcJxCLh7hNj2XmHJJevZ4H1c80MuCz7EwH7dVZPR1n26YWo0hwmKfUqb3rXdPHFhGv
iCWAYTUgXMLSWs9Fceickq43sFcKgBR/CrPCN0c93dZutQ1agr3nSak3f33y/kHOGSYqgWbaFGgT
YPL8cr5Hk8oEyMoYV9aptpaZO61tOaWM8mR26nLc+LYMNmEZ5VRN85ta1e11XafizpkdBHXjeNM3
yUmM4LNd+1GM3baOrPciTfB1V+TLh0kgULKITTkv1twg9srAbL2BghQyOXBi2+l2sixfGnvuPVAt
DxqDkzU51zqKGgI3MlIhaq8d92qVkjYZFFg8m61myKtMQ/qW21+nLL/t7eTQM4ed2+yAe/dkVyV5
N5q77Yap9Nsp3mlg1bxW4hMKFDIFjGQbMnv2W9HeGBMY8yqyDiJyea9R0J6CjuV90oz3SSwNJrB9
zbOgXRoxdtHaskhbi9OzrJD9tck+HcytidOSqJWapj9lTOc0NLwOHLEO62NYnZgWwhYvtMs4G45Z
n+Me0JoVP+XMvdYycmguSfe4IdSaSMlCZr5VKLGnVxR7TXOFpEX6OftY6r/k3pgWAOUYP7sCl7rk
YRp5QB0CTdO0/prWYqtWyCYN9Qs7Yj/XLc9yjd3AOaS35dfStU+iFpK4NOVroFrzqgKfZ/XABdIs
V/eQzTnLulNsW581kW2EoL93iMKcck31knZKQVSHl/psqn4Rkb1mVKhrNFzeDyXClSN7oYZR/JDv
//pRXRSgPypEKUTge7MIJCFLhx72S4mQzM0AkjqPLwLQhXpyYPT+Nz6CnxeAfEndpk0k7M9kzo2w
9ZcFoG4R6+e4YXiRAQhVrEvmOru4umnA2yOv8GKrBne5/uvfigb0p9/r9991+b1/KLD6Ku0qQ1eU
s5iKWxIJCR/m/+FW/Ex3h32fJR8yI/PRCvS97At0qiNbiKwYSk+gX/DAuX4uFfsUd4bwUEwQSzSo
L04EOg8D0b3l5AOCl+loZ8YXK0jHg5oRBcbTVJTrfraLtVMpta9W0vFQ3kz7frT1l7JIug2iOH0d
x/FrxrO6roUV+ZzAE6sRHPe01Le9kc0EtzLeC6W2z0P9KkI6S7LSjkvprm2ajQW/f6WZyU4XkbJO
oOivsqEgjWvuhVfnFpmgA3gCOx5vtKggJ5B8HHgUFtLb6chD/1636OnaKt43hrIj5vdunJNH+EMH
sysJwE0p1uJARzHbofi1enOfzgmxPrVfTIHm6xlzfz1IOWXFo1wGrHGSn51o3BbNsJbBzBMMX6gL
SeKity4TULPVnDh+kwXnqna80LR3aklyghOOt2jxKeAq5a7vEAfreie82e62ColJ6ErKZyusz43I
r2ssAk2HeblVD9jMMb+Z+s4mLNavVPW+mKLdGLAokE1/UVnckUll7unr3nCF916A5bw2jW1YGSd7
yLy/edz+7hlfCvEfnrbBoMTQEF2ek1NxhfB5Ux/rh2E7782ddXK4erxXbVgROnsunoa/C35Zpiy/
vcLfH3V22Kz/tcX8/PM3xyPgFCkynHPlA649aV61waylHpVHeyPW4v5S8U6Pck22m3zm/2QX00ms
DvEmuNBR5vzNT/NzY/Pth9FZgmKPtmijfvVhT2JgKAtf9yISV5WerWLx2Mhvre+fsgd/PrN+/z0W
1fsPf224cL0SRVnE5foWNjt3uv7rf84//B0wIyKOYI7GiOvnr49mfoY4Ay6iVK5q0CGNSc357YT6
1/W0GI7+vH0/P+Op+IMlOp/0vXH/6xjIj6gHC3clJkvBZ31fojufgKOTBAH03F366h+W6PanxQ8F
SAS8uGHQDP+ToSdErJ9eN5boSGaYyuKUX34KvuDPTweMKmilipgvgZE+1Dpb3oyrZVVUNef9nG+c
2gL3UO7NSeFScR/ykgNS9CO7Dde6SxzjrJfdnqi1dS2doPVtOyfeO6Yavs9Kl1wKTVyHSoHzlvWP
6xdZorxoZCozg1SX2Cj7I0LK/EiTWnKl2iVhKl+ypsSSOlX21u2w5FA5crqE4MrkaomoitCr1YRW
TYRXlYRYIX/tV2LJtRINW1WCrqLYOQALBN3XvjYzLoIlEStM4N8k2hXLkAdNtmRmdewTAmK0ZNWk
bEuL92lJ2IqI2gIrSxDdkr5lauNlRxwXMlZozx8JXUR11UtmVydoOVyivEIBkYP9tbohCM4mRUEh
BGxAkeqRLH5Ue/tSJyasJy5shh6H08wms44kMVWTx0ZWj9ESMWbY8Kky/Tot23Vn5g9pTEhCQyxZ
1wyAGskpU4NFSlm+a0iIJVRxt1/28Hp+Qjq5V/PpISXyTCnlu2hYxAtlsj1N14m8A7e3UpS0W+lZ
uqtbpfL0yPIUwhb9QONGMTl2LzVmu0wCiduTHcCjqBy8zm0Srjya5Jx57tpJ09krRkhPuOheoyk8
FPBmtl2QoFUHtlQ4Gnsafdf3zWWQEZGrUwvgxmhqrJaW1edbIErIKMws3+sAcNrWPINUZK1bQmiM
Crkx4JakyFbTbFRWRs+6uxifQwv8MF9zicykeYKSPiBCxEGnPIsmTLxGAgpXU5qB1n0DlemcGZNB
GhNtv9H6yDplg76rkqK5hSNpXGhdTjy5FjINsN3En5t+h8B49lorM1i+gRNGo7CltkaZzfN/0TM4
shVjr9TtAwO1nei1h0Eimw+jVvhdq6ncPVpyYtjPUpu4jnVkgp4kgBR+ygikWceAtJ3AY1xUo65d
x9qylU/l1jUq6pXwkKctDM1ae+YaMmETT/ElZuzBc4k8mZwcmTHQJubcmWcOxcsEyUmT8ecyVMiD
6dJ1GPHvmWRThlIS0NCYb3841P5g9PbLDWIK9iGE0XJ3oKNbYMI/nxGVPso0U1z1MsvvU+MrYvu/
Ldz/4FvgMEfZh+1MFTSbP3+LqQrHltgl4zJtX/r0aqruCvf08Vv8e0ctasc/v6OW6I4V7tzn5usf
QhOXz/5+WZG3ruoqPukFavIRv/bblJl7B/eZZQj4bsituEe+X1YmH6Et4qLiH9CiZPttyqx/Yhq8
6DKhYnyINv/JZcWd+MtlxRO4XHt0YEi+8PH8Uiq5DCOJ1NGjCyUl09CULKqcedL3lgRMIBsdfUhX
dw2B5ZNioyNPZ3OBttdtcj8labJ2YcuLi4Khqs9UJ2QSxE5ZXuOtKafnXjXUZdKF8bXHjZXJRGNG
CWGSHTxtX8BE1lbreU+2SRO2265SsujW6ZBhNCYH4KpQbIFMK5yTu7zM5D1ZDYnmZUxkUV1CCFl0
7tGmYmA7l13WIqmMoZxhD34oVOBSqynp5EOVuw7oV7OaJ88oZqQKSkvkZcrm/0pPZYVYuk6+IEIn
ONSF3Uf2UhZcYqUMnVXmJPF5btG9e3kwY9FyYivw3FIjR0TkXq4n/Vkodn5hW4W8yfHesiVPNcPD
CSx3vYKUvM9q50nDZzkTLumWM6it3mLN6MQmQbHQnm4UfCCzN3d5vENkML/mmrIk1hpTW3iTqM1G
2zC+SgCdG3qflntH6t3WbPgHaf14VOSXLm5UleQqVldGApmwWCffMq3mbwlXLF/ZfGJtcfifTVUT
bm3RzUCzJB5pt2ivXRzaaMewmq+y1ojucmzVrt5Ww1X5YbYulFCyxmwFGoXww5DNdY4521l82mnW
anej22do8q1lIj4UIs524mNYTuoQg/Maqut4yG1Yim/W4IRv7jJ/B/YbYPiLGMzHy4y+Xab1udLY
PgFX7edIV6vmssYE6Flz923m8O/JtdS1f35y3cTyrWnjr2+/r7CXT/zh0CIqnQLWQZMNCOWHzRhL
MzjdwLpddnGu4N76fmaBgMWzjNQAVDhKVaSo/xWM65/ARDDaYd+AtnRhwP4DVcEHMue3dpbhIHCo
ZQMHX8Ci1PqV3BRpBd19r2tn7GB1ZZ8UjFhYMVxDtKTvuEaSXrq9pqd+ZAUYheKhnzfqNOFAnDrI
1fAYs8u+rBU0dqOyN81CP/epgphba4tjjvL1dtJRNvWkZZ+wf5evJFwOBy0f0ltDHZqjUSZu4XWj
/RZosbErDSfYMBtd5inAYZ8iwXHG/h1BXDMQZu1m21RTB3/OCpb50lLfFT2eb7TWintIe2gliwkX
J7lPcLqt2h+1RFuxxsY0GtnpVZ73wZ3GC33TfxyPIjFTzsrs4+Ccq4hDtPl2ohJBF3K+Gr2QnLby
29k7fRzENETyumlUZxArgOQG6RHLsW1ZcARyM66TeyVZDvZaphzyMATqBhfYcvibyz2Q9r2+N5a7
YUa67DO6Xy1oPKer6GgKE2eRbFzzKCu9eWaEb7E9j9BwIflvWVHUkrntFBe6TsHG2HaKML/75Wzc
zCquop0mGWmWdvLaJVl0qBi44X2Ds7t36iWdk7mQupkas8B7EvFgDuec0KRC+VaR/XsiLKy2Pz8R
Lp6r598fBsvnfD8MaLeXPSHLcPBVZDZSR37fk/Mh6FmUMEKlhtGWMuX7aeB8orDRdCIhXfYbH/Kj
78kBzie2zS4f0aGT8Dr/o9NAX46cH6ZbS7u9YJSMJaDAZR24hOn+OOxp6jY3TIZrl1XVMhDUOnyi
Lgqaypzu1aTeBgurfcAlGVT9i+iDp9ga6bdH49iaQYYRV7l3Ze0LczqbM1BDE8QrloxuJcL40kK9
OwXOlchCzFRqr5FHJbbp6J4H3TyVebl1QnfXJ9plIuAUOMiVvCbEv9VZw61lkgpIO/ymWAUKHBc6
mzTCs70wDhS0LSunNteTtkhPFZikEACEOdhepTkPdqVftVp2aRKEgAC0kIAvZYawcNoGI1q/yXSv
syS8DYfUK9gx+ZMJiTnMSgEL3ngbyjA5z3NfPRcd32cy5XZWmtDTUdbD0t/lSio26JwaH+9JtCaV
S3RQX6tDT7jqWquGYtVrvKRpVGMhM8nJzV5C5v+LU2dVyXbb1w1kx5JtzoivZWMLFrqkUDVFsR7D
zvXqNvIbI1P3rKmPusAhhzYA2+DksjARFQZ31Ospqz13sG5rNbZoyprOU1B40u41Bqe0tS8GdMjl
jBnQbM1sj9LtwqIj1YuCGJ0ueGpD5y4Bf0BOvb4zpuCNpotod2ME42vlfmsm6DdLRNOKwTEdBS1k
+lzcTY6LU3k093mBLtwIqxuSDnawoW0vMkH9hhR8Xhm3AcwkCaNALHHiiYvrHEXuHMXTug4QXIEi
eG3UAoxprULGV2btxq1VBxpqSrOKZhM3ReQrxD5s5CDcFBeFlp9TJKF7q1fMXejgxBwUJ91XjumP
toHpAbHKCstisu0wH9e7pg3L4NZBZn9QrehrqJTV2oENcODcjz2EQ/umDu9agZ4NT+rOUKrOyztr
3Ua9uZaEmjmyKI+F05wJ03wvx6JZGfNAJIb8XLWTjaYrfui1GnOF7uqeDKrPkhSytd3Op74YT3ku
FhN+ghDbwQlRhmz1zHNBDNgUKA/doAoPDMOOop6fOjQubRIbeg5rMybJAkp3uSKzYZvY2imzwHII
t3uaq+BSivTeHQlYy81gH2q1uZUIcKmF63jdkBK/iaOCHVt6jkL8VlkYrYl4PReZu+uW7OLBVr7G
QXyPeJsQaSWMkO6Kr3pcPcjU8Yndm1YNXKJn2Zi4ipUv0lic8J1z1sdawkW10msrNZ6QcB1b1f5q
z+1xMquLWTWOYTwTpFSal2NZaueiybeZqPHz29ZRH6FMNMxkFC26kaEAzRBPT5p9lyprY3KOVRxv
XMn0PIgIDCvYVsTSRu+QZtdg5BVPK5svldLdJKg7PDAMV9H/s3cmy21jbbZ9lYqaw4EDHHQRVXfA
vhNJUb0nCMmS0fc9nr4W5LTTdtpZN2/cYc7+/DNFihSA8zV7r22AKTf1eqF3GDhw/iuKuRknpjyd
D3DpEh5qibAl9p0r0tu2VhudAhK3G8lfXYMW2wIzWUfJ+NEx8f/WeNpNe0O3wJJKCYlNaotD041b
Jw9eAImz0BSCKUznEI0S3tSx8eKUUIGbHnVhWlj3noJvQSQuNzHG15nu1ySJ8CycOWPcr6sUT8QX
Aue/J+60a/z9iTtNuPOs+tWpy899PXXxbOqqpU31NN5N8nW+O3XVD7pjkAI/Hbnv1fnXQ9f6gIlS
CAsblzaFJ3NUfj10LTS/OgNxVF5SWpO97B+U4HBzfz50GWiwuKVJ0FHKMV/68dANS6LFrVHzT4k6
SvfK5xD72AvVt7cGZ4BH39gZu7EpzI+mLztWMEpaRLOuh/gLPr26d3yZ3ThOYIxAl5suW+mpVT9U
eiPwXGDcWpo+55kMlPteY3QJjUTOY02L5lpvYvFO140nTk1r3nK7P3fe+Kz5rmROdzErO1kSlLvW
4iRg/GoxEI7MZd+6i0Ypd+wSGWVUU4pe2VawGYbnqChZfnbgGJGmVCwPOccHRBZzWE6rOAWToKSW
DQvG2UqPQUjbuZs8MS/QxS9JYIpFpKOFcPvjSJTZwmmZaqfFTa5rH3071GcZGQerNAWAgdR4XNsB
oe8ot9BDSIOngXVo7epRS6JVREz9AdjCvvEjLDauZi9kxSNEloAr6MjteT5Gl7bI7wo55ld6yVE5
phgcsM33uBmgN3SyZXQSwwGpdeRbPSSOQ4rIdbTyR6gS7bwSar5o1PJtrMoBjHQfg/RpNnEVrvHq
bwTOlNyyQswfzpxkzH6G8XCF7B/HfMh3AMoMngW5EJsg5X/Jtgeu7WT3qR+9YkG4JvN9YefxJxH5
t2bGY7euQ3lwecyT7HAd5JjqWsPy524yZXWSXuxNPtUslhffNG9lmeBOM6xXM0v3zKAu+WAjLFJt
lEypBSq9zcJZ5vX7lHiPWu3amczSdRxAXtBkA2RFtLOmSO9Ds0LHAe9whUtlaeb1TWqY0IQ6dgi+
aq9kYbXHZjLAWUNl08rIbR2ZyT0CtH5RRs31SJc2M5iJpXDup9oML9/Q3JVD+OK2HRtbv2ymNJ6V
VdoPlMePluvNNdYZcQKYtJ9+DbW9KANhzu54ioFPYPwDygG8YciOQHoOsROdx8GkFMVzlUajWJV9
gHELaxDIt2EP04oFrREeMo302ikKyFfsB4WgzFlNtt9chL07V8pgFXXR0ciTk+7QlzrmmfMb6HZb
IjOx5ErRi4+SRAzf0MAdkXhqZgQhtOZpCDpCPkwWGw4io7Zg9eRWt3ZovZhKf1WazRuc+tuqtrYQ
RA9hG4mt6ltYkmOnImWKvwN65ddYkPyhjYi17T5uFnlqnvjw5Cp0/mNRGkTwqslJc8WZxfqqcKIX
eF9zG9wH9JEIdoKenOsms7GzsLRK6vTBN1mmMnTXZoqaxnslbvK54RMo5aqmObeS5Bn1d7QE1XUt
KvcxVrJhjgkCNT9CG8ceD3FaXzWC7IJGPnVm8kzxDbGfN+206zAPFrHrbP28PlWxupY6PJ08hibk
xlcNm8FZKm04MVG6kNoUrS4EhbO/c5hT7YMpnqp6T6rqW0KriEFsZ8kUZOU4BZo+sq2aKeTKe8+7
KqboqyJWa3JE+O29KRgLBJp27snKYnMsjj431py/uXFKp0gtYwrXMqeYrXEK3GKcF+/DKYSr5itY
dlMwl5giuvL3tC7vPbmrnUK86vc8LzQcMS4CQr6UkLiv99Pp32NaY+D+N8c0kqxPv+iM+aHvzuiJ
bkmANnl18Pj4V986Y/EBbTnCck2yX3qnJ/xxSOO+YS2DjspA9DdJn76d0e++HGb6LKkJ5dGmFfU/
OKMl87sf+2IpqQ5MRwiN1/qi/f5OBFFkBWYvP/TPRROSEUpQKh4XwzoJzBM8ULx3AwxkgskN0+R4
FJAiTzaZAQlNuSL+GftM926l6exqg2FEd58RX4bqsuvSWNnzocEqCLJpIGsibfHOMkqpULGo+rBl
6JV7VCajAR5lHleOO1k2Ugt6SzuYWEe5qxzyUMqhsUZ0XgGpwBauymIWhwaMsx5R86bwSiecpwkQ
I7Po4vLkYfzEeAGZ0FrSP4GximwTa2/dKG8Gi7t/Z0JfnGfa3+63rrJfRoF9v9VidUXeFuxfDdnE
++X99cqncDXZc6mAJfGRvVvCvpan9gewORpVLd6KPxwXf5anzJFQ+YExIGpS/WfeCZrTn6994uiZ
XON4RBoARH76999d+9XIjryB3nf09HQ8FFjocthWNtichdJ7LRqA0W3QWypsbOKFXbtWdjWoCf19
E4Tv2T1qfGVPGEySWjzew5tXLOslSSwNeYJLD3E6CVhjZ8Q9vSWZNg9dg/96MaoeFCDWWoqTbytZ
inzmtIbZXze0wRx7SuatLKNU5k2fPqASQGuK4byeCsyqamsGsChE8UsnxBEo1cpt1NsQQFWZmpgS
ErTrg3phl42fWoANytwch3+yTwv3ILr+fkCxhxOC4gou17rJtxQkTH+8HJ6bGQbzyGK9BQ0Pm7ON
ZKBxR1Sv/fiQWM4ZjF6DuV6fgciKZrCIpvmtlbOXtncl1DJtyhkMmvaxJkBqJrx4nwQq0cTZcK6y
dFh1ZovgtXGQ0rVFPdetsV9ENUEt6CvH5WCUxDCp2hLF+7BAtw0pwm5fFdnvsQwj4yAKjBWbeO37
PMMpUa3wgmwCA4xTIuJDaGv5PCjLe2whTAqK7kDWdDNvA8IDx0y/USjGCqvRVm7kzpMJ/OeWbr4F
U09ws8yOoZZdsJ3NXQu8F9IXHw7frKVUgtW5HJr4RYJHnJU+JFGdcLU4guIiUefk3k66ybLMwcbh
eSAos+5DKuwsWtmDBTxBr68ShfItiic1Nu4E4XkPDeU+QQwOtt1BDxaK6Z15nKHYdeq5KOpd2wDN
LNTywcvI9RojY8924qb2+qXJjhRXAWzgNLx4aXsIDH0RWUEzM5nVYBGH/ZSjfCAJ2vXnau+cCXiE
v1job1ksqo2g8ZwbaXY0RFqvfZ3iUo/uWCXfJwAus7w4KX5OHpCDr03GPFvtOGTxl9x3FiNEfDeN
qj+peZMtLIqPtotv+shg1zmlEU+hUb6NmHuoQuAHqubvUZqLhe6M+Bq77iHlPCTzuX7o3e5eyOpW
VshQ8FGuU985hZUB4JLMMqPG5U1UEcCKbt5YUc4Ilvm/jYlar5sbN0SIlLHGxITjbb1KepuiLi6N
OT4RefWxMOhu+gBooxMGxTJspZhLtblrAzbFIsI+k5n+TlGyHduqZ2ZVjMa8QmP+Im4QIK+CUt7m
lboGz3fu1KCDWa/fsJ63F7avIprplaPny6vAypU5YOlVH8QE4FnpOhXDc+KN/SYavE3TAi9TfNth
lEO9SABrtqrr9ClMabKGydIT96O9d9QBtoYgNUcdy0NgRqukw+DuaohiMJiZM1PpVnE1nISQBFz5
WOrL4kgHdkeYk79DKQVdTvRvUeBcQok11NTZAou4hx0xDp+7loapbTEsuB47Z2xk9IjV5MiwUCm7
cXOD8JhLB5PZLBJQ2LI8gM01ZMZcZv4m8vpn06/TZW1OY1vToQouroQi3yJiyNAEMeRkAsUFBTgB
wePnEpCClwWbYcye0nfCAqgFa2Iu5MAX1BIKg80+ekEEwEX2mtx6mFJn40RtEFp4JXBuDOAcBrAO
mN5Ic3L3SRxu/bq4cf3icz1xIKCYHAbAEKaS3+YTKUIfqKCJBjfxNfHcKyeiBE7RpTUxJkJgE+lE
nbA61m0xkh9jIlJ0E5siaLt7Z6JVNBm+1nYiWKRB9NRPTIuemTVLLXVyeTKD7jX8PIP/oHVv3UTE
sCY2RjrIvW8mT/3ANyocoqq6WsNPk93DMpwYfAjeJNEKHvP7IbJIgtLJw6qyT44mP46l+rkVXAw0
Rbd5yR8MCbC+MOIaZreXFqsisc6gTJee7goYCZ2Cta09Gkp04aNi4/FPYyJJOZCTGrpVtNkI78Vi
J7vwbXXbZBFZdK7db2Vn3Gi5++hbWCjKOHhLOuiOruzoH8kW2FRRe0ci/TgnXmdkAFO2DL//bRDe
jaYaXoffNwjHt/b59VdTPH7qa4cwpW5Tx+N+x0AwWUl/6BA0LJ6ED7EPp0xhVve1TnI+GAzoqN0p
3CelKsO3r3WSw+sZlPXQoCZfqvFPOgQwaz+XSdakPDII/sbxb/Jb/Fgm4ejIdcMNhlOQnvXBYgXk
DjwRa+euH5GjqwMOFUdLD/YYX+xBvgx5rMCkHQViQcza0ENo5WtnV0XOCZlRRryv+YJ9/SpunPtx
opN26ecGFnWhAEMOHOspzpMctq+pzbk6YXMnB2LMOlYPrQOHWT92aoHtEHX+rDCje5Mk7JWemaz1
SKXT2MrNMs14jGLG1cP4go8+/YJKLpq7KKjPpSOPgQ1vX3XsmyTqMTX23tFt613WtTkczmov7BAK
L6rIpM/4zOMixPaIvmfb2P7KMeFVhUa6Sn3lockDFDvGDLfvMcZSNEqsi8yh3CUhx4Rtdc2CE2hV
2DHZjYzK2Ldj8glOVSRMrPbFcDPCgwxaFw1lXsHc7BkqhXrAAk7SfqUK4inFeEpG/F9m51pwdNR4
Z2WBsyg6UVGoupOBP1zYXbuISW9fOAMbxs4ZZ7rg0U604nIsjXseu8hLPQ62G8dqWL7h4c+o7nqz
qsY70XVjOGdkV+DvK2oV6AKiqPLYD144YRC8GDFAhlW+gF5rm+0yqmCmT7TVrjWXDbmTs9Dz1r0q
27k1KbZcQ9xJiwaP1NK3PDSuYrVyZuRQfRwlW1ez4sLx3eauTtOPAbGNrkGAawxLW1bboWlw/cKW
MsN0g4xZWfpRblCEtVfOpC2KBn1PAPnDIM1dkgO8TIzhuRBGcScT4hYTyaaunXV5t6W5XPdh6FIi
upSsgbshxAmjYKHvhyYSM0chrXBQBhrQxL5X2tKmg1RWnaOt1aCl2OaItt1uOzrQRdUsN4kLh2ja
KpgSi3wdIL2YqdZ4TjV3pTdE3ymw08uyuR/j+CE2tM+ZznfGouZRtTPssNEdKYpPXlKee59Hc1/b
lHDjY1VC1lQ5a90+tObAuZZpX++SBjcwmL/HlpzQVBTP9RAsobLtKWkWIsifzKCrF66ODSVSUzri
Mr5l7XPnA5yf5Y2s+NWiPUG+y3ykwaitp4Ih1Axd2VWZW5fRl2tVhy8EzXutDuTLNs1Hw/YuiMRX
lkhPZNed+hyRSmGOGrU1hX9hpocxao+a7q2i9DWicGtaPHRV566zANWIE8sJsTycA+S0toq50MFr
yntXjyMetjkJ9c+JC+7GUKN6rlZwpmIPFUo73KLeymZ9FlszvbRu2Q7AaVWfRtu/ip3+WteUNStW
MEaF8+om6ga5HpeRVeC6SrgA3Sm6s18StPFmhDLnhhK3XMaPVs1AQbjZsQ7If3T0V2ccymWooFlz
u4hoQiHnlEVYgt3UmMWm78xsJOeo1vv4PETOJWLmO0OmgnWwxY2UDII5vem89G79HMXF2RUlvYxl
uIuqU+kqhsJhPWnsc9Dk51G310i9fTLr2yK8yVPxyR10YBHReDdm2UEfvReRih2quGGDpkhZ1pFG
VoEHbDz3K9JOGTUy7X3LcmtcNsxDmTznzETrggUdfLOZ6Vg4IQ1QxK4sD6Ow9rUmdkEjtr5fX0oP
9bnaodMc5bFvlH2W8CmDqFjkta/OjFGRWFnBHPsJSHhLLv498t+PfMlZ+/sjH+Fv/fwf87IZ/zoY
nH7y27EvPhhoKdnRmQ7z/wmw83U8MplXmJnb6FQQxL3rYr4e+9YHlDTs1b6OBikWvh775geMUgYF
PKQAKdR/Nh5hSvPzuW+DDJpcKOzvrOlX+fHcd3Dimp5t5ycSbTK0cWa5KAE+A8pPHwLUZEst5E6p
NAwccWQRn23U28IQn9uMFikjAWfXxdgDEj8C2Kg2G490U4Pvg3yCjI1X2oSrBqJZaIUvnVtyNLZQ
moEM8yir23RpJQaWt3xwzn6R3BklPVrR6aR+R+NhiIY7z6sxWQYPbqjfJuQAnizhKvOsF6zoAstb
qr0IdknsP7gStUpEILlNxzLrG+1NKCU+fU3pbtPC2ZimtQ/zflipoMqVqr8UomO3T5ggUQ3HFjkE
uJm1ARd73hroHazJzWDQZAzZVWUwl/RqfR2pDhsrr/oE+Hhk/+S1S4tHzVwP3DXH/I10hpXfSwMB
IliKsgy2bWx9FJMfpeu7Y+uB87bHKVyZUr7pkw3xtmLRR40PUyxaOMZ4cT0Shg1F8NU0QbuPA1rg
xPCO7O53js1NHcZInGvlNQxj8r6LwmLREKy7kVVQ4VpkV7cRSQU+A95mJAQ7RtnssRLQMVTgAOKI
qPVLyNGQVa9EeX62eDlAtDAoCw5ZX1TPfpPKeUVy5ExaNRkUPMr0KZBeR8uH8hokfixZWQ7Vhv3N
heSI7Fwk4qrow36pFiJfBkZWLZB7aWskgrdynFjiLWhExbgDSuvsijbcMH6CblG4UBapHxCyrOCP
7CEGnTs3W9TsZDCprjK0xEDNggdHVnKd9hq5sBOR3ImL1RhYpAgPj1qWrGTafpTdkG8Tvb20lTLO
xNi98c79stfjt9YqxInlJ9WdGM5hT5nnRv6Vgyj70Orliyix/HMgaFsYeuZHX0msJSMkB0UWwbVL
dSRhznDxCrWELLQKezMvq677KtPoD4epzNJzNKSGab/aud3hONWpKKxVmfebSdg8GHj4dbd8ciRw
eTmkGwnleIkwiiMckUVHY90YfMW2566VxB/v9By8GwExHf5z6waXzL4Ww1vsF9FCRMaFFHlvb47t
ckw4p4mQEA5hEpFJoC61z2s45s62zqzXfuJiAnSvFga93iIT1XUNF50b8cplmbqwyi4HUc64DV0K
iii5JI99OivtZib6gZ8gE32Wdt6wCoX7Oc7dc8yUfiGTWj0RXIVqpZF4nEbyYrRUXY6qWWygZS4U
0S4Y7Oy6UEOY7mpPYT5Og6u6PjBMU6/0rjTeVNWNbjMVl07c2oPCMMNH8vLv6fSlIeVI+P3pdCqf
4R799WSaus6vJxORccwZNF4N66pAr/3nyQT0iBbF0Og9bcOQ5ndiTh0cErRiHCzY898pw99OJv0D
hxyHicnLToKUf8QCF5NT5oelFaJQRCWQ0FCqSIjG01Lru8F9YWLJ6kB5X4FSBRE5xpHDJslx90pf
qPvUquCUKerQfJShvwvc4YlYhXGeIx7WJxUxqpPOYj8fkzJU6GrIMr0AuBUGCKIY9Wf3qD4QI4t3
YXI6aZRhpfGI6yblsoSS8VY3qlsS9Yao2QDZhTMvW6RU7ysSncJiicuE51FcSoCjZeiYO6bADjI3
BnLvKKIoyMEShROhqIdWpuBf51hjCmYEbosJkhLXBp9vTrNWRUdUGE/co2oAYuaDQoobccpBI1WG
inyzuxb6ePBBJ5F5eZBZvBUglfrAHeeGWXIsC3hLWdU2Cw3XxiEnKEPNlXNIRXrJXXtfT7wmDvp0
7jkV1Mgqg/ujdNFyMMHwlXDiAO80p76uTkpELkHnATkbJL1tlnVLn70HfhCzxgkX6EP5OdLrmyBW
b1ALJ8a8jev0rBTReKVL5ppFvvJy03+EdTy3avhRlZuQ5Y3mQM98IiWwFGo5Z7eW2TOWBPSyenKj
mEa3ym16F6sYtUWJ4I4BKqSo2JxB++tn7miZC02k/qn1kN0EOTIaneVA3SvZxew4cxF2sJkpZ7rT
EB6hIdINlCsQtyuE9sFsaHJ5VzkAhujKONZje4WSNwAZmMxBQpUo7q38yXAbFLtCQQU7S9EAzasB
tPp3t+L5r6ytH0suqrqJcc+gHeUp4yAU0z9e2CAYOjVyKrIvVD9fwaLXnoE22PMOvcEf2eD/buwl
Q7LfP/9usvj5V4vL6ae+Pv80KnOApsT4kuJlvKMvv6vMpWoCWCcP+g/K+tfK3P4w/aeTP45iGX7V
d9YW+wMDOuauPMo0dOjyH0VmCptX+uH5N4nZJ3MfC3sDoe+72P2755+0k7CUjTacbHiWZysckksg
cusRjZS2G7oIHIxgGm/XrXpF7ePOWrIkqZba8d5yuvrGV7N4PY4i2JtggZeWUpfLlN06KyL1GE9a
0lYX7sEwSK3TgaHToOMBWjQofKE2UbootrPrtRHAeO2jayFc81MAeHodpshUWXCxJcur/mPi+94u
K3xgQqB2FtQBE87azudDOdw7WjFnPvg8uIm1a0xhr2r0gPuUlRhsx65nPOK4KHvVU6Q3GTV9FCG2
Qx/oB8aGirMmEggr84w4hZqgtDB8y2nO5XWdJotiHL3PlLRPfu+5y9EF7RjluxCV+JStRULc6GCx
RgF59oT3qEYDLbNermSeXhtZoS4Ruivr2vTG3eg1+o5pk7WM9XgvcCJvYbk4C2Apch3FqVy2TBw3
pmhtQp+8aFck7AjdrL0eS7aHeVwRD6UY40wxjGUIN5tNsXMMdQZK7cC3o8CguAScLKh7hThVFYK+
werybeFXu0YLP+Jd6mcJj9EZfWG4FMjvfTDn9bRA9ZdKhzo/nnT6LoL9UIIJnRT8PVL+5F3TP6n7
20nn3yP4VyKU/wSlZ/QN1HgINOagoG5M3bpOLJa6Ud+vNQwEWtjVzoFFJE9D7AVI188ZdgPVqxhP
YUDIMSLw5IVahjXBnTwKYPbwVE6+BZzlrA7TZF9haTAmb0OFyaGlCaRVbKNpVgWPNFFPFpaIFGtE
i0UixCqRY5nwJ+/EOLkoTNc8D264GrFXJGNAOBmGC0dOm6LJggESj5iBO6qQeDFi0jBdfIUjto1E
K1/0ycfhYOhgMLpmGnWHqgw2jJuzC5/cH6zlkSkXEc0ILn2z+STtsZxTuZT+ys36gwPInLsiCaKD
wOPEbmiIs13uEKJhibI/eIS9bf8tRt+LUf3vH8Z4pFcUpJ+C6lP215p0+uFvz2SNwYegHsXKQ5rM
5CL69kzWP+AsYt0xVZiQqKhkvz6T0TqD2ZRIpb791NdpCR5FNFTEo4n/BzHJzxUpNA9WNER1GNOL
ckL8eHAboIzs0C3H01g/FLZLg/2HF/W3tJrpFf70MzLY4VWhwFn4pRwc2BwhP9S8WCLMvM91HhHw
GUp1Bc5hVhmv7T+k4vzlfX6a+mQKELkyMMTJmORZ5aGzXr87bn9R47B++vtP8tM+yRNFChuCT6L1
cDLlneV8xqUxdxQMmS3Ad0BZ7VPebJrgXCNSEcEb9m3PO2sZz3a8TAwqir1peJhcUkYziGZuOjr/
Hmny3/+mP+nX//qdc2F932fogeLWtKN8F/oSY/esyB8aGHUQoE+dSxAPKspg+Gyxdy34n7YZzP/+
F8Dk9tevSghmcCp/fsz3P9WDUKkEZ7g1nJilIGcWThkfIgx19XzIZZHPHfxkzTa0Ed/0FeLz7iLi
zsRbDQe+VZVxXrLRmWl5o7aEY6i7zqkBPscJUnJ917lqhVZFCcVdryfhWo8clBcuWucUqkxpltu8
GWZaW6xEPSzYQqz98dSaUGI8HqRMNVBbrEvUJYl2dscQGdJjxe7NAy7m4aOpY3QB5qKlcCV9cQvn
gtUQAtQwB1N5i8qkWJg6D21MpMEgQLQ0bK6TZQeZo3isQoZJClOZLt2LWl6H4VUIXqNNtewuIXEx
10d9mTm3tTQXKGBnYYtbzwg8uZBBQRqGnRDeEMVPtCUcNpTwjgEjJ/LkF7bFb+9KffoL/HlbvmN8
vr/xf8b4dAHVet1X40ld6xt3Ox7qB31NvO2pmolDvSnm5RJxx3xY6fNduUtW2aJ/UrbRql6ra/Mq
WIVfYpV++wtNN8+fv89fL9mfNG0S9K2VTJdsFm1ht6TdgphS9o/ql+nJb9/nV1fm94+jnx54dpCM
se/zPgQJx7f9a+FBz54z8YF88Pc3wbtL5OeP9P1N8FO37/D5S90hPNnX5+E56nEj4Z6cdRUAg7l3
Yu3092/447P8y1fI9INVtI1wl733j3d9YiYMx6DqnTqMWun40irnv3+DXz0Av3+Dn747NZ24D56m
neBGTrmFnTJHNP6/fIr/7U1+eso6vWMSPcObOO1+LHa1eauZH//+c/zqSPr+c/z0eBw4q2nGDe3E
boFCHSmAeYFF7WAMe3+j/9+t6lXwqcyq7HP9X9Mrf8ryoSTvqf4/P/5j9eWfvbds8Vw///APy5Ts
0+G6eSuHy1tF+O1XZfX0X/7f/sv/eHt/ldshf/vv/3x+ZfOwCKq6DD7V2l8rHI0y5ve96jl+/vRW
/vqnvtVFKmIPJESmaRp/sBa+1UXIy22JcsREev5uof5WF+EbE5Bhpkh3YsamVdG3Wd2kv8V6DXxP
owFGzPCP1CPv4Q1/3r3vxmuWOjY+YC42jGA/3b3t0GGtxI9/qoEZEZgKMbsdLmS7ELfieKdEFOEn
xkEph4B+i+qKJYuuYGe1us+Kr640Exr/qDO39wgXwe9hE1XC1gjm8Evp4cPtYzYboDcv0ok9JB2Z
u+5a94rgMChjufVCZPqN2Y4PPpbXuRaj9NJyAklB5rJpyHf61BAk1iQhc9LVGGs3vNeiq0FClOir
UKkNMIbtJpwDQ7iqI/JVyQOckb/+Glb2lSzda1X2J9+rNpnFmp1V9rUG3GFFhBsiTdmeCVbNluik
zZmlAdBKYuL22HkjfJnrRcPwUYJp7XKxEb5Li1PDIEOlYrN6yfWlHrlrE9noLNMTBny5vCUOns7R
WTS6vmzQKM7w0AQkRQ3bUUC8qlOfEHR1vDecV/xTbOz6yda7s9r6EbpzMM9DWLJySmtpBk5rsyW4
x+iHt1bNtq2wyKpQCJdQ/XtP0GwBbJvHdozpCLExxldsvNapC6zjZET2svIe9MtL0wAwzaK1Eo0c
6Ra2brEF93utQcjAqmVebL4hl53cTMnInYnjYymdixmoL1E/Qu5WHRbuKmszx+ruEk0+hbZzZA5I
i96mcpU3opo5vbXHP3NLZFoK6UW9D9owptAh+0l37/K+PObst70SvG8Vx6TMkdnYKre53hx6v7/U
jrkiK+KxUcJPKFrR6xCMMy9zXEljnLHKrIrPFhHkasN2rJDOFX+mQ0caMfPbhSs/i5xGV5sSt8CE
5Na0xZKEwRHOSHo1pmXPWo+hZczKNPuopya0oGognbJ/lk3H9SUKfMxeSs9fZwfIQa8uV6RT6gkm
omxKh2AAMmwys35tFRnONF+/NbBJe4wp0aAXyK470oojQsgw+foEFA/hQvEbQol0e1JgR/dhzZc0
IheaGSwnZzLRLrWZL5082SBZL50lWe9k0nudd9Sa7L6vnqAh69xzTwldPiR71Lke00+yv5CVDv71
0JXO1gU6PMusql/LloJXbcgGbwoRoob2ERIo+Wfc84wKaLhrRA6+Gw7Lmsjd8a59VxcZ4NLR/Xhu
JG9SV2eNqHj6fSDDbClRJ8FghNaGXqlPJcKlScHEHGdhpc4apTXiJnq9BRV4vAtyaS2T1hXLvNOf
stYIl8yvGDn4XNKEqcGkw3pNHLk+V4Jk4dlOf2PnaKky3z/1/vg6zYmDwrMXEJBXKqqsJoJCPxIF
sExh8wMT8laxZR17SUgKmq5RtR8CNF6+zXoPh8yKBdWWXGdaL4L2UIXFQbPKJyXQiF6MsQJLAhRk
0k8hFKMpi6R5w7crAISDoA9R/KA+cyJnU+qSSbvbvVSmvM8y/TFR2Z1rKNfCWKfFYHS1wpV4b7At
BmuAlxvH7rGbpG/pJIKL/Pigoorj/9WQOLO2LWoD0zjSOa1QlqUefR7Q1OWhdZ8XAXHx8qWsRjbl
iXUyUeGZTabC9vb1mY6ADNgN9nnVFS9qH15sVHz88ZDzhYzw6si6I6G64w6h4TA621+SXb0wJ9UI
YkH8OOycs5qbaeDWs5CYVL62rTw0JwHiE+T7CLDETkWU4jb1IZpUKuyaaiDD5BiDn2Q5GiSMxyw7
ZG8oxqWL1EXxiVXLnCJc1SSzY1GAGzYpY4gPHzYaYpnRc5+VITn4iGiUSU3DOvIToZLhzUAO2rzs
uk1ekTCeDIh9La/41GVQFJWJJ4H85S6wzT3q9k8BdGACr9WEBPJyo6TanaU1ydzN+WvEFpvZJlIX
tssqwOy2VpKTDGQ2sAw5HfIa9W4HAyCJudaqpGHFEKsexuFSFfC4WR6kS1Zn1apy68r5qCV4JP+N
T/1iOprkp7+viCao3i57Lppf4V+nH/2uLHKYEiFY1X5eYU7TfcKKgenBD/timv86LgL/ytQKJ5AK
C/HL4P/PcZEEwPjlxVDd/jNN7bu16IeqiLGTI6eSTeqTuvenxh65TdL3cihPg8IKilsXrwtVRWqH
YD/89BRImkPf8o+mUa6pPIzrAjUakDv1orvyEpXNW8bWctb3/jZs271viRWA1EOEYVRpx12cioOd
isWocZW3skeUqx9UTLMzvUmOIL1WrmcdKl9ZZYNyDTr7zhrSB6OvEVwUbzYZRyWQEgBK2wibh49v
j3R1fWvY/n2J9AAnzTV5gMdmCBatox57ygu2bP3BtEegc2IOc/bOQM6j8ImWcdm9OEF95Tr0vaX+
UffidVvXu9Q1V/j79q0sjq7vH52sXzmIDDw/PzL6ZidYXJW99mBJY+MLcXSGYcYI+xSKEKayWEI5
XxTVuPDV9skJqrPvN1deN8xbUqBk1yz12DyWBEZEzueqdLRlEnbkoTcN2en2MzFN2J3kQxi2W6Vy
FgRoIaof1woHEFkKMzMvyQXDLu/2wQm/OdUiYorQvDOqZDMO1SWx65dU64+KnR7hax1aM9kYY7NL
ymHTFLBjvHxaQWCyYaSNo1j35MXyIQ3YSr6prTTFW9NdRQ3yCjEA+najZz2TFyc35z476xmN/KlR
6oOnJYvRa7cl4QaVpVxCh7QF1b2XCRooR1+aGN1nhY/vJ+LE8F21wANdXAX2/7B3Jr1xI2m3/i/f
Pgqch8W3STJnpWbZkjeELEuc5yFI/vr7hGtol7u6gAbuBe6iVl1dBUlpOZMR73nPeU4hOUja+a6g
bzWkX/3VpfZv37QzjVz2GMRz89kwmgRqwPyV7DvdBl0Xa+321yK1qPe67ADDLMEvAtPkxlpXCq8z
y6nM/dRVgEwIdofT3B9tUWv7uqXRB5DffV4PzalywCX0LRcKvdDNy2yvUzgtOtQRvGQbHwQZztU1
uzd0A+6ZhnY1xIeswtAMAcljGcW+voKEEOgV3d6Ykliqe1pGEkhaB5ro7bB3lofUWtoQGyQrYJPY
zDoOPOOblk193D9BCoIe7yBhZQXoV4+VwUrhmk1xoi+MR2FEb5TZUDNj3ayGvbO6/LrtcxnmFIGx
5H+H8nLxsuGzAMqWXbpxgGu7WGPQYszB8RRv07K+w2L0SY4YlpqpH3A9OzR6JVRrZ431FYNatdFI
xW2avh3D3vKv6f0CfTtn33xB6nWyOHCmCb5KbnjvceN/qRbjybadd14/WIRa64NloaLFbGA/JyUQ
fLuCcs/CBaMcE0NTdCG9j/htyhPQlk/WvHyMrnbKfO9Edodckhi3jMif0tXY+mXRXi9AOXeUh6DJ
jcK51EX0QCd5DE0p77dGMpnhaEHSkHr1TL8ov+W2/CZqdcOdZcd+PK52WT4fI1HsM3qZA3+dXtY6
UZa9+SbV3K/wfL/O1oQ7bi5537oOq7rJ5isLUEad4I5i7IA/rBQJGPuoNp6HlsQSjymmBhBN8dgj
K6bPS4wF3hcWa8W2DB2fINc4fBVjF1L2swRzxB6rij6bVK4GC1mV1aCywIL0bI7CYMpkabN2zWMi
uWJr2bIQXOLvfY6iZ7OAyhM1kcv7y9zB9eK240s+omm+QC/iY9mRZOblmR+lhn98imLllUekzMmB
ybI9punq8NqmEx7fm7kkbkRhAq025lEmGu7d6VOlaadB0qECvBcnHrf1zUgxaZ5oDzIeznaVPOoL
WSD628MK79jGs6QZOrO4SiEjQfrLn7oEr2BaNm5YuA0ZrSTJq10n+zgJRA3EhPSkRlJuSo7WkO4S
Vm+bSvPEXlu5gCwVCc+qL2mjHQ1yF8tdo9LRrj4Xd2mNgv3/RJ7Zv9fXr+V7/2c55v9ndUYh+//u
LvLW8eephr/aXCmt57Uf/vd/BDTdXzTcUtw3DJc7hdoN/aDQeA7ize//ha/611WEWjmLhD/sSstg
v/SjQqNRzQlE3fZIvxMM+m8UGmLVf5KMvys0yktATputEhrNTzKemU0VA8KM57Xw+BAR99kBiM+2
TabiG/NArCHvzc1sW9OLzMozm31/72ieyxiRpkG0UDwVVZ5+H8fOFtAa8+5SuYDKU3GGIPtqR8ZK
K9jwLp2237oZaduG5w6fVOdCmU6yWSaz3TXz1F7DId5mPK+GRG4lOin1tt6pHIwTGemPfF4+SZ50
rpXftDz5XN04+CnKjZ/BE0jV4zEr6KUEClOEs2YB7lGtxEhn75lrPUlHfMkn8S7VA1fV0gezJPmB
+fNbW/J8zTVxPWjYpIB4EMTLodtNvvN1UY9zMqHKI8slZ1IP+3GpPyXq6c8p4NQdzcPfDwZ1RMQd
0KFLnB6dxrxve+dicpSsTNFLdctFD7Mn50yFGrHO2eeSuuGIcyip7MdJHUxa9rHEKr7AieV1XHe8
kWbQidOsFpgcFnXAjUVS7OaBSHnrm23YcQ6WpAvDQR2NgNmywCySDqmMg3Ot6aLGWABiPSKQLgan
D8EjH/KEeEgpzP2IIHJv67i6Z3Ifm2xBfdBTewrtWpiXTh3gtIPi0vX05rSKDm/wXODm4MCHCXZE
tUnDzuQJZIGPOIyRv+Sfqli48cXo1/IzcV6MbwW+L3590xrMpiPJkqdyS5nPR+8nhzmZbpIBCzmK
CUPS8H1g6uw1/UZa1hXkYiG6pZYe7eze0QEup3PQ0zbN6LZUu8aS9aVcjfTJk96nbkhnjhv/Sw6K
PbDpXrqRVmaEohkx6y3eo1/Jo1nae6pgx30B5PnQ6fqTGCM9HIlJbOdorfaThK1SWtjQ3d6obvqK
S6bG79Lsp8ucLDUFMyn4RToDiJgX8221oNh5o2weOYy+9obmnN3cmEgvJe+NnszBai04Sih9F14d
AYzk5C+FrTMLD+Oho8bvYHRO8dA6LVaL2q0ec2OBsKSnCTf35rH2hnAYHIQgtVSOMb/MDkrSGIlM
UbEgwdXLDSIMqB+zm4NS+Wfs1JDnQXlqlpSuw2HRXrE/BG0iP3GHoYNAOXFqGvDCGGP6xpgtcQSh
LL/kmZTsPNooTL2h2hOzz99yvHSHYpQtuzqPntRkPkzKCdQNXNbDjs30xlFOIak8Q0lsUgIwLdc9
2jJ5IBa7hNX4ZJZTt5s1bw4Hg2o44a31ptdzyE32vG7/OY9+NVP87bZAzcaXV8JA/74wMPnCP44j
SK00mbAvcC1PQ4b44TgyyJRCgrGhy3AoaSwPfz+O3F9Itxt0lqhdtGLS/Os4Ahqn8awlcfp/x0gB
fc7DX6yIHIb207qgH+XYls4ib7T6tout7YIG+8Mh/Rf+A17pTxtSE18fx546dtl+/HTcOdLFT+aO
401vZafU/SQ0+k3ueuugR7dyuia0+fc/z/jJrqwWin/+ieoV/WDXM2b65njYjDcZGvXG+x4LoEuC
iECt0gKyq73TNECXdFSWoHd2Tra04EPnyEZNHVyORLIHRByMI+X1qsuysUK9J0RjesmVXRefqP/I
g6bTkI/zD9q0n6uVvlfAJzy9eaJncafU6MLemEbCB7cAPgKELCZs4Oz7pUh3tu2aWHPTeh8tcxWk
CIsbtxvBf61axxmVPggJNmBM7z3UBiBHYNHS6Uq0EX9LFEmXETp0Sx7RWkj8OvIuAhm7iSCu0o96
O6E24l47VtqYbnCcnSmo2YymeOoE5/VUfZlWlbZPDhOcza1O+h2P3d5qvBNev3mTOLXciabrofQu
l3p01wd3oAxg09nQ7x8wGDoHBzdEplftoXUSMdyt3+0RY9nN9U3B1n9AhbyuyhV6fz+sYTma7Vdi
DlcA4C7CosbFTY9zLjGUR9dCy6+X1fnMyePAdVPObdPcdUb6BuDpGzgxeytt6zI31omVQDjlzdVA
PQxbkCMgj1uNxU4VtUD3lysuGFej1xFbWekxjW157iftc4vJzbLqmFru9Qk2TLyJyiW/TsfqtsoH
4KjyOl/zk1ZTqThTQkYjLdzBdvbAYUw8MqnW3vaZ+9QOWJozocU7o2zIJo9y2BeR0cMSbZcrKHIk
Uj3jXJSMm/LGSrz7fiSxpSdgi5Ok2+lNeYqK9HasxIOc0LqpGtkAdNiCH9y45fDNTWgZ1Z3szojl
1h/LEZVdD8Hz4LlY7qCygePHJeRIay+7aafBhRocFnS6FtZ1/QB38LaMWiAucz9thiKf7ucluYe3
fmS3BgPQewYGFcygbh4bTbDdT7uPirUZUcg9oXB2ZGyoLPCyrD7eNfp8qtEJW0vPAp5gR1oNHcBu
wPuEJOMZ3ybpdLGos2vtkiiyvS1c2ojn6Nz39aEjFNuvA3Z9cQ0iOjSkOPKxvVu8mLk9RYEwrQj8
nPnJ6nAF8gkJWtVcVNnFcsgh+By7gvsGAyqsCXHK+/WR5gPursXAVF8/ZJMWIiXxtuaiFYye8eqP
2Wvmepea+qLNnIFgluAUN1EvuZtEk3f459D7fuhZnEJ/M4QlTFmv/37iqa/648TT2XbjqFcLaGhE
CqLwxwBmgi3HOciEpVErqUIwv5143zlrrM2JX+JjUKC1P048S8OKaHOR/M6n+m/FYNv8Nw+RRW5G
pTYdG+0ZvNVP54P64U3RFvDDXfZ3FhqIbslPk+vAUm7FTZPwDO7X9JIXBgzPBUwbtCYaWJDLWLC9
12N6YSHzyIepCEiK4yA2/WbTxwQRPfPgFSPbq2hbQgySkv+F643nBJCOqb/09hAQJE9g2iTbfm5f
Eze7LMP47mbJViIvDoI08qI3pPisNwbWfbywlqGrlF1eWo6HrOkOne+f+yymc8zerQaQYrMjdU1R
s4Ndy+VQlUYyYvq2UixkxmuBfdHQtGd0W3vnRrBcGyawfUcWPPCRmDeW05/QogHFgK4aDHHwzWyb
J9kDkIaGIcKkHrKZ7yrdIhXjNTsgjiTCeXFnUHtGsHqSnFmlVxvieje+WXwDZtfsFwOvTRrnkACW
6BE8E6k1eq60CqxK1WeXnALiMI1pNK+mpggwD+BYm+uF6c7bUv1wSuyhCmNZPA12J05lW4WjV98l
AJI3FYZ4ymQQ9+zh4lfGY5uMe3aOd5ykgiZPqIxLKVFnvA9d4AIQRnU3J8T+Lc9/yTL9HigXMbuo
dpnvzDJYHPNxLdOXvGpDWRBPTD0OAzNNryzdP2et9gG2wTmQeaeEOx2XbdI7dNJE5t04JJ+TjNcf
w7BmYaCgLo11GB0qsprKtLbwy97rLEf0LkIJNNZKeyIwg07Dd8rP0TASLhFltnWVPDMl388dqPTa
a3gcm+M+jl1gpxVIgmEBNiEzvo71oB/qZW7ty3q8oSL8s61H/L334K/1ud1oZfOij+kVDXNXXerT
AB7rHuEkJmnLqFj70/UOj8skyT7QpmzW16Cgrlqqb0jgolvFfXqtZfVLm7UpwExFHUipjWaP6khe
qJwIwurFdGh17dYw+qCxJeYOPTp38Xjsq+ZpFNO+7qtLUtc7y5nJ+Jcp6kA/+azpJKjfImHXp03P
a5u+9xMrlGzey7SBQVZBo62c+gZG02d7cW9rLjlB7k8PXl7sBu3UrtfDdIlEuls0/xjP1Y1uV7fG
FB0Ke70Ro8NmYZngDJOEHilS48xcQ2Mll+UQ1+UNmkaBI5KIYZ5ldcU3rUoM9KhGZSAtjrtSmz6S
fM7DuTTdLdB9Pqp0dc1Ih7L22DDM47EWLf6U0ff3emUfE721wzWyym6DAyPdeJU/7wVEu609m1FQ
u4nc+cLjSgPxLZ4TuCdRnqEKW99Ge7B2kIW/1eb0TB3T2+rKbFv36BexKW+XMeOWlTporoMzbHkc
TWZgj5XRnY24GM48e0ghew2blblFhq/K4WhXHNPQMRrHfoLp7nn7BDFnP8JS47PUVhQLunO3MkHH
M33sFbC3TTuRsTmwjyN615mIAdeiKpfxwde+4yb9TpjncR7rs7SrInnuVsuYbvKhOdQxWeYm435U
W7m1S0lkbFptfdW7+L6PTAD8VOxaVjXuOtGxBxHO2XbnNIQTaG3Gwnlr67rnuuVg18is51w4XpBM
cNh0bXVOZs2bOa88rL6WysDZ9Zcmsl6TrDPCwcOxaq7wqfxkouNPLdkraWw0jSxiNzCYL/l8WcBL
zamf7fJGXKyquxPReC69+suUyo+VG5Cc0Yp7fdY2cWMXQW/Op2RBZsFEAmbvNc0JtKURu3nDJviI
T57QtnzQjOw66v0rkS0vRWJ8rLrGd4ntj3wqEaOBy60nY5nZstvdNoq7+3xWxBEQEDTdzsW5SNyL
lhfU4sy14mQfE9PswPTMTtDSqU3ZQHntuMrdY/sE64W4I7xmhNK1V66542XVaHS3gQ3zW2go0225
qNZwbU0oxiglDa6V1AVDw/qxisTjkIerHX82up5pyMoi9osgArzcl/xwlHtlkzBXn1UKiiTke8h/
0uMiX86NhOglrxpPJX48dimx7t6ksroAA0fPozbAr7DFlz1R4+HV8eWyJXPysBDkJxCNbSzyOUDs
bHyKxrEPR1l9rol2ZAK+nDuuz2PrJ0hZUH7zAYGCrJcIunp4733/iQf0TmvwX5eJwj2aBzOrn+Dh
7EXqzgGw/yN4gtuJDZhv119TDjqQNdq1pQ1n2kSjACtTxCpX74CfdMdYTBwJg4w3hs12I8nzo28v
3maKqwCOYbvv7VQGqdXf5OlIb6a7q4zh01Sy9MmBH5H+4g04WvM210ixoheTeMkjdy9i/qtL8j50
6DmshND3DjPfceAXGvRJcQPjMtt47nCCPwhRwfFP2HueiqrWtkvNIcgjayfSNd4TLToXKJUBGFVW
g3zSzrFuIGJC7BY9u+eh0srjaoB4mqIIJ4nZRkHmUgFkpbfJmDFYg7FkAYwVI414wNnysJYGHwnb
uzW6aWXVx3bGqec37OqfTbtFa3PfVst8mx1t1/TOc53HlC02DrzF9BiVzbNWewfT6h4kY42Zwd4z
ljzQiuRsdPI1Lov96Brvfr6eqCG5g4bCbmfQHipLPcSFzTq0S4J/rt2/XrtRXv7m2v0r46R47f7q
7s2X/nD35llA2QCPBpLkP6lN9E2yvjBti8agH3uByJ9DZlXpHMtVJlSMHb/7MJxfPMZtA2IK4xnu
4/9q+YHV9U9qECqQx6ICkDJNZtz1uTz9+e7t6rFeFJ1d3xgeZzI3NsUcU/tC9YQ05lg/SggUhbkc
q7Iy4LRWyUvpu6dySnceKGEeH9fu2B7BEd+sItpqrOWDInPrqyJ1sSqk3adFs549v+GG0StFXwzb
ackfnS6iDWhY2ebG+PTrzL2bY4BAG3pwG21bEA4G6m5LbctpcE2hzBQit077JEpI7dl8qiptSGgb
8rdrBqlZj5dQ92KsBnWKf9OuufLJMhTUrs6YP+ith/CFJ8kOE8VonSbtadIHCJ7LVhpDzxrdytXO
ptsAYX1z+HMGjULKtz6u1HFiOcAKmMxLlb35bGW2SwRicQTugkskOTLqR8eiYSDH2LKtKwKCWk1g
0raFvALq7Cu/VxVYXfaUtiXp/IKDGuXohr0Gz+MFB+xq7QZnfOzSlhtl3j6B071pQLFsuO5fWYDv
dzxg1Oq2GsNKFA3XI6wOvtqS5O14aRruJvlSF7t1Eij89smuDICmE5Z0ldWR+NRWqR9ckyabJU+/
TfgS4mq9Xo1ywldAp86Ydc/FILhJ1aq4pbka6WbYNHioabQcA7Fij6lzkj59TWVDM2RmWBjOMRuc
uzxauJcBVeRuF29bq/R2UtRvrYG3F3sDxCy5tVqxB41DYU56gxp4Nk1Sh6XVn9uJ90w09rdt6gwb
KDV6oE3LuLV8NPIKqHA27tvWvLh2goHGp9sYTkrNDbcKuUfsu0yQiqj7y5qTkbfhX6I/OPeGY1z8
pqi33TLNgVVaVBLnQDbNeiXabg3EJ3LNxYwXbfu4f5wp29lNWXWJrejL0k7LrhDePu5NJ7QH7ZPV
tl8ys3VDvcjCpR2c0Evju1jqV/qs/Ckz5gn/W+fIJizBrJDsd45xizMF79LVMPY3ad234q6u3WJ9
X2bKkAH1c2Q1n/IobgMCyudeOS6qUQV1B/+lzrV75iywKUvQcaFo1niHDBo2vTz5g9h1mnGuKW9P
6/o0Z/11VRe3U5XnOIIYvYpopI46sj9WR4wIoNK09ukYubRBVNP6YDjrJW4RFPUilTt2KvCZTYef
a+3xVOylkiFBtR0kumRnv/RKpixH/6lCIKNQ69wZgHrLwWbjb3JTW2/H1cCWgkFgscc7HnaYCIYQ
OQJXaApJIEInNfvhClWhBkY+nBnZ7xEE1PL0YcW9vHGU2Joo2dXoqNixSmCyfqxzSVfyrIlOC5EA
yK2Sbg0l4tZKzhUj75yqwVdTKbG3RPWFrfrsWtVHjRpcKlkYIsSntYqvbHqa6TpGOqa0ApOiItvg
T/rqKdYNAdlLqug3i6bdljUDJ/Q5/UaCyDEVK0cDmjP2uPBLZ743JTwdE7CODmCntbTnBeAOJvGd
rwg8pWLxeBZUnhngdaU4PexSATgseCnqUGu6Wx+gj+YQ7lXqoQ3qJ1PMH8i3BxjRXEjAAXl4lvjJ
XKV961FXxKBEsYPWFopQo3hCrTAusyIMuaCG0IEPgGixAisKkUs1hKG4RKkiFNmgivizpvhZeyvw
UyQOxTMaFNnIAXFEr+pH7L+lgI96AEg5vxPOAZ2iM9hIA5Ak9s87TVGTIsVPwjlC3kAxleSU7ZMW
ylKqeEsL4KWUb+cpEpNtQ+kAzZRkRr5xFK3JUtwm/kIhOBnz/VwVDMwNpbeK8jR61cH/zn2iG+Y4
13DyBIZkKIeUCqAHuF801J8jj2PGNWwhsTXvRNI+GLClCPl0GOacETCkctBDoMoNar9Eb+47Baea
2vYSK1wVXq+HEX4VBZgZq8J2P3L/s/PmWirUVQPzKh7me22ptyIylx1twOcaOpbQwWQl6zLuJOSs
3Gd72bvuXYlORFKbtsV/7lPf71M2quN/vk+9jF//4iKlvuaHixS4GwsmHEu47/eef4mY+i+OCZ+Z
XlXQO3+ixYHZ5wMCLwIHCksodb35/SLl/eKrsief/6Sap/87Fwk22Z8vUnAtuKshZVJI7cDO+PNF
qhiw2/HW1W6GrH5GP7LJrZj0P4iRSxPuAcAKkjtJhQtOFaTsat75wdBbp6620XAqRuvU8u2rrsNM
ZXk5cr10WMZDVPbm5tKtImgmiK+D96azBAlpWmXXz1NixZ/t49MGxq2FCPR7aJBc930MHjginiTu
bouuuMc2jnENNM0b3cI8f5unTmcTblGoSC1d+1You3itjOMtDvJZWcljnG3VHTHBPcka61aYzjlC
cdoO30mPUkQEFKA/FmAgF3CQYFXfotKTWA0AXsWKGYn0gqW/Fvc8R4pbX5ElS8WYLExA99HiumGE
B5V+OhSsKlpu8fx32w5MZQ+uMrHba0/xK5skf04N83Go/SYUIC4bluYEkuOnDk5eCpJiRELi6a8f
IvCYmuJkZgnobsCZlZZdesd4KQFqZqv/qOOlBPwIa7MztEeQSCSR+EsY6LsJCkXmNAb7dRlhdfZu
/+wpeid1ARhMbfQmS7v1FOEzidK7lA4r5CsJ1GxZtC7Ac/ahdc1Jc6prb03P01LHRzPr75HAwBzZ
NBasXdkHrlNsMqcQG2xtdMTmqD1CUNdR+QYPVh90Ug49riu3FCl6N77RLPuC9eZmcrIj+z2fh1n3
brRULvqrG98JbPqbNbVx5E8YOBfjo4D44Gw6B9QFj1+ovCCTAmbdHLKbHYeDTYtWVRCGibESJ1xx
GSC9G25rCOEOrUPxUn+gZZrIMPVp7Izrpm7YI3FZ2wwp8D595OKr22KfzZMVTPr4xWmST3nODbEb
6bSkZgfbNfdiaEbGpqhoKPN6wCvpokCkX+la2I9wYk5WJe50r/mwkmU7JvN+ZMEXVLnTBRom6aND
PqdxytM82FsrNm8WPb+h2XsOfLWW1OrssyajJ7sU/YFUWh0kwn3qhtjmZRtXUWP0mHFHkK0t9PdR
0+7LZThpMt23eXafpviWxuJFat1XnBs1+zVWCUs/XXtdPmIpQhOttepie/xybUucQKlbe0dTkwAO
n7DCO661+ptnrGbYD8vnxjTGzaQ3TO3UH9TD2obLPB3zaNXQPbRrWcivCb/rrULTB5WTtiCaaRur
mouPe8bx6l2WmP3GwwxFZ9fO7dqSGUG2LAep/8wziMBL3mL1JD1XLfY3VTEpW7YhpZddtVFnBGlT
AhcxjH2W9F+8rD2XhD30fP2ki/6O1wcIi6PTlz6Wck5fXnAYr5PEYJRfvHaeQTZo9xBivyyD31Ah
w5RFbfp8EvkijnWJ+7WCfTzl7YNFjUzS5PeeU9nMSNz1ydNF/TFy+S5rl9gHoMfbLsLzm5miOJYl
FHuNJhBK9xDU9B4YTO2CLa55Ey9eMXHVcG+otKSdWtZFyIAHlzme72ispJDR1t7Y9GT/nLO/5keU
vfE/n7MP6Xv3l5IFX/XHSasStTonI+XhP9OfsHLa2GDYjNlwOJSa8btBxv/FVUs8xAwIIMDp+Ia/
n7SEbX0dU4uLicKwlNDxe674N7sKkeT/GLz/C7+mhV2UMx3ZhJAuuJE/n7SrmZSJUafajekRbIrK
Nds6+pc6/garmRozmD1gmlNvUqXmvnElG/59R2zTAeo8QmBzgDwXwJ7ZIAXU1cz7Pk+eq87egxq6
Nyvv0ihOdO++cNqTsAMgvQKSHmy3ZxPDGt2IRwKX1SPsCVqWfK0I2hYlQQNJTa03GrFxthcaw0FW
r6CfdBDWhiXaoARqndjcghXlOl/TQ4/VZ5MBwNZj9yAVEdvKB+UDecn47K4gs/2sfaYSiKocYNoC
tbYFrp3rJb0k4LY7X+xW8Nupz26MP9m+8cG2sxJiNiURaEYo9S747oHIAfs7crGVtXcBfHf9RHQS
5HcreYQ0w+Ie6fCDVx9Z50wrMPZJcSCEBy2VnPFhFMu+tuaj8R0r7tzLZryni7Z7KgCPF4pA7mCM
i0GSa6V9pnCqDBptvsSKWi5jV2xtQObDhF9vBm1ugTgHu1Wz7bNPi/6tB4EeR+PTgtgDVw9SEfvL
L7lGbrJg6C8AqJuKpO7b+pOj2OpSg7IucCsMirtOvtqBdbscMpDsnie3DY+psed3Fitqu/yV4J5/
x7nT2aUn28jN6v1gM/Seh5pTabUabTjWHuLR4PqoSMYA+K+ttY59U2pF07bv2fC9FlMrETtsY0Bb
1uZyMzMIWkFJaS2tMJQ6xkxDyP2EZ8eWrHZtvlVJ126QoIzQJJHLCFLzT1IL5dq/gWxiHMvbD/An
DitHZAUMOpjUMbDHdn7vrlQccue8FonhBYPR8D00dmQieS5m66XyZhoB5umBOEaCHZ/ePqu1v2VN
/8Gq430d8FpMbvEpdizeCqZ50Sb6NfLeOHeVSLfEVs2tZat4thmHpp8frKR78XJ72JnCKrZ25L0s
A9NbYzkZoHH5DSsNdpBCzrxz2HdWae8FWubHlyKmDealmDgW41NFuMOaoaqWvF/QbqAVnylO2Wd1
czeZ7NTZ5T01VtrQshjvCxZ/tMAx12nO56hBwLb5N54uP8dre0flYLBYor+S/Utl20SRFlGfheuu
aci3mhXgnd6gRIDfYpUokh7m5EywW5W1ZUl7j085PuZJcl65lJGHONHX9OH4VgdkfmIJT6ase/tn
fvtVDwew8XfnSk+Tcz1yinynPxy//e///HYe8XV/nCwAGcADQBKDhIrLErfJD0YUpjON9/r304Np
7PeTxcKvCefU1lQagKI+C3X9t5MFIwpt9hxUtOsSklc6+U8nyd+dLAQIfp7hLDDkHGEgDBk0QQv+
+WShVZfCLG7Ot3OnsXCaLLmxGouLuyUPCXZAwAM45rFKc/aYtnbWihKThZO6+ZHoQP2c0g96YYJF
IjDN9iFjkXaw57G/lnnUfGuGqNy7BY+npHAX4NRQXIMGaxqMcEwRt31XDjdtllkvQnOGnR4RVQjY
LEF4q6LqOo8b/5sHLQ/10L6JdV2cjDiR+9VzyqfBW2w+gqC5pWGPl6FPXJKLVY2JexT5Trdx7Juj
hu/N7I332h6LZ1srqkNsE/2D9ta/TiQ3tonm0bHQ+XLvZrKjY3dq7iT85GJMB2TCuAknqVs41kVl
TW81aRzrrFP5tczAC/Nxr6+qY9CK/Sy5Tr63ELZRX3U3boJ9wo31OXlIMp+tpxzpMFxZyrny2vMB
rYMQsJj+dnUhPRekztRIEdps1WE0igr7SDoWy9dsMtpya0h/52MPfXGk4icK16437GqrHToQRwoo
gYdB1uurWnkwVxqpdo4l50oa6/4+aqb4K++kNNCqdX2N+mR9d9L5uRPtrorTk3CR2UqdHb+0u+Yg
GhlDn9bHZZ8vHoQFfViu8nomijb4DG9zWYuCi0ac7vpyMNkXTCVGk7z9bLkpBHVffzJZWB4a0QKv
1ajjtQnmQU3onQcvacrjICiSabTWuZ79Vgs5TZjBGELrx6jXSBNNhf9VuFKczGKg3XcubzJPF2E3
TGSzBLh2ik/bdgjnKCVvKer+CPCyuscNpuIJq/MlZg8Yrr6bPc3YHK5cGlMvPYaJF50+v0Cu7nLV
52v9so6zOPPmJUPmVvIGz2z07K2lfKqyDhB6PeOBTefmNpnIsVeQXCkctqyJLugeGO6U+XSh97Pd
hzEJWTeIiVQejIl1pIPoXJgnd5bmHRB9L2Z6c/R3xsp11yrnoc+uc0NezN788yz+9VnMvftvnsXj
MPwVNcfiq358EvMkNUzbpIaSUskfnsQ6HGtSprCqeVLDHPzjSWwqao563MIZ/K1/8vcnsQk1h2cm
mDZENkUh/K8I11Q8/fwkpnMJ/g7FmfjqceLz+n60jE8G2/5W+MsN50W/00RRbXuE23yTmwS0uWNm
s81HzRYCLylTtEQn4/K5Z2JHOFMSWppo9tWsZLUpY/YcEXk4Q7SgWMx+Z+iDf42ruj6QumruDItF
n2MN4kwQyt73KHi+GjkFs2eFwI9leL0rU3hikRpQRTORI2dmpf98Cio1xsYNA21aS677XszyAFo+
jazGHRJgcZxK3L4lZnZNDcdCjckYIvqjzhPaIzbOGJ0yT1NU+y6ZrwkoXjVq4O4gthwzNYTHflEE
qxrMtdH5YhjGva9G9ojZnYyDxEZGvlaN9RHzvcac36qBnw7POw0FoETsY5I4pygD2Iz3mZIK0lUa
Aen0K8tWZxp6wtp431YlMCxKavCM6bwo8QEjexuIcaAGxiGfjkKRK6nCRrOI0C5c0V5YDD9nqUoM
KXkjVUKHtJeva2pcM0DwfzCFpJQocV80W++2Nz0mCjGqZDCzfhDxWAxaXOKejvrX1HuD4jmNQ8jA
OzLq/k7v1vfV42iy3elczTYcjc6lnqhn6ViNvVIxszLoPNh5fszSUBrW52YsLqPgbttazXaaDbK8
y3vkOlv2AKrCK379P+ydV1Mcybbvv8rEfS+ivHm4J+K0xzQgQAL0UtEYlfe+Pv39JWYGQUt3azcR
p0/E7nmYGSGqq7IyV65c62+GAdsty8PFMTLSWa2PmHzINY6mMXp+JTU0y0QVhrYqEMdxYxf45img
QRHtzcxpqaMyAzDusAWWEobZl0ZOZPJQxG+FW+RYIFCZlFNfS6l2mV/6zrtGgMaZ1EmFSk8dz1oJ
3IoNSIXqGKyHIPJoRg+YRFpxGuBiWqF+4rk15U3nW+6i+5Z4xRRC3bHb2Zw3igomkRFsEBv2kAnK
NlYPZAltzGBWSe64cuuMw08dRfPc0+nVqdj4ITGUAxtEvdCrvUvLtZhTdIhWapJAPKPt0qSRA99/
lJCKsejn6jq+o90XBJ9wMtTcSdon9hwe2kliqivTtpFW8JyzPq0qNHhV0KI+DugeEd3MFTqxHYy+
MO7Psl46BEUET7iL7puwuQ4T7S4fuvNQB3+qeMkjQQqlAi8R3OPTtjPkOZqO8C4qzD2doTrXcu0B
a0cwvbm/0kgEupAyuppeBmkcThNjRM2nlieVZHgL2wjDRS5wVLVr3lZZAXrfp+YaRo/h2BarQXWX
Y8MOBcjdnFS6KDt5QsvIo9XuBfFcyqPrtMuuldJHg77VN6UcfscGHn+1OqsnOX6yorO2bjL7W1hK
x4rXHtlOInMKNeamj8pQZsDUz3BeRRlsQr5zWxcDGVV2Ql0X0SYL70F042/qERHnyNOcVZtbGEsn
KHh2+MxMaCXrZ2qU2dKsEFTA/2yLT9uiwS7y623x6tHfJNuaTPzWm20RhXLVAHvDHvakpPvmgCKb
yKELKyAKYKLM9oqUl3Exp7yFKohwEjeExNs/pS9SSdwDOcDQH/rDJpOhCNHCn2RThGSKKKUBksdQ
gl32p20R9TdNjrmNsxb/wIryqvbVM2SEI1IJEy0P6hB8V0NA69y2OYTfq0yyRDXnSusc1UZkTnMq
ewsvHK5sKaMDGjIdUyXAMNBM5mGT33tqz5Qli8dWzzSzRpppUvOtskf9YkA+ZGmWJhxHfQD10Vu4
1KjaNLfacs1G3kwMT/UXvaXc1W71Q0bzaJV3Kes6VDDFyapoDlbyYlD6L+DzzC8Fx31wJR1qpXGK
2hzHmEnsCLehxskng0OwRIpybvfRIvQaaaWEmAqG2LFACg4elFTt2fOEKledhu3KrFzQkPmIWJUG
wTpyU+XMVek99E3Kn/lOurKQ4pjkfP0YxKgcWDKYPQe8zwjJHJitQBBqHfUmcEmZT6lAXdUlexpq
2Zs61pDc9Vj4Wd0a4P3Ci8yoppGZHbcSTbnSRLePDXBYjj6GCmWD6mkDELH0TSBRtvQ1H6tLpyxX
UBnsQ6MYz8suGmaa6VyDKbnPyuwUAz8L0Rn/CDncc6N2r7wWu4WONKBFv6XM9UO5cdZGhSyYWkkm
wiC6BVgjuwm7+AgNlNs+rJHLcKQfvWf7GMc7iyBuvxup85in+MQpGDNOw7S22bUYFjoaQGF8zz8J
sBIBQVQF39U0O7eH8BuwmASlB0p0cUqjDbH7bp5kANXHqro22+rWNkHEo9w2jzxMlwcPpi78jW8Z
ZaRFIoPL6G3Tm1Vyf5Xx6uMnmHTQyvU8HRXoUlDIpp7enOcCVy0LhDUJ272e1zfIpD+gE6cvXE15
yAUq2xf47NRV4dKB2PZSq12YAsU9FpXH1yNQQXMHZbYnuHcgkN+5rh1KAgvuYRMw1eyMhQBQfAAw
rgMc1wSC3EH9Zq6EVTRrzOoHcucmdysapjYqWblAoSOPheKPCw8McgcoYNaIizvfpBX4dRdjbo5j
2qQD2u61YNx9uz/TAL2rgN99QPBmZEMoDhaNSvuDrGztcM1Kry9zgZ83AdJHiXltOckZDAe2BC0c
Zi6g+0gB+yRA+Gl9YwlUftazb2Zh7swryymnmYOlUh3i/xTla1VtlpWUfK2A+UeFd1InqN0pEAAC
dThXIQQgvkcFWHAEyr4/S2J1PLLl+NaHT2CYnMhNubMOw8I6UZ3kNIB7EAsSAjA9FZxXhAaQoCh4
PmQFGAvBYQN/QYXHAHLjNhbEBltQHEy4DrplXDdldaYKEoQPA3vWC2KE4SNrVwqyBNsdoLemXnp6
gomhOfZTNMwuOtO9RhuInnMO6WeEfzEKIgZI1p4cJZ7l8DTcsXwsBHFDHWMBx1NXCPhjTi7oHQ7D
Om1hfKgwP+oOOWVNkEHasNJnUVuaqwimiAFjRIc5Evg+fEJBJolhlciwS0ZTu3KFEkIpiCdFTVc2
gotiwElRXPDsnpZ+UQVdRYG3YjrNshZEliK1XQQT2y8lQCsXrkvrV1RXBfkFxmYg6DCulXyJ4cf0
ViAd+TBmAkGdkev+yIRL03rxMAFpaQgCfTw1U8xmYkG+GWV/PQo6jkE2NpPK+Ic3uldFzoliUKjF
aoLG0/vhQ5lTAcqoPcmC6kO/hFRe0H86OumrGkaQJTDLYzF+GQRZCGU+sIGOd9nDFmwEnwhekeMk
7ULPyyPYzqTRiu/Rx4CGpHUmPX0T8iSszJuEMinK2RvyzQDPA2hMNnwmkqGvKvym0YICSYFlrrf6
ooQBhfTUcQAjKkT5bTUyiSgwmAE9VHk5WMr9CI/K8IjZvRBuohpcKOUjtJh1DfNqhKFhCSpWNaCk
rCm3mY1nd0QTowejhyvXyoLFJXv1Qm+ZBDLxSNC8KLPYM0NQv/rBuoKiu6bRiTk3gTLQzGyOz9yK
xd1PahhkCvZak75yzkoHiLcKyyxm3pKywxK2BDq6VenMQ+aHL9lS9h6zpTx4G/bOcp4FfoOdOQAh
WdPMM9sGH0jtSV2WVXkTRMqlkTbxFI+Nr4pV34YRleySuIBHCFMDFRuFCKLAD7Pv6Mz0y9IpF9zf
XRkWGInZ2UOFWRhaHviDpb42nqZRaMzcvDhnz1t3Oj/rcv+4drCPqFuM9XIpQ9OoeXCF9YRsFQ+a
n56FoVOBnnLBdyECq+QmWBJv8BdO5rQzDw8M3FjRqWKVFVPXNk59S2aV5QFUMTwOs8ZbDSimzy3i
pET23knp5ZDhRh5I4XfkYu8N8mb6b8kS7fcleQTvwG0vFQN9i6ItLCQyrEO8NdmKU+C09G4sELrj
MDUlpToTcgnekPyI5Cibotd0hsN9TNLuncgIIWIjnP+wpRSChe7cdkLgTCoS0F6puYl8w5jknnQj
F437pbTTNdG8cty13vpLP9ANVFoBqx7KQAGK0yyOMx8IRCDTH8J9uB0hCDiF/6x9/tmqzP/7ZH8M
0srf5NENqPfHj4V+8VuveTQGamCaWAaaSnR9yohf82gF3270BW0ImfhpO28K/Zp5gJQ8UC3ZkF/J
qK95tHEAL5QMiKyclU9p6k8K/R/LS3wxjQTkVUU7wQYN/nMe7bmFXOC90pwifkswCprv1Cz9SRRR
YpXbeDaUseDwBdMhc9cBhYWZoXTVtEzb86TKDi28QTGfUNEHbgvO28ExfI/1YCEamiEVAADpoYX3
hFJVi3ibBOHZ7dR1NtLudWXTmyaVMBWVr4mN39VKv3EKnM1s3yHvEepcjjQuYl2S5kXn0zRENcxC
XHOCr9c3cO/f8yH72voBlpM1pQ/XNDG3rg/TPr2uHenaTYdj37RoUATrNvJPaHF+rzI7Ecbi56Vm
IP/r2fOEB4O7HZhLepJHjZLdJoM8zPVQgzNbQyop4m5F3vd1UPNy7tXdQtdhj6shCqx6RzIUSfZD
4aNsZsfmSVXHV106RlPbM+ZGZF9gz/3AIfacHivqKrB1Ke+H9dztqPbnLYZD6T0Filu3QAM+S+9p
GsEZj0pv3qQd0dpKzml2rKhXTfTQ+x6rCAvlsZ3POrSgCYPZfac4UHWQiUmGspvkqjbOBj0h5S0I
jXSKTuoKKyLdPUk92ifsSIsBDQW57CilOStPNS6Gsf2BEO8jbgFXGqg55PhuEm9ELk20JHhJjgxG
ressZ6rKYQEXojC/kPyufaf/EYdONnMB+Wd4PE+bMkRNSFavdc+40OvBpf8eXeme+qNRzfZwCMSv
G02zAL90k0jNqsp86o2GuWjqJphxUAo5bMW3SFVEC8wq8K00ZCpC1GcAFhgTGVsjc4wWspXTirXl
ZVH7GSbKOa3OnLcGQLebqgDUGp0MqhjthRlUiEVU+XHgJsXRmETerAzRVDS68cKKjWWXGoum0Iup
PrrAAiJOQSQn9DnGKpyxI5KB0HKY2iOTeKh4h4mae/OuHC8zr+RbU3vhue3ClZvL0daOgg5otaVy
qqoK15t5MRDitonu66y/sVPMiywzv5OVrITn4aJQS+myk4MV3kIY1kr+Ska3eSZZaCHIcrY0B3mp
yLgpVLLkrJDCGiZaaz8mYXECCw5v7yrMAQnWh6Y3DAiUgwH0ElzsCwM9CnDpzMZkYmr1XcVBciqX
GM3rIxj1pDfVYz2NSMuQKfMOY9XxtVkUddeqHZXtvJQqP/jGMLj1mVpbSD6YgaEtTOy20ysLtfwM
7agcfBcuJJU/VezEOmeTDMzzoQj8c63ovdugyedVzBSa6L7unuZVBaeXfMqmbS4bHl1EsjC/kCW0
uYz+ixxLaFIXAdJLFj5Qk8aOxxmHp6o4RMfQpRIU9HUwxW8tRmh30ODmxHAIzL5YUkpVb6KOw88a
MF9DnIl9DHNN6172GuTaI3MogRPgGesIYWHdKOZBoFrelVxbcXWruq0H8VADqTcr5MR0v0dG4Otr
WS0TiXN43+T/QVw9d7gN2si/2y6zuEnSbRsmv/f3hukc0HFRkOOl6fEstvC6YaryAboIsMAslQbL
TxumfaCzxSKlqz6VnUQX53XDxN2JXg2bJo2apx75n2yY5jsvbCHho9PagXCm0moX3Z+fN0ylNZgW
eFqfjYZ/hHPgRG8zjvmspRGA56I1oIyGbrzW8zhaGJq+khtlGeT1md9Ih9RoETdX0SuQwJEqR12V
b6JGv3UrmFxpve5H5cRz9NXog9uIpGyY+pZ3iy7PF4iV0dxMkg2qguYUpChHq5iZObIO6NXAc4gj
Ngk7qdPrTPOPG2qyJ6kGC8RnoyDpBRtrQWF1ojsT/qPmKpzOs7O8NOA1OeFNp7SCdU4yb4BWVBtw
VBGqrmeoBTyYWYYYBeUHFE0tcxq0kXIIQ/Wkrq1DzU2uNFA2gz6uK925i93qilpAhgCft8zMBnsm
gQNtzTMjs47iGoNPxze+apI0G7P6e+ebi6olkJYY6k06xz4HA4NODXy5LjoNO+rXkuJifAzLIrQ4
lSqldO0INlpGBV82whM6EmAtAQhRcmHvN3AoSKJRWfimkyyk0Pnes4cabXOiI9FwmhdfQCMtkiiA
1YOInOEsGq2nFNcizIJ6kVYqG02BTBdLN63uXnOUXJgN6FmHWjz19uQuGMC8STIufQDFJkofng4t
Q1dEzRe5d/tZFZnJt0I/xPsa/6TaxmKPwlZ76skoLXfUzRIDD9KhaS99oHH8N9KGJgIMdZF+a7gN
F9n3aRRIWDN02dIIQEuXtjLN5AF2GO8hDHFlCGU7nmWDDWp00C4CG/575z7oBbtiYJpXemZeSJRu
p8j8nTiYPyBbavnoWFBg4VR+IRnuoQHFCcUoKLx9EV5hoHUPhhDr2gRCR/QQpuU3zyEDo2HaoY8Q
mavcVTrQVeySHMm9KSfthabDnAksd0ruGCGJ09BdF9LH0VLW21WkavE8bXqY1whN4CGcz3QTlVY2
75ssS+aOkscnGAf5pFhVgIcESWPaK+jvVHjAS7ZF+bUfMsoqTr6G3PK1GKMLN2/sqS6HlIICCV5P
jy9A0lA1jcvsWEayiJpMtGjs6iYwrROUvy7SNgumVuAkU0kZx2WShg0I+xLlgyFlZmrq9zwtLu2W
F2903mwwxlO5cfFlkJQZJsHIMNsXDWaynUZFVnHdQ4uMj7Yl52gEYxY9rc9pSQ0SNGRUTfKOLCws
0DyWxmEDjbOaIjTkQQTlt2uE4UH/zeSIQvSAALQSwwDkcLBEljeZD9EFrg2YfyDq6o0b8MabujWv
vL69imLIQb19DqyZQoKHNHanos6LL9k3sBgp7CRrLuTy/aE1jzA2IBMU+VJjwIwHM7LhvQ5HNOrm
WY73YYTW6EyV9Ee1r9axLK17uYY+YA/pnC7aBlrgashrvIJNSGWyRbcJHIM1GUrYkGrRXSZWl9GB
q5Wli4elcE7kflpsVrqGGcif/1BjUqXBiN1JpIs6dSxdFI38WCVMCd1MAgzFra95WZxWMQw0aCmP
eY4RpNQtqhCvBkmN9TkJsLowFSqf8lieuApOk6nO22bEj4uUh6ZgCF+zTm91FCIXmUQM9gLbQUi5
1OGieisXiY9VpgybwkTPzCE06hG6IeiNTjHtXI+1f1YJqwXa7ijlBNoloqYdpCrM6it5ibPqVT4S
KzPlUvEKKoEjnTg5szYe1puYFx+pPNysC2QTfYDmq2SOyhTcazGPQ4QiSoNJHVXubWuOt2VdXPiV
7q28WKKRqjRCgjya6HVzmdtKMisj3q8m0fjVym7aYYs+8ZLyDrwJoQIpa985I9AtvcKH9KdXV6g3
f4vU+rosEK6Oo+Zad2iYKmqnzGRZBeZXhS3Cjb4xHTC3pn8K5gb57cOyCi9TU1uOOWLubqTcdlEP
f4I+rYEZytR2InWi5SaJnfqtNb901dHo3nTBse5rX1KSd6Bi30IKrYGW8GrSemmm2amaY5+Zx0q1
kkPzUSHQw1R2ztvAZGnrkruSDPQeLHMM5rFFmTzQ9VnmdCdVHl+0VDGtPib8BsN8HJRLwDLHfkY5
BYGta6tGBEMu6qOiPm1NSoUGsnGe5Z0jLhfM4swJliq+LFOortfKMC4hcIcnqUT4H6Vy7WC2vYA+
Gy20ug8no6JB5cht3pYr3OW8I0OY2lSYfgBWyDynQEeBJjD1x0dczfx1l9ag3uB7GtZ1CPB/iayo
YA8W43Cq+HIw9SveM61qc+XZ9KcRcMmIX0duPTpnilaiFTNShXSrWj9sUfCPKYLZm0YfaI700Mv9
HCMjNo8QDJe3SAxlrebGIdHoyOTAHdk65NEalwmp1LFKsXIiRFt4E72SVn6hnwIf9lapLz9qg/wI
ffSOLQdCM6KcgyzNEtuaqbjBajX3WGlKNov6+L4PYAQZng+gAEpK7VInTj3zxu+TdolTcDjvqHkV
KAqC0MV9pJVIuS3z2GOw8ztEbhTdvUBcYiVJnYraGYfrHLGPoEmUKaohXxl+dnElfoSYedRCZljk
yM6XlbkMbVrjBniqBcd9jlKlLLRtEadWiu4mrbFs6eNLQx9mZmx8TRx4VEWI1esYHXa6uSgDKL2s
E/jW/UKp8yvEDO8Jruc1Dq1TeD30nMziQpHKBQFOWXY6TW9HgQvsQ7u2oEOlZq0KeeAzSpqAf10f
OXRs2OdlDz6cuB/PfHPET8es5kmPEnFuoosbZOpmRPoVajQ4wAAstGKbpyS5N2WZn/RWbE2zRJor
KNFiigKzKly0nXpRFu0xK3dlqaYMh8wXPS+hlhOvO4WtNlJOArc+duPsmmrhDaoC7BGpdV2p/Trj
9INlAsDAEPtNvAq9b5Qj0qkCeGYMjkq9XPeet8g7lYZNYMMMy9mjJfNrk7frsUc3OA3uYt04KiKF
gqI2nCAL1qyGcqDl1JvrRMHd3UwIhJK/lI0AET1DX0UZ5AB5PG5KTUObEDK6ieph2CXJuebK48yr
bWkidYjbtL4OkVScJjtd1SZGkg7TvILkgm/uqqIRBlQnvLM6chi7b86tHPKpU7bZEkf56iQpUJ8s
tO4YWQRbgDrwTXalpZN0ITmnW7O4jJgO65VZS0eASZOl6WeHDtkW7INcC83JiBBz8B9w3MtxjFPQ
r49jtwhSbKld8juvRzHkyjnuoCuuwA+FO8op7e+jmHoAOkA2ZPTqZAFQ+xsDAP4NiLIOxUVwStFW
faPYgamKgsmJzbGJtr1APf8BSJk2P0etnzAANCFNzn0ApS0V7Q5u4i00ri4B5MZq2J+BJ5YmOerI
llte1SpOSaFKRWxU0uwqaJWYIkaSXFZCYFmSlWbVjC4WqvCXgUihw1zo2qlm6fKccgnqTFYI0x3U
ay0EnH2UnJ2mQ3xZiDtHQubZYfufwimzpk7jZlc6atClTNmhRh+6DXzUiTxMvjohHg2dBdSToWpz
D8eqWaUoX+Fmxqs4RkAtdLQl9huHGnrUXoEwdS8kqk0hVh0L2WpKgd/BP3crB0XrVEhbFxwJ1r6Q
u2aHQYYiSnu637F6Fii2i6Zy7ayQraIh1qnASJ9ANAJOEwtgTZ4KzWiwNhlqlWxreKalTXLS0KmP
wOV0AqBTg9RxBGTHALsjN/o8sjx5roLqiUD30NHCa01ZZwL2IwsAEOe7BAM8/7sBNqg3nX4CkPDa
K6JrIRI0x04C5VcQRbWAFmkCZKSlSB2YHrrjIwAkyQTwJCBJfWoemeiq0pkilXcEbqkWCCbf7WSE
N8dbXnSI53t+mUnuqQ7sCWLpSnNpg+oAolyAUcjDtSeIiqEFW6OUXgCfQuiIBo87nhoZr7TO+1kB
1CoCcqVq5fUIBEtycw4Svn8UAc4yBUqL5hT+agK5xQ53aKDjTz8FFkcHvAuFSPByiQ7EwjzJBAIs
E1gwTjC3uTd+wX8RPT7QYpLAjaFAgVuEwJKZdhHZZ2zSoXYnq6YxHFrUZOdYaBxDiBnpuSqlN4sN
um++ZTxKVbTA/AHGkTQsnmg+LjZ1tFXjI6x/S3QFQUOoiXKiWZzdY6FJ5soKnBvDDpaDEc3tAsMe
FBrYiAyjnbZ2iYqEFyFBQuo/+ORZARJq8yx0FtTnqaNGWO9BYnEPpaEqiP94KXYs8KnMTNW8/CJO
U2RiAv2wtzHYyKNEvkp9FxKKjlRyliJEifcbvUIzIYh3qJzL6UQb3MdhUFcBNgCHkWFclbULrCKt
p4guT2GOn3IaidncDRPbmUZGqsE8lOxSPyPnA6sCNHyK8Lm5QHTwso0E+rI2TuSgw+oYZYipLBlH
JWD8I2XIjgs9Vg6LjFzcqx1ECG8qxT2TOm8BprtfUKVHPLMMoimFg2U10CSkETizi/jOj42FneUs
dZZJnls9A5t8z/3qqLe6/DCSLHsWB4py5ne5RnkazgH5PdweaOmUKN3TtpDQynfAUg7YoMWYGFCh
pa/vIko5KKDbUGim/D6M9qRRVXdFLsteWWX6cvBcZyZLULbzIj2GMmbNB6/RjlBvHI+KUJGWelbI
8wxQrinRIB2j4QiB35tcSrRzNSTlIPqh3QhVfuqjlCLRj/B6z6WZnN8WVuj9qFJkVXyW8RcrDB/H
cCQDAq0OiuJp2/hf0P17ucWtnqx/813ET8+zIK2vsvkTI+eNq+u/9Jde96jtF/ojk1ehlfDTjvx0
Y0839NvrxBvsaJsHbGTZXtnukFUwdMSJ+UAPijPoGM8/lhS6ihYfoOLg8viuN2P0q1H4/QN+9L/9
eJ1f3/zbDMOg0flvPD8P+M/jWwckFybkJweEPR/Kr+8fn+KxatHNfB6ffRgEEpP3ZDDlfan8z2eC
caABpCTDMn85FKj9OQpKwns6CPLzFH1mPP+9vP5oOTgHKohSyvFkquLDUP80H1TBmbNJEfXnZPh/
eDl8mAliFf8ba0I85ttFgX2DTYKsPc953vf7QVDpmViCxvc/HxI+jAGvjmW8c1zUxFlEtZlTPz+8
TEB8Ysc/h4znr9q3ecAYPL+c3RYDkOinkPA8D97vDeJAR7hQFHVvB2H3sGiL/qFKxw/4zNaIQBfR
FjFDf9Zh2r+Z8KGN+ud7g0AdiQYlvu5Pn/fbJK1UzcbghUL/voaE98WLPx8E+0Dsf46mYYUtPh+W
g3qgaLptQG/Y10F4nqI7xATMCyxqMJYqRkJ8PuwNOjuorrE37OvmoO6eND+pyHJWB0+wdTmQNMPy
tNBzAQ4nPvs6H54zuR3mg6CnIldDyen5QcWjftguBSSQTs7rUO1lyqDsnjKoB9QMbQMY5fOsIBT+
NBSKcYBYsQH5aL+HQn4OX7vMCgCnAGt41JdT0/tZIU6VNvB3W9nPNFrUqXdOIcHjUtJWcC16NxE4
RMD1Fjab+xojhcnNbgk0CiKUDGD7ab/Km1RSBkXGGmdf8yYh6b3zIAhNTV3/OAX0AwWxTcwMXvbR
Pd0htN3TJsIi+HKD0PhuGYBlV5gg9HUo5IjPno6BsvtJCm15WSUaWC9Vtg/xUJwyHBNm976mjtrO
qaOG06MtIzILx/b5824+EBYRpQClKUwl9zNJ2L3AZB5QP6N4or/M+Q8zAWFdfsaRel+rbC9b9i7p
gXPAEQGPEiQGnz4ssJ8yJWYCnBQF1cO93Rs+I0eirkAKYL2UGrecqQEGI6AstJX3cznsHBPIEnRa
D3TvnyeC/D5nFhhtfqxDT9rTQTB2jwkcmTEL0eRfFRbIllHjVGSsz/d0EF6C1S4xQUcAVVU1+zUw
fsgW7AMsXSjKEjfEZ19Lji/dkV2GgtdtwjDQwMM8fT4sCsRiFToQurO34fE5ZO0yCJQcLbRoDfml
svB+PrBHQN4gLog63F6GR2HXvNv5QeOUQGAgQ37ZKN/PBFJoyrJYj+7rFvHSGdhlIkDgEVmzZb2U
VT7skxoVR8vUcCnY04nwUgrdZRCsA4BujgkD4Dl1/rAa2EiRliM4Qifis6/R8YOI9p+X4SmrYEnB
wfn5SbelDPwQRVNBrtrjoXhplewwKyjG05ARXGuYaOLDdvBzHk0RBjlYnab9vi6N3WMkeQHolL9X
xoeOhMieEHbCjmRvg+TuRRbzwLQgMmryS7Xt/UZBqxbaM/W4ve3ZCxHNHXdLdgoNiUbOzs/L4UOQ
ZBCQTaCLua9500stdIeYQENGdagvMAhP0e9jeFQ5bZAz0Lza15jwnNDtMggarRh6Tohhb58J5E04
oslQ4fZ1o1R3Xw42hpZPw/DStN8SEyhIcq5UnwdpX8Oj8KHYOTI4mFTRpXyJDGSK7zdKagzspC/1
7v0DcQg5lx0HwWDhq7BbEa59+nxIpKm10JkEzrO3M+F5te4WGRxbNiB5PI+BWP8/zQQigwbUh/Lr
3g7C7u0Im94csF8mwvPK/7AcRGIp/gH8JT77GiS157R2l/lAZ8YgJ6AQ+3cQ/Gk+kDhhhiPTxNvX
nEF7PvbuMgjUWqi06EIT/OmzZadQHXoWjrPfR6qXxtFuQ0HFHb7I63z4sDRIn5BuZ3Hs66Iwdg6S
VOXxk8JUyng5V24ZBJFBKuCk9zSH1HfPGXTRjRT1xV9jWEwHZzVG4Tl07OlQfBBv/uOSC/MBzJJJ
ff4XQ0EtFvwrIVJ5DiB7Oyt2Xho0sUUPgsblrwpxygENboXi/L4im/Td8wdT1OaR+XutO304aMOS
oOQCiGpfN02hw7RjOg1zCi8NEQffpZCkDPzAwql2b9fBzk8vcMBYFXKeeAV+vh8EFZ0s4I60sPc0
Lr4kdLskC6L0SJlB1N2ePrzvn5NH1oHuUIfe2+TxgyLpH28OiIvSnRKB/xfcgKfutYiJLzyE/Ttb
C02BnYOBruHaCVPwFxn0EwoOE2vBJ+K79nAQdi8wII2ny6BazV/Beuhb4/MAgeL5u/ZvED54qf/5
chDtSgXkM/2Gp88HbBOkKXBNNrX4f30m/Asj9Tf3eOoH8cMTNRk1+23k5F/9hVfe7sefv6GbPpFu
f/qbV0P++Pzlz6RU8f//tXlIgnQWVHUZ3Nfq03R/89PX6f/0TS+///KIH7/8py97fa7XP1xhu7sp
73GyfuJiv9zo6SaB2/zfMf962Lwny4qS8Oufie/+v//n55t9Ewt+f3XEux9fL/SPLaPgZP/zqP/u
xZPNQ1a+XujNxdlhdr74RNiYvV7nzbWZqTtfe7qJNy2vpHq91pvrM993vz6an9WHV0pVgrD6CRdP
63Lz1zSr6m1fQdK081fMHuO/TrNy6/iTK+98/Xn81ywrmTyv13oz/uxyO19/UeKQse3iRPSdL76M
H9P09TpvbvwzluuqSe6y+KH+eHkB89/51g+T/LEMNvHrpf65e0Es2v3y6bBl0AUwfedLHz+WW8Zc
AAZ2v3SQelsCgfIZa/VkE22JYQKbvPNtn2yq6nHbmHzGAj3Jqr/+O/Ue48dtI/MZS3S9eSAAv47D
m4n4GUt0vSmDbUPzGUtUXBtpxy23LiibO7/W9WP6kN0H26KXQKl9wvXL+8eH1wv9M+4C/bX7xTPu
/fU6b679Gct0nW0dk89YpVwax9THYcudf8ZKPd3k22bLZ6zT08d28zF3NHCoe32WHXLHs3JDCHi9
0JvX+RlL9Dze3G9zqRVd3Z3n4TlqlNuSO9Gj3/niFwGpYxU8bBkZYf238/UvN/clR4K03rKXap+x
Si836V+TR3wXtn3BZyzV5y8o0035sDWQCcjxJwxT+tcsePS2PcRnrFrxEAtWwH1Q3W/7js9YvuI7
jrJN0WzbrUTH9FNG6aQJqr/O7oIq3/Ycn7GYxXOsN/Xjtut/xnrm+vXmr8mmvNtsyxlEG+0zRorv
mGJutCVYizbqZ31D2YyvF/snpop2x+5f4G+2ngkFT3r3i1PD2Do0n7KYgyoKhqx5vc83A/MpazmL
N9uyB1Hw3n1gSEy2GcuKeu3uF683iFDGm6Z6vdibofmUpfs7t/inatUOGcRvPXd3vjg5flBvSdoE
tGDngb/6nc3Zzrfe/NYUZtfLf+Ppm21rVbAAdx6Z30go73rjt83dluAryt3/n7veVpb9u33xsVj7
qu647dd+rkWLv3EfP27K//p/AAAA//8=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00000000-C98B-4385-AD51-80447D686467}">
          <cx:tx>
            <cx:txData>
              <cx:f>_xlchart.v5.6</cx:f>
              <cx:v>Sum of Amount</cx:v>
            </cx:txData>
          </cx:tx>
          <cx:dataId val="0"/>
          <cx:layoutPr>
            <cx:geography cultureLanguage="en-US" cultureRegion="IN" attribution="Powered by Bing">
              <cx:geoCache provider="{E9337A44-BEBE-4D9F-B70C-5C5E7DAFC167}">
                <cx:binary>5H1rc9u2tvZfyeTzoUsAJC57dvdMSUqyfJEdx0mafuEotkKCJHgD77/+XbKd1KLlbPqd6sPRUdvp
JNSCFvEA646Ff991/7pLNuvyXaeSVP/rrvv9fVhV+b9++03fhRu11idK3pWZzr5XJ3eZ+i37/l3e
bX67L9etTIPfsIms3+7CdVltuvf/+TeMFmyyi+xuXcks/VBvyv5mo+uk0r94tvfRu/W9kqkndVXK
uwr9/t5dJ/J7VqZy/X73Gf79/cdqnUqdrGv9zs3qtOrfv9uklaz62z7f/P5+Zyj8/t1v4198wd27
BF6gqu+BmLATapmM2JSYDx8YIMnS4OmxgTA6MU1sEcL4j59drRVQvo2rB57W9/flRmt4wYf/7x1j
521gXv6YNB9323nZohEAML+//5TKanP/DlisNvr9O6mzh4krezfbvvSnjw+z9Nsunv/59+gvYN5G
f/MM8vEk/7dHu6j+F8Svk/XdpjwA2vyECyaQxcUj2mQP2swiyMTi8bOL+XS+9uM9op+A9YjiyHD+
I4GtdL8+ANDshJsWx5ySRxzZGGh8ghm2GIX9/ihMHnf1GzjaD/F4gAkYj0mODOSP6/TdRS31u6tv
UufZAcC2TzDHFAmLP+5qNAbbPKHUNBHCYhft/w/W9qP+2kAT0H+N9MhWwWqdH2Kf8xMsYB+Dmn5F
oMM+58IybT7a6FP52Y/3DvUEkHe+f2TI/pHkMt0cYFvzEyrAMEO29SjDwQDbMc2QOGHwsW1m7W7r
6RztR3dEPwHfEcWRIfxRbsryELtXnNjUJKCmrVd2r3kCD01Ouf3wBRDsz5X1dL724zyin4DziOLI
cL6RzabU8v4Qm5mcCG7ahIAe/gHl7mZmJ4QxEyM20tFvYmo/zi+HmAD1S6IjQ/tiHR8CaHFiggPF
TPGaQ41PBLIR5Yzu7uap/OzHeId6Arw73z8yZM83ZXoAfWzDDiVgSllPe3hsZoM+NhEXiGDwtp7L
6an87Ed2h3oCsjvfPzJkvU3ybpVBOO6fh9dCJ8y2GMMA4cPnhctsnWDY2uAyj0zpNzG1H+OXQ0wA
+iXRkaH9h1rfZ4cJgxEIfZhgd41MamyCSY0xyO7HANnI4JrO0H6YR/QTMB5RHBnAbpbU+jCGNTYF
JuA7PVpbL6LaGKLanFBh2buiejpH+xEe0U9AeERxZAg7dXUIYU3Ac0L4QRnv940hbWGDooaQ12gL
T2ZoP7675BPg3SU4MnQvs7TalJv+n9fGhJ5QRhkjJnvcwXsyFdSmFiXjCPZbeNqP8YsRJsD8gubI
kD6t1bcsua/+eaQtULmcIsvC4A/tuMTYOkEUERNCII+bfFdUv4Wl/UC/GGEC0C9ojgxoSESvIQqy
PkSumZ8gQTHCEOd4+LzQypCn4Fu9bY1c4zcxtR/rl0NMAPsl0bGhDQL8IbKpq0OYYfzBIRZQPPCK
lsYniFjcZmhUXOC+ka9XMN83yhTY99EdGfKrTbM+SOZZnGCKGSfmk+m9R3GbkKqEpMZok0/naD/a
I/oJOI8ojgzhWfLOy0rwoP95nU34CcOC2vipukBAzHpXdYNSF9s6E8hvbD8jI/xNrO1H++UQEwB/
SXRkmG+T6c4Gqp8OATo94Tbeul32ozR/ATo6sUxsgi032tlv42o/3nvGmAD4HqojQ3wOFXXpYdBm
BFHbRmg/2tvsM7fhHzQKoUznaD/SI/oJKI8ojgzh2024VgewzsDxQgzqgmz8CsIYakeIBbsZ4X1C
fDpf+3Ee0U/AeURxZDiDrNoa4WU9HEBh0xPBAEoT0VctcQiHQ/3Y2Cp7G1f7kd4zxgS091AdGeKL
ZJMeIlEJwVFs2ki8jKiAvyU4gnLvUQprMif7Ad4ln4DtLsGRwbpU+aaU6+QA2xiDWY25va3QfviM
nStkQ0WRDUobslvbz8jufgtn+5F+McIEsF/QHBveaX8YA4ybGDYyeyr/G5vbaBtOE5RyPgqeLCfy
8wrCz6mnoPv8+0eGLKigd5dwhuQQ8LITi0O5AVR4PmrkF+UGYH1hjixhjTbxm5jaj/HLISYA/ZLo
yNA+hyNfhwh70xOoCIIibesVvxk8KQrPIFU5rhuaytB+lHffZwLCuwRHhu52+TpQGLYu7+VBHGbI
VkFJAeLkqfDvhW5mUKtvmXD+ajeP9XbG9sP9yjgTcH+F8sgWwMVa680BzG3woy2o0efi0Us2zTHw
UFRE4bHF6Wh/T+doP+Ij+glIjyiODOHbOlmXBygNhGIE2NTbKMjTsUnQyDvhbpDgWIAdhmzA/nnl
53SO9iM8op+A8IjiyBC+yPS7P9Jgk2wOoaitEwiGYcJ/KOoXB27gtBWchLYYlHfv8a7eyNx+xPcN
MgH2fWRHhv3l+h7qEg7gVENsjEJSA7OnjOV4d4P8NimkqS000tzTOdqP9Yh+AswjiiND+GO4Pkgd
AmhoOCNHCSevFZ7gE8LBeoNTtLvyezpH+xEe0U9AeERxZAhfrkt5ABMMulhAeNuGDfyUkB5Lbkhl
2GCaUyZGsZLJDO3Hd5d8Ary7BEeIbp4dpKD7IVoCEpo/GdljGQ0WmKAW4xgOXj18dvfxdtqncvY6
0jsjTAR7h+bY8N6k99ndYbxpcQKhLyEYe4p0jwHHBE7jMEqIGDlVl29h6hWsXwwxBewXREeG9i2I
bmg69M8bYNsKYIiQgfh+Sk7uCYVuWxggOM+xu63fwNJ+pMcDTMB5THJkKF8nNbTF+udBhhMbglAG
JWNP1QYvQDZPIEQibAiI74I8naP9GI/oJ0A8ojgyhC835R00x3IP0EqMmFRQ6FbwqIJfGGEQKONI
gPf82O5gtJmn87Uf5xH9BJxHFEeGM0R1t/UkEBI7hNMM7QogEAIHJV8DG51sA2JQ5zvazm9kaz/W
+waZAPg+siND/TIDk+yf39xwOtoSJkjnHwVE4CjvhEAhSGJbGKq60SgEOpmh/Ujvkk/AeJfgyNB9
XMDOuvx2mF1tnVgY2s1Ai8BHEf6i5gBSlYJDUSAcnX347KrqN7O3H/P9w0zAfj/hka0BOGp4iHoE
iG1DJ6mfynvrVu1s8G2OAyoEBTjYu6BP5Wc/1jvUEyDe+f6RIXtVriG38c8Lb0KgbAwOY3D6Wicx
aBdpQ88DOi4Ym87RfnRH9BPwHVEcGcIf13cltPxMD3I+g0OUGzrGQRfIR9k83sFwJh6qieAfODe/
J331Nt72471njAmY76E6Mtxva+h0oQ7SJRBC3xzqSiwwz36guiO3wTCDDnMIcTwyzN7C0360X4ww
AesXNEeGNJgg7zy5CQ6hoqH6F0GUDCqAx7qZwUl5yGDxH8WEuxr6TTzth/rlEBOwfkl0hGDPQWnf
SX2X/Zjzf6YrO4OzGAw86P12OOSzwFBHNicjY2w75T85mmJJvA73y2EmQv6S8AhhP8vWRX2oXCZs
cgsDwA+fF+VkCIqNoJpUiP1NQWEFvIG51/EfDzIR/THZsWEvdSz7rJ6yt952FcO2AR2BLY1/9Gwf
O9+w6Sn0A7ahGOWHrHm6iuENPL2C93iEKWCPaY4M6c9gptcHiZ1CI0Fo6kvM19piPJQTwhEfao6q
Fd7A0n6cxwNMgHlMcmQof9w2KDtEj0FIYBOModvNUyhtbLOBN0bhND3I8XHN0WSO9mM8eqMJEI8o
jg1hiJcd4vw0NMGwiKDQfv+1FmUP9jq1oHJwJK8nc/QKwrv0UxDepTg6hJP1wWKiEDfbtqHb71tD
G0lLQHP2Fx0vsqkcvYbwDv0khHcojgzhr1lyCIcablhgcLwSaktGDjUIZ3jAEPSf2926UxnZD+sO
9QRQd75/bJDW39b/vBENZSYITuPA4ffXSn2hMSi0XudQDjxCdiI/ryD7nHoKss+//78A2V+zuPPC
27vN/vgxt3uCIW+/oQ7SypRCSnK/EAZrmSJQwoD7vpwk9PD7ebPe49GcfTztR/U57c47Pr7iryfl
MLfOvX4j3c9r/rx1tZ49XBD47FK6Xz99eH2423BE+nSWac+E/ewfsbz//T2UaBLQgWDh/rx7cDvQ
zkmov68L/LE0dik3UPr/+3u4b3AbrobWr5YNfjBl2yMX7ebpEeQv4BGGrmLERva28WsKveBDuMUQ
Gg3CRThwaZ0J3buhLyw80ln98AhCo9tm3+LJVqP050WO11nSB1n6c2ae/vwurdV1JtNKw8Db+Fr+
+L0tvzZcpGTCsXzIpUFtC1yxtvXQ8rv1zfakLkzE/xjcIHHZJdlV3dN4uIxwbkcraLwS4VlVqeSa
yaKpXJXYKzsvruuQ31lB2M5KrG4blGSOQuqiwOXXpM/OEp3eSCW9ysCZQyL/ktv2Zd5lsZuydhGQ
JvBKHV+EZvtliNKNkLpzsgbr1o1p9sEOhjlSVuSEQ+LUfhh72KodklTRZVUbTgcy0CtJk6Jv2Iic
rmmDZN4GDUdLuA+ylGc4plWwiJFhDY7ZCCodlZOIOr5hktyhTb5kkqlFwcQZTfhg3RK/YtLxVRvV
nhBBaF2UkdRfo9ZPvbohCs+buokGt6qjc6ZTGrmJsHU7Y6VteELzMjqNU9YMs6IMzGKmoBw0cJK2
+1ZTFTptkn5huV27VdgueCPKRS7pOvcz32Nt0X2IeNLOSZ1dSt8sXKwry8lDOSsG33RCQWaZ33zC
pv/ZKIdlxYybhik3bdql1adeY1QXXWtfiYb2Ds+pWyb4ptdynRvZeVIzw8mq+rJmaeowIz/lIcud
UqCbpjaW0B1plvrFigf5d0xKRxntKZLVWUvVaeAXF4FIVwp3qzorv5m9vhFhcooj+ikWjRfa7NRH
wRUNG+0USf4xyQeHpdJLcnPR2vqmrLhHunYZUeuLYtQxBV8Lrs+SqK1drgieReJ7irKZldAVaetZ
m/GFlQ8uyvSlL/W1iKuvpR48VnMvN9AsZeFqyNQV73tH2MMq1dap7vCXoc0uGxw5lkpXgKWbR+1c
hOEq8rOVJuJ8IPYc/NKzyI4WOTX/wnY057K6zEn1Lch4NNtCHzBxa5XIlQotOO0uUKMrpxbmqsah
1xfRqqT4Q9G3bjUYn+yQLJNoi3CdeXmslhpxh0vuCL/YCEu7TZp8YVH4KTPDmyo05n5uX0Byc45r
tTKjJnFojy5aq/vWABOuSJEXp+jCb4YzzpBbhtVFwNDckN1524XLTKvC4X25KRm+aUR3U/axcPyg
sT8wu1xI2oYr6luXvY3VVZmY0VLFSRE6EmcE5U4D82V3xZVJ7YsWwZKqhbVMGm24BW1zL9fivg+6
ldkpz1LkgsngQ1dU1Oty6TVJwjxSFH9VUQ/Lj1Avz/1FVzT93CD+X0OZXLaiC+dc1bdx68+IQZgT
W5We4WyQDorT3CHKYq4Rlp2bN0Y6wyG69C3rxipl6RqWqpyoA8SbSFxHubHQlvLyJspO8zA2XEOz
aF506LKK6kXsB64tMsdsdT2D1QFoYVw5otbXhR/2bmrpc0yG0g17fZ4oeWX58QUpjAUi7UzRYpVj
LJ22UHe5pQCMwfBwq1sv8nuYrIp+sBO+zKqIeGUWESeN/djxh65yjah2M7hX1MWhHTmRzC+UTGon
rgxX4ezPCq4ddXqsGtdQw6pG5LKL5T0lReQYHJ/6eWo7nQwjJ42aG5riz5WgZ4YdnHKjTuZJn+au
KdtLKFDrncYCCaCMJHdFntYeLvzaaWVezKO6v8gK1DqUyKs4Lj41tKZuGHa3AbVhvSPppEblNjy+
8hOYmrBQsUPK6JNoVOoKGQrHso32YshIch7aNHafXyS7o0/usrwvZRA+3Q3884//uc0U/Ptws+zf
f7m9WvjvPy022Tawq8df2ur+n9/6+3bara79eVXtSIM/3k/8inr/5cM36X4TFO7ruv+hB/5Ltb8l
+qn24ZphaEYHtWXmNmoGWvpvtQ9ONhh3DBonMELJNvn5pPa3HezA0odSNChdgaI1Csr6h9rfnsi2
oQcpFDUROEMirDepfQFu367ah4MoYHtw4I5Brn3L33O13+SdttMgJFe6s0x36Jpl21uFhyJCnJIW
84zg2imr/gvDA/F0YN2VhF9Uoo892/TVPOp8a1GV4XnVZqaTmumlEZmlw4e89jrdrLqSas8SJVxk
nNXfepF+DWUw61VyE1vRIu2rM0zwTZHnsLWKvnZEjrVTInyRqth2AoN90rHIQOGq6nRo/U9DFn2x
g5A5WTZ0Lu3UlR2QK9TSmSiyM5YUy9geyHJo/NKtY8zdJuwWQTzMMM+/W3l4U7eBfZYG/gKW+Tcu
QZvo4XOnVebEWGGH4Dh2KGgTj+S+a3ZZ7bI8/Nyi+q+4ayw3jMNTXGepk2sGOjMExVk1VerKnKxi
VZwlMYiDtiy/F02InM7IKndI+JVUZe62QXEV2U1+1qkqntfSDzymstiJwzJwhRn4K00z0wtFPVCn
sIbvHDfxqrHY3SBhcnNfhR+w34NZoMtNWJniMsqSpS0M7Pg47xdhqvmVlp2aMdYCanVoOWVQBW6s
utaJgjR0mgjRhWy6wKFlY59aHQs+mAFBiyGPAqcIZOKolAQOadvMkYoEM7NPolNCumRmSIkXUZgM
Lhksh9DOhiWQZafK95GHut5cJJaWc8vM/bnVkmRWqgovqoyoWUqiC5QW50MVXYGyW1Z9MHhS8e/+
AIZZxJQ1M7QkXl/30Qz5rF/EdZDMzCjkMBGoB1OrEIsqogHoi7JeCKwbRwVl7pkSyZu0ZXxR53Y4
g+RDdGqavu81TUIcTYjxIYGuzY4a4E2LjlJHUpPOeQDiMupb7vRZkM8MVSMnjmN5ZmsNFioOb3us
r+vaTGehwXswo3K4RkBrR4bUdvpCWGe50MQJUC+dfthOkcTpX622o09pKJGjQ5Ge9nXqO7gLMifx
U3Rl8zBwwnzwHQnzDvLZqE95C/ZH2FptDaaOvI+VZI4ZMX/WBMo4NatoXtvJzPdT4bSK5o4SaekQ
iyiHW1HtGFHLvTJXiUubiH4YENiTXX1DWxXPNI6QdBOcrGLoC35qx8X3Kh2+VagJ51WOaicRSXkp
UUdc0lEvKQu6pH3rX1CDNQvup9YNNurPUmSV4ZlV3fmLEHcIObLO71rgig0G6MgwShzNw2JhyP4W
GS2ad2FAXbC8z1KF6axte+SIpl7ClTm9k7MBDOkkmMk0Nc4MyzyVhHxqdFS5OghvVRGdsSi9bpl2
DYNdavsvn+HzOqPNn32cbFoKBq9lGE5aosjjbd1e1Jqlp0JUkSNLGTtBbF5g+LUwD8+bxvpexBy7
aEguzdZETiPY54GnliOjgTuVVvea6QBsf7XMov4DNDq6qG2p3CxsiJcqni1iiRpwMkLb6/qscxrJ
mFPC11ONc5dpMC/7HiBEhbqqjeBj0vl/mVn9NbdAPHAzbzwWl+eyResupnSmYxK4jc6COarRAkni
FLFVzppIY4cNSDmJbi41b7/UkC71mGFdi45xJ1MsXYITBd+szMip46Rx8yo7ryPzNOFN6jaWP4/M
rLiSouqdKIlMx+iEV3XQZdensWM30vNDTL/Gfq3sWZZ2lymu7jKLLdPa/jPxlb0E69eJyuFbh5rS
qbPuFF46mYfYrMG5G7yEslUYgZQRmeHgEnw1YWROk6FTo6CnfVt4EZZg9Mj2AziiFwnWxPVl8q3i
4pSlZIWCfGFYxSJoQw8wdbsEwZ/tdcildLWsv2vJrpOirWZN1i8rZYWzmiVgJMYffOUboAtqNyH9
eVglH5QwPCTD2yQOZiFNT1mdgKum5G0iK7fGtHRSXzNH9cOpz9GFTFxugo+pBXYJNjd+nfYO6DGj
X2iONb+WYDO7AU1vTFmWs/+LttFzK8eGbfArs+h5dOkxMvUQYnig+mEXIegqtW1IYsKtczZ0W34e
DoFi/W2TfQpBCIiObdvE/bCLwGJC21JucxsSgwvtwGT6YRdhOAgPA4Ilw6EdAtxW+Ba7CL0wiwS4
v3CXJYUMCYGSFYijPzeLqoFkeVHX3SptiZg1rR/mTkYiFrsxa5sP1LD7s6hr0nhmmuCpVpnVfIot
3RWwxtLiy7PZ2xOc2bZL2zXS4Ag4XB8CdyJbEI2CG9F3ubHSPo9FWDcrXKRoBdYMqJWaZTR0u6bK
hNO0Vv2VNbkhQTTxqnCLqIxBqg2aWS5Uvqf3oqrMKxgjBK8iSdCnwTY4WvTU9jeoN1A3/zXHGBKB
LziGYBf0jgJjFS66MUccSxYCtn21Ip0dBB7thuRTAxknMq9Yn9nglnYgvyXzuTMwutWhsUkWqil7
5JVNVt2Hndbg4hm57elKZo1TqdBsHAi5wJYPsii8jmtxprQItQcRc/FZh8V5nLR2N5PaoJeyDBu1
+PVbvYQBfDkTGpXCVYlQlvjw0s9CZKw3gtbIE71KK198zgKOsGPFGJYGeGvddduV4mPuo+TPX//s
dq09j8zBuUKw0RmB+2OgDQQmW7ae/axtdoGV6yBdpXxAKxSHNUQ/SldyP/z861/axvjGvySg0z2D
cCQkGvhoneWp1Q9FGWYrnpvWumizMln4Fe+xE+fhzCzqre1n9jxzI2K36r8tmu2i2P15WCjQGdSC
e3LgfqTxz0O2UoZBquSKFbG9VlFtr+Nky4M9KD2jZZY5vQnQL1pQExg0Z8Y2VSL0shW9ddFRUpou
aSMIM0YsVZ9ImWPihRAx2uRGA6aiMSi2jSFY5alN6FA7v569bX/4Mf9sKzbgDBGGDpjWNsT6DCiT
1nZq275xiWpfrWVZgWWBjLgCc4P0fRqctaGMvwVc5BfdUIRzmlmddDFq2PcKzKLM7cOAuVYWNRtZ
Enbf2HnIzn7NpGW/ABmsQ1hE23NO0InAZpAues4lLbk0IchELiOryH3BvUqEw6KrOiLmVVPXbtkV
5odG9XbthGHI3BKlC43LHMz7HLsQXFI3eWKrzmFJG3xpI5Ute11VTm4X+SeqY+75Req7dRZFEiIr
JGodP9Lpqs0NfVUYA5kFARJgKQx+qlzchOrUplVyg6PgOuhT0kFkjRWryi9uK6wM4tEGw0TKHoNs
sOoBorotjy6S0OZffbO2zkIKOn4Iuka4rRlaYL0lvVwavOyV0/Z88FALgdoh6u5yXVQfa9NgEJZV
FZv7uqiXlo/xbRGiNl74zIBQyhDG/jc4IVo2jkwL469aMQhL5RovwZDOl6gQyb1scrDGc6Lij1L4
HXOawgrOSr+s3R7mYYEsLK6KVnUzqy2LOUJgVc0SuDAIzL824IXb4NCfKU1Kr87FVegbgekhlFWn
oGpw66YmOEa8YsmfnTLDc1yK/KNNKntRi8jAc03VsOY0K2fa7KJh3sQ8mBtdZ66xTtrvOshz2x1w
BbZbGuAmmHdVlMHmaNtZHzQ1n5eZH3pJRdRpCl91QAGVGUy0apgT6SgyXOa3zGGZ3Q2OVSW+Syoj
VYuSxrPAqnvzQ0uQ5UldmokTwUqq5qRqhV50hHUXkEAYEv9D3RaVUk4vIcpV3odgf+Lhq26NjkFY
XJQgyrM73KuoAie6ruo6N1dVXKm4OxOyGBaNqCt/qUopcyfCSfbRZAZZRj0htVsDBj74YaboAC7F
uZf6PujDKonbYkbjNjAhFl4h/yosTMqy07hnYHf2XSKqC6orAiuq9TMEKYcadOGcGmHkXzWwdWjg
FjznsOBIrNU8TWQpnKQA5eXPukZS1/Ahowc+oG+mlptpcB1c8Nhbf94mLFEz7YNVMIeYihpcPtgg
MVMcW7WrwtJInEb3gb7W0lBqlgWSfzfqhknTMzNcLaTFa76yDT/wz1LCKmZHbtrpYuhPNdROluEs
h8iHmvm6GYq5KHUq531CVX9qaq1y18Z9Il3W2X2yKGUhDRdgxV+MXA3IgxvcY+XBf6ZxBe6BoWHK
0/RLpJRQS1KKKpnFYUVvhroiZB4ZGUbnYRuCc+WwEIfVwi+bPP0IypicRcGAIYCRAwezDJy5YcZR
NwiXR33eXirew9I2YKuUno9QfVYS2068wCcBOLlpA3BKpsE+SYeIDJskhmIkjwMDyiO9CoslMqV1
GkgWUxeiMQXxZCZ9b6h9iAgZbZlDrNhvI8slsogGSO5Eg3Fu+ok1R7kf2MCuYPkM9eGQLcEVb4NZ
LKywdbbfc5CQIoXlE5DC7VppDE7VSeOvEppB94YjYR/hFRpSCfFr3lgGue2TFtcrmos+81JRVJd2
nYJKCjSLgUAoArPlyxClXweUpOFZAbGtbq5be5DnqAqqWyvC9truwIdxOILFO6/TjpGZpoME5msU
KS8hRaxdDiF0iGYUX5O2BcsiCqLmo7Zp+y0vQ3LasDbwZzy2Teyk3Idx7CSLunlaNmg1dDmxPujK
RreoMuAbLTU0dyvUs27WYBXJ07LDuF2mLND4ShpMfE7NYrs4o6jQC5boUF93vVVx1yxawCZsU2As
0yB0z0GDic+Em7C6FUjJ0oNmCF22rLTw8XVU1nF8g3kKeYXOgvTOZdVVW+Mz7LtrOzZoN8taBT8N
AbsBPGmsqmFhxmz78lvWW5BPwFeu0MqyU3iLurBhqsI4iwdXxA1snTwJYvkhLRls+bIGqyCAZyBT
cZWGVwWy+jJ1SB6aAHdbdvWlMsIcIjVmXXTzDu7hJLO+KfBWaMBmcuGNQIB0Am3t5CpVn324DeqM
NxJSODyEKInb9QFdtykBNroy6m9I1Zn6PAAzNzrP8jSOPnLQFgudmmhViKD4CrcH0cIJrVDis4wH
oj73wyxovL5kRQsGbk8WOYZpdU1W9HdxEtvXXa3N7LQw+yb+Ahm3QEMYzVDf+0FsZYgsktADP4CT
mcR9qOc5VeKLsQ24qjYPCodZIOb6sg1vZFbpc6HiCKJxuMQBiD24DdxpQiw+l5HRBLMEp7BNBsMn
YmmlGSo2CgRyfwb3KcDeaLcSexbZBsxo1wzNDJRMW5yjEtxo1xdJ1YCmJY0JpncR/VWKRtwaPZjp
Z4OoSnRf6bTXEB9ArFnKFsNQnULh4FptQINlDrC0rhELOh+ypqkuu54lH6NGQ0qL6VNLdRCEHFoK
4MQm0sMiT+Isu0xpZ10YlWlls7BIVXMe9G0eutzWKrwFS0TfmyIFMQKiE+KAcahb7Yi24QVogb74
mAQFkn+ibCC8cQawwPpPeUUMAYNpv5yFzIiDM8PP229hYBqNmzBN46UUJvrQacMfFmVdaDmTQw2L
VGLICV13cTLYKwjAJYlT5I1JLy0UWp3bg3WjZ22YA2otT2XglANTIDu0TmYQWetKyKJhXi4GXsDq
j60uYF4PMVzt+rmmxZfW7tFtFJaw1kDTic+w1pW+TiErCAIW5wKylSqkrdPVXzGvW74NUzbsk43T
ovVaO6isS8uHENBN4WtRgnKHFT3LJQE0wXHouwtJqji7YGUekmvcmQld+l0m4L26zggu49LIW09p
H2QGWGN1dZlALAjcSBEHcx3yOPTazjSXfWHBvu8hWSEdyw/Z5YNV+lTTcf1o5D/WIzzP8zxP+0zJ
H13KuzLT2fdqnEDaGeh/W5Zpe3b5mRH/osLkjwRyZvfr5xGYbWHKI9mPeMr2DOy2Qw0Hlc4twsA3
+VleAk0gGYRGTAKxLYIwPHqKp2zbC0KdJwFfZXuHDpRt/x1PgcZ0cB0HVJRB9zk4Wovx2+IpL3zn
bcqKQt9/qICBK8zJyLXkXVCImof1VSSr/Iwnwros0+6cp8n/Y+9MdyS3sW39KvcF1NBAavh5NcSU
mZFj5fSHyJpITaQoUQP59GdFue122T59YODeHwdoAwZcKGdkREgi917rW5u6oPP4HPd9qRvTHqRK
OvdNqEl79zPMa6tdXaC86O4zMcjctPbecHKCLa52upugvDoLXQC4x77uFpLD49nxdhFHFJ9+wQdG
ciwPXBTZouWuT4ZufrR8eMuEVbmHwU55ggqgKeA7kdOyee5EB7kJVtjU1qe5a0sbMu9gvPE7iAgH
ScJnexsoNEdBm0HU5svzgBnKV2EdtzdpJFH714/DHImhSnvr74YghZU+epBzl0yWKoKP1nV1mIcX
TGQMsqs2GU2leVBQE5od3YZzSsWSL5HKdkvnttxjBiWFkOthXKdzME1ZYaR+G1d+bYO1Er4twym8
8Qm/Wp0RuWmGOa+xFOZNmhbrDMdc4grnnHkGVorh39mq4nfrmoXtNAUtgJ4I5aqYgkM2zg+ijR7T
xpfzcYiFZ+5reDcHdDWF1CI+aGon+RgbPxtzMbNkyaMEJmAUrEuTU0a/Q2Nej5es0X6WbVu6Xt7Z
ZjrHZDjJTpy1H16lxtupaT15fVwqh6VGS9gerqD18HWV4UNtsrf/L0vM/7bFg4Id/PeLx1DLb39c
O375qV/XDoCGiOVFODLtcr4p1ojfrR0YEZxAoMWZ8z8UVyxUv64dKeae4R8fzBqgMeBr/1o7UhwM
EYMux8yzDMd8QMH91aj/aSsAl/fPP/+f36FpSIr9QVdBdCyE6hahjcf7DC4Q3O8VCz4ma9NEaXfr
BfqN1wYl1dx9Diw9dkEv8yZ2xTTOVUJ78F7JzkX8OrP6vKY9ytC118e+1n0+c68YkznccervfBU9
rvUSVmkCh3fh9to3rIw9hd4kMM91CnOnC7prQXVXLN546Nrpo4/hm84B+crCeioGr+cFp9vVli5f
2znQRdriQcQqXMV2oXlgpav82evKsadbid3bFMmczQWxflwYJe1OKnsXWkrLkHdX80YBknDzGkGL
KVFWfVV+fIJMN5R6A0nDl6mF5xnlVEC6kkl257LgZWEOnmgK40sIb827xOCPcVMXjg9h3vec5Qk7
RtzsbKJYrlHY5OG6PTvBb0wirwY2XAl8plzZGn52GD6sdVsunPdVK8MbFoRPzHYG69Dc5xjSACF2
WqD1tF6aExId+sjWBUuHl5SOXhH7ls/gdBZd80cTNsM7uoln68h6ZdLpFrzTtO+CFZKBHt83jpJR
tvt+WOOczFTlZMWaPEcszAVLbwQPnyMNk3Wu11svJnHVtrMrQ+p45TJU63zMvL2n5ofIE19px9Qe
nUsRoB+5UvGH2T7QtO3IEH9MNlL7eYRBPU+8Goe1V89ZIORj53dD+63m7itQqwcX+Vge50GBYhpF
mn7AYzwz3N9H30j/sJlQ3YYjy25Jz6aTzVhBMqysaxIfzGib3Bd+XQiS2XPUOBRKterXPTSfl1Wu
ZVL34iba1DfUgeHBVzzTACxS4X5RIf9fl1L/+9Y5Co/hv0dx/pnm+/NCd/mx3xY65CJA4aDg8dGQ
/LCPfi2SLmtgkmEUJyZ9wV66EDe/LnQERRLOdscoioyggrkgNL+aTpjVCiEPWQvYAsGPv/obCx2K
rZ/kY4rEFU4lxWqHaQiXuuznZW7zPb6Mo5zPzraFHuecTzSv0/5/kqn9P9ViGZDiFCVfhBU/9P9o
bgXo6XTckOHszzT71ArtxUWfdDBLsdDTEVKfnMlxmph7bEK08giTkJcmTfjboJr0NHKbXQVJD/kT
dsx2J2z0EFm1QD+0PJmulraZovdl03F6tzK9LLsmUKRcyFLncet1t2vTTUFVD4MKoQ1081KkHmfw
7ycmX+vWZhVN3ehjDfxCO7KeEzJ0t2T2h64IhrazO8XALHQL8IduUmue1KuKbv0loO310jW3o2lX
yEJygzB3ByLkG52Gr1JzyL3+U7LoA0y9PfVitQ99fApvqKsM/nnWV3Trj8xaXUYAMcppDMrO6u8i
xdowkHMQDt/naHnsAqyOKxmbt6RVU5nxdr7xkmE8a8g1p67Oboas7yrngDJJz4u+E8jfB7RNPpwj
PVT9wnRedx6twjW9iUx2niRIRBemS8lrB2ZGJp9s4L12odAlDA8KyMjwMMHaGArcFqwHzuTXFfxV
vIQJd0Ebj59GYqKtjFMpHia+eHDPg7HKNn97JV1t8S2GyuRTO48l8UZbNtQ96NikJ+EFwfl3z95f
7Nl/4f/h5agf4Eg/PBy4rX++l7UdNedbOp6nqv9Yxzx4dI9J7uW6MAcJdDgXJa/6fVKNlczpieyi
Cqxk0f4P9/ofSof0R28DMxhHeqPkISDdfn4fdBvXmU9wtFjIT7YTW9FyzfJhJSEUiDar9MKi3Qhi
AAB46t/wZGSnANcobnVf2MSeM+YDrQ7du0HbvJtCSDDGDDuWuvcExW7eME9cQNEXYNAJuAhtQYWA
It1WbGOBaHrs11tlo2y/BrJomCs0SVnuaHZwUQByNNzjgK0g12bETZGRAsTmodkIGgUy5sofANDw
65C1Im9lHZTLAJ69b6YSD/F53bJor3nT5lPEP/FVHYKov5m3FPhHOkBmw42WZJrsZr95/PeX+OdF
BN8ssMUYaOPlvHvQi9llNfud2ZW5cM2Gno1nf+mbPRaCDh/el4VXi4qqGo2Y5uhpf1vR/+quulhT
/zII//w7/3A1vW1JxqXl0xny7RsF4bfNXJVuSqAkzTdKMz/n8TjkiUZT2YHhprDOrx1AuDz16LWq
01e/hvYE/Pk7a8lu0PomVPG9z9wXyvV7v9a61FIPVz/e+H/25EtK5Lcr+Cfh4pfjq/+8Jf9I/3/8
kn3BYY/YhdBBIJuBXZTgNvt1S0ZiJoPvHUKY8PF/XBCRX7fkBFk3OJeYyYnzL37mQCh2a1AjCU3g
JSPK8rf4WJxm99Mth1gMVAuK5QPoPc2A3P5hU2570IObYcmZbdOJG73IG7OGNi6afsEGVsp6dvt0
nSYYPD3fnlV26cZVJoGfmUa8bdH0CE/DlmKSbbGaea9XXraOQ7jwZViqoItzlTWfEUSq80jSurLe
BCETciMIYVPEnfcGAf0BPOzLOqugvTcAUh/BKh6ydUMfwIBFwc3hfu2dWybTNdeLBnvp8Tc7GHHH
mKjjO9HZ5I7KdBKQZpmL8njujCop6335FMNY27ExQ55n2gJm4NJOon6eST/BtGzXlzbMBOjfVh1A
sjf2EPrjDRyY0zrTB8qJBdAln33XPc0ESJsSw5cwrdEviPkz5P66GE1ToRz5LC5K9OiRczyHL/G2
Pc+iprAlvWtv8UqvJzLnNToUMgxBmdoVHKVMSBUQ8RKyKC36uH0POX1s0/W2acCGWK/+GmbJUz+T
bz5p6mrq8aXQ1NwnUYueacNuv+L185AP7buNIJ23a33wXbaWWgud9136pLsg3CnZylzC5cy3JjwI
tFFyWcYSS8IxEhGEjR7QMTwIl09+iyBDo2GY+fYUDeE9Q7SjcJGAM0PCg2ptUIRpuxaZ3cKjRV2S
e7P/1VdZmc5TDweRsqpNpn0vsw8u1BWy+FcIq1yYDqCNkcseEwbCD2zLbmPeV5q5XedvR/RqZz7C
dgbcXA6jiw+9hNozseG7Ud6Yx/Xa5rPXf1lFtpWLla+4pU0eZktyiAmQY9xe9yTQJjepOhvaeDlx
7A6WKDJXCjEYETywwfOKuYNB7m8jLYArTxcAGokf9To3IXYkbk4GV9BM8w7KUb3fKHJWsa9V5SQ5
9ou93TR9CSZzzkz91BjgGLU/PfdcPFwcknLw533AYw/ZIBPBpxgfbMKeQGfeOz3jEQnqoYSqxfOs
rm0ZjOxuZu5gO+Ydo837MmpPlD4Z2r2lWO9dkHVQuKAecjrt08QnJQwhd1JDctvA09uplK7FMMuo
6JfOgCZer2kbfIUCd6rnFM35VN/EzTDCL0quoFkFez+DyG+5RieJOAoJmo/RH9adzcxtNpLXxRN+
gUd9yRvbI4QxR997OzsgMuphdgNSYsnBXTS1JLl451KBd22XT+Hq5MEjuDsZH9Z86upvnQ3dfk6S
V7rSxzDAFV5UC2J3DI8pBOAyStNrsYDujomGL9cTslt1c1vzGEpF+9B3yxkRPC9fRRLka9NWdZ/d
hVzqXdyh0V6HNSr1uNlcy/hpDfRS+KP/nYXk3Y+6L4g+HvUa+XnNDUU4LvxGJu95apKs6Pv+uUdd
WYUZxFJrAsSM+jdlyRX1lKVLDocXamlCtvg+atIhAQjgW+Ar+nO0QuIMKXpbVMT5TPVN7G2mcq3a
08V9HqPwTadZdMh8ueVDlty5eZFlakRakhF0dkwimUOb/cIsmxDoM49CGuCbg98dAP9YcG9tg7U2
eh9i8mh6GJYrbArgtGwtYUU2ZTMMspC1f17QyVctjb4tzmalpPFN04RLuTCVHNpWZtB1SIcAkc7y
3l9B7ZP1i7fgSQ4mCBs+W+m53miNakFvZeohChaF+mGVMXr/NDFVALOsreWG61TvDI9sWdPGlrYR
w02frEfbs/deblvZI+hUge7jORibrhjG5kucyARAf+MqKtmOk8geYjnqoxrIrhVhXYok7nZp6np0
RbXby0a/jymF2+sBoGV7zMAX98IDjoBaK8vttPp5Zvpst3lS5TG17B5Zo2GX6OCIYum6QbBrZ/om
3U8a6csVGGXBFmtPYp6/ttpvdgIW2SlEULKgg5urduPyIKR0n9za49qs1tvRFCS7J3FdOSzlnJrl
CI8UxX2QuqKjsOm67MQyd+XVrodJPIw71rp7eFsluIXH1EviazdpOKWzg+S82LthFk8ydBYbYtDt
BqQ381l4I/Ay8yXWPRh/uB37LTVw2gJuCtThWx504s7U4Z1kzi9bVS/7YXBXkWHXrIvKVru7BenS
Kmq0X4YM2lKdjOeMNl9S2X/uJrbhHspYHgPiLNGEnVSU2orFfCm4013u++szNKQP1Xp33Vg/ttxT
BaC5uGrGIM5HMnzrXPKd9z7ZmYhM5VgTvCTw/3Lt/LcBbEe+zPWZZbPaoftcylWPrFCsvZJp76O2
b/izFl1Zr+wthruYh3h0gY58R17ijUYeGgZzHtBFl8T0XxgNswrUQgvWoHueVVrnqq6XPPS8e+cP
ful19U0wUIZETHvVjahECPZU6i1YwILg25ZOwKPZdcpsv/dre0IUISt16+UNlS+9Hc+bDCUyiSB1
RkAVuKAnPQVXtOu/ekP6fd28OY9XdQQJdWBT8y31lt00K7OfQFlMA/52Vd6z3/hAsK76RsCiT47D
1H5kc/MZ1uwl+OcDLE+OSLxc7pqUF1M8nty07jowHoiZgFtthulqc7ifaxaOuzAk3yJotHlIk8e6
4fifsYAvPVDusQtyAvmsAEBY71G5vaMCO9Yb3CBUOnlk4pOjqi/mob6NdZqzbH0JIrw48sdAfpqr
do3FPuoN8svZC0+YLIZen/2kv7sUMUGEDS+TfE9F0Jc2jc6I830a11XkwwR5z0P4eaiza5hCWRnF
+mH2RigQDQ0KR/o9sHlXIo9axcHagxge0nyCCLtD1keBd0F/Ho32sV80Ploql0qg7szTrq48GV2q
h/GYROK02ua7CGi942t6a4Nmr9x+ypCDTvcjUr/Bdp167ZPoljb3CHg3P6X7plmG3CYoZCL3OUrX
Xbzyz2lcX5NwRtSS+QIXS38oFV4gjBW4wOAv4xUenyduN8jeJn0O0MFusYJ7PVbpIeII/CJgtJi2
ZGk03Mt47G3hS2ROqxo9q/ciFqX8YgvBo57aDR85ymv48MtOdYtn78EXv0uf1l5JmOI5d8lag/Rp
T2oFy7tBC8p9D954xpFWUt7OS5qhlK237mqiStK3c8kW9QqE31UyXdC4WR6AZ2jAdsrHlcTbbooQ
8WjGF1LDyetReHmsNruMZkeRkA9oQHdbDVoLwee2ELXpwW/jCWlbonO6LkHuIdSB7QRWWetjY5uw
peH6Xa4davM5sznPxLUeIZB3Ayk3k5wXU99mc3INsSHL5dR8BJktp4xcw4hEdaOGz9hbECvruqKV
6aeprsnJzP43BzBs7xo/zu2SHsgy3+nYwZa8wJdoJXLUNWsZM/l1XPtDBN+tQLrK7fQUXxMNOrJd
MBshWQraq/WAdfc6g4qVWIrNDqGlw7zgiW5C/EI6iqIl3ZRPwYLyxsU5wl0AUFDtZkH73uq6IOK2
HVqsADYH/3GkI1T2LF3O3iR1Lgdz29PmKwJyiNMEtlhtfVbcP1PI6Z1cziS8jU0PflOX4+jx0+Kr
FxB3RyPqN5OYT0OmxrxxfgXuYYuTx41PBeres9Xhez3AYpw8rIw9PzqbuGMzd+94g59E7cVlglqw
Emaor7AqvJNeLS+9W3iudHO1gQkqJ6SDC9u7m3WxITLMweuw+B9b096vq/xoh3REvMbgTsjeOqpA
P4iXHtjtf0T2X2Zd+BDq/vuG/v/2H1/V+BcNPX7qV40dXTscQ4h/KcFYfRpAo/mtoUcWNsR5lZfD
7n7mENJ/JDiCGEcRQ4DHbIzf5zowvh/NPAGT/ksWNvk7XiLMzD/286DaMUwDTD2St1An/yAhqYG6
FtXRdOt30RPU28dwolc9me7bDRHUdSHixP187QNyaKxtyr5t2Y4tMbL/28xyXw9Q1CzSesAFH3yC
MJsYLtU3MXE+ueDe+BqhgAyvJRMlqq4ZgmPGxxAzHbrHMZFN7qRK80BtN572MTZDNgiGugVp941i
IoRJmqpbQg+Z2xW7kuyfEjAKN5guIa+bS+BdxaGGkQ8fK+ySPZnAEKSLWotYIFzoRvkkZArAwIOw
7Y/TUQ8UWqXhSJ6BKUxI/w3k+TOoXS/vQnpQkffouTbImZ5u3AXQc5R/hr7S5JrOthjVWsnx2ATX
AY++LuJjjAqT8YNSCK+uywwK380NvpG2K2W3YYty01ANtvlYHbzUzYxfZ7OeAoOWJ/PxgcaFHacx
vbOX9sDKynPXswlOG0nfaRMfld+QPLPIvsHDuB75iGjWtuVkSZG/2YJb6NwdpI65ClIflyRKptxw
Ph2TkfhohPuHkK/kPvPEF2xK95NMgeJ1UVfUgQh2oVZhPiVLsIti+MUYwWGgboxNydo1yEc/vQ5r
cbQzxEusoWWTyoetneDruTmodITwQDqBSIkzUN2QRnXFtVkeufERdAtQS3iqQW027FFOn6Y2eSKZ
+wg8Lve9bXMDb7FZRIbuSLQ5Sl0UFGQ4YCMMi9joUxTgs7hR77Oob4qWBdK/G4iRjynT+MXjBM9V
3ToyfqkVqrFw8e5wg39kqlao27g8iTZ4HfVyM4JGLj2kQ1FgRt+2df62JNbuJoNNXk8pOwAQ/tzj
EUXBGGKnALayq9f5kYZ8uupT/7Q0zdvgMDpDBwAylNgr6DPa2gHKR+qj04F8r1q25qg1z6ZxeHyW
J8HZZy2S9CAjINmN1z9CZBKoNOYXHSXHVhtMPKDqBCykg9cc97t0kseY00+j8MUJEeo4bxv3iNdc
r/VCFxCaSlUGei6aOdC4ywisOsguF2+LUIXELC4DRl4m1WDJd/OcT5OUpymct2LzENIUttaIU3YI
YG+TeuU+4wcpxHjXQPDL10iXm7TBLp37Z7QVTc6NAADZQHIKoYWAXJQV65oZMGZb42k34XGqlchV
E4tyDOej71L/qFNxTALW7WO8l1zHkc2xLJo8BcSHTKvDxgXnx+hDg82tUQ7zLhoD2KjzAjxpBNMl
/HDLLREJbCRo+iQAbo3/QDDyruFZrqblU7A1V3Sc0afAjSDj45LA+XJTvxceZlTInjlMqwjOyzZ/
qhWVeWfFXU/m+5avz2m73Uy9e50YmNAWYbG8V80zAhUnsvkHO01PJo39XM/Sz5HlRhXQbdftpKvE
H9Wut+kEVX+7YWN030rbVdsaVEk4nMJ5lug65++EsveaB7dIrZwRsrnTTQIQYpk+M0bRFbXutRMo
LiBgpBWI4vepT0AaWlTqJhyelCBXm4c2felw1yBVZdvnaG7ooSaxjPaYUBhWQiEPQGtV/keT96HZ
4N9/t4Ujm/mx4Ljx6S92cfzg73fxy9Qx0H84+y6+ZDB/28Uhy0MJD6C+x9iwLzTOr7I8Duq4HNEB
/R0M9c9IUPIPkEXYwwEYYfeApP+3tvHoz0hQdJmNgd/kI0iDo/d+dp8kT5HvX1J16/sdPwwY5yA4
iJQxWq/mZEHJOofT9TaHah/5DjfSNt/JhiC9BglghBFaTt50wINCqwwNWcHXOMobInSBmQkOy9ca
lsKkHpyk2JXeuvV3Gt2ioJgvs4xRVGy+uwKEfz1SckhVBvbaE3tthxcGjaRwOr1xowVMotrlAKH9
xPsGHQahJ3fRxTlJbuKQfOIUnJ6p0/tsTdpSjjXKh/EjhGsF1pk/Lz0dMP9FcKRAUPi3i7uJZfKy
MYQFgih6zToFEX25ylrME0q6J4/2NyZdhwJc+Cc5Qh31AuR72HqVOPIgZbMLuPcW1lvBYYajUknA
TQ3XQ6JewxRjmAREHUG3/bJhFcFN8WE6PP9y60TuQe+q0a7kADE79LAbuhimbZWmcq6WZbGIeGH8
0LqhieXRQUHCyrH1nNeLS8/dGuxpa3YN+uWtXSAxtfBCvdDdRSz+EprhqZ3tDnBzn0dc3m0k3lnR
H2tkBXKWTHfxnHwSmvFqIPY1vhgE9UqHEiVeW3SyRjNR26mUYYJJJNCbNpnsAtGdtqD7JtxlfJIJ
P8VixHClLmRFrLLbZknCc8eSw5byR30m4hijjEGu7Cq2TQP13t/VyQIiSYMDNw5joiKzgAtPX0WM
IRSzlmHeqXoP/kzmba++tEmsysaAAgp1sOtSUN4+5pwYe6gtsEg4tp/HMfoGMOMbBqXwA9fkfCHk
YVBwpBqXvmpsR54j2iIMZFOUaqwulNQnTBM7djRA7ETsxpRjD0QiqbLbFhYhj+0+/cErSTqbal28
+3pYv2auXUd0j6BafRQUTpMJkKs+EU+jZULRkcWXjSyEGiPTBOIeSQ/hpU5R4/aBrMxT7atymfrK
vxC0uHVxH2UvKloiDBZCxaPhIVR1xjeYGDMIXfDgmLCAGsl0qHsj2j1k0BhjODY5Ep1HmcWYbjUF
eX+ptTre4LlIurlKURvvoktNhsM3/Z13qdN8QPdXFqUbXPUv0aWWMyjq0kt1d8l3QlfCZxFmRagA
IuVEUExw390qhSeluVSKwG6h49Br0fs+FA5UkzHKyk7G7wZl5qTua0IwAw0VaJr27Ai147yxbs0X
VKlZqL6SqUOZhPq1J/1QJe3Ult7mtSU0UbQH9FLca8pL4bw9qpDGwY5CXTxeN80RKEpVK/j/muE2
WHr2YS8FdWj1DbuU2BK19jaQgwyEB6xZPHu8/dbOeGRCqXBvo1KfMsCKl9I9Q4TzMn/rCUnK79ml
vucb7rvoUvIrySuCACnAFdQTC9fy2gs3ehOgWfBqaFnbgmQSsoNNlWSOldulu5gZUwUf0XGIdblZ
xhbC1KUb6bL6UYy4mynhwXHsGlERhiuOvBJSv9bdKzbEYKyBKkz94ooBbU8EOAmDV/BgCQeYwrt0
RwB92W6xpimVNuQgcL0uvVSLeB+oFX3fk+iqQ7vlM/+JXXbzIFxO7LK/R85tdT6pcWxuhy0YX9sf
w/XiH4P2Jozcm38ZvvdjEB80UwlOHNP50h+D+v5TE/yoCci/ZYRxtgqGWv7z8MU/1wWXH/61LgAm
d2nhk4gQDKJFdOqnugAQMDblS4KbXKDf3+oC+o8ATj0C5ZiD9U+T/18EHZg6nAcQRSgOQrzs36kL
/jx1gML0B9qWhBGCEBHe3e+ZlEhg/IyxPTmL/t1N5217+12p9BcACgn+JB+A0SPgmaIgxWQD+se6
Y2YTMShs5zNSo1UIHsyCC+tY80BH8x15qHJsxrrEzY4RWp48gio8IDYFFAsCX3whzhREO5mMBw8o
WoMlnQBN8zqEjsPL5BmMyZsu8JoT3W0A3xgT7Bajo1tkgsC5bZD9Ob7EgmK+m91FyropX3163MTE
vq/Uv4kihIVKa+oEi3rdfdUhInMXb6UiU4jyyOfeawNtoMxa8mUWG1imIOEFAQN4FWQY+cSD9DYZ
Eq/q0vE1G3lUBWFw6VTJeteg+Md8LGV2wQhDHKm7q2Ws39swvKZhWGZZb68xh1MfOqkOUhpXjohw
M9rtI1ffpALosnPy3fNXwNFk+9633q1Bl4eFxbndTNKSD+YxATHl+cMx0tl763uIJ88nM/gKKRF7
v7XpqXEbKAE3loFpTzpJPliwrDlWuwPHVJi5rT8MhACsbkCQaHrAfnPrIVtPweAKFr4heHqCfHvo
Nb0mUlP0cstNF7ky7iOgwfoQW43pYiR7bmqHmWNtdzcyDOmaHICOGv6ODk1hvQa7KXkyXdDmGIyG
YXuOPNaRVIWYNgyuSeuj7XSd04bCW23iva/rCdpN+z6TrFr9scC1wNxBaZYdZh6cNhSWGVleiIrg
Z9JzPMVvk3G3bU0eRM8k5qCCliPLDRKOR2XXI98aqO+WYyDUeuiW9VqE3WMcqD43TfcCQf4ZY7Re
Yjbv1BifEERGOnx8BwWAzc9key+a3hQ+POLX296z7mvbJZVNRDEyCvhxux7WJkWZw4ccc0bxoikG
FJGEga9K3vEU7Jq6eeMMFcQ2YUaVN8+4bfR3q5pDemE9ouF9Hv03z/Mfp+QirrOmXLas8Gn32bXs
vsVEIXTo/LrFpBLgABCjiZc8CYSINUzBgtcc5Vjff84CpNG8QSxV6qCDpdskTzUq0dIboG7T+LHJ
yOuM8Rg7D8FAiPSXp6dZH/2gufJm2C/IXeqS6m1EEUMfNpCmxWzn7mrhfnupKaYq6wbs0qRm1TrF
Z27CuKpp/OzHKS8zzdLPCEfDqcEJZhh3NMQznm+oWAB+rMcwa6leaky5q+NrPcSQrfBV5EBPkMP0
kH1pOiVKdPcjZhp4fmUcyhdMD2kfVArrD/Ff/2r4L/bOY7lxLNuiv9I/gAx4M4UhSJGivJ0gJKUE
7z2+/i1kVVYrVVlSVLxpD3qUpQZIAveee87eawMUMyMYG13d7LtuOqMt1EJlmlQs6OzQkly3WwRU
iRfG/UGXQqYUaVX40qL5Aa5rb5lkye7VrMKLvVZT4CnPDJTt1MZCe8HmHzpBUL1oy3zbBMqTkeLl
UaTThAGXY0mC4M6ZcAhSGkJShlQl1bUJH32ZX5VaL/CqokW569PichyAPsmyfqaivWdlcRgXujAK
6YVWxd6oDRZE5iS4SgFAgbmq6PCxRp0guNzicKb7ReNj6Q5ZIviRFp2KmXiXNoOj9OLJaNFDKab0
UU3QVLZQnEYz0DFQi+glmO08V6MgO8uy2hfUesyvUykfN0Os+IpRxgDpEEhE5pJ6Sxw3p4uZHhW5
2qZWeyHVeuus5LYpp2WxjJrLkreTpaD3QtqAu2webnShus5lZoa4RDJkv33kzSPTdNac/mQU9fKx
UFdhUCy81W0kgqmjC8nl4BCjQjgDqskZck6NYTsk0eAXaj77LP3RXVBzBbnProtciSl5ROukn5sE
DG54LCxNx3qqmDs4hZGtlsa1ViP2tVUOqjgxEIHNahBscCRf68F8bRbacg8yA4FIX7YbrQ8l2xin
TTebgs8sj/J9riEl8oc2bL/+vokzczPhYmM4HwM/gKjVMXeCR5qO1UYxcwydefmwApGLMd5Mxuz1
LSfq2ThJ6/lGjBJviJF/l1V002fytYlSYo+ldNiVQtK4ZZDNCGuge1Si+MCpH8HKpNb3vY52qypz
FDERD7oBLQ4Dm3IvT1Z3FcjaRMtNsJykF2fv8+35VwH9D7Ev3BpKDXrDOAz1D1o9Oc/JEgyTAopE
4gKu2Gn6eDE27ebzy6yuyF9lqPClkLxraAwVgq3+VgQAa8nTMCqOeZadtrp8w6p0bub5I8tlA3HE
4geYs+0wVRwE020rR8h40BvLxZ6V6qAFrZ1Y6UUUAOqrRU+JsKZbHQfn4LXs9YEDlYYwyzzq4lcK
2t/euQb9RUJTvKr/fy2QtLwvcdalsFiwRoXztZgArygPn38/1q/NmT9kulDJVwsY3xEP+q9Xafu0
mpndDkdwFS0eS3WnlCwMIjOGTTIMmhcIwz0gpfKisHgGLXE3muPqQKpYqBR0YEm+iTjfXfSRYl1B
foYlw2xSlDLekpGtXEZFqJXhMRbikynQ+M5l3hs9x1g0A4e+1KTsKUU1JGVh7C9jbQetpHtRFqde
2ikvQiPjsoTUwqpEH4Pod6esFdCWzDvZiihtIn1XL/JrrBpPE3PlftVmTkZ2Oi+4HQ1AUFtRGpNT
Mapye5mQF4dSh2bHSgywdOFt0Ev5dY0727Wk8KDl68lOr7otogDgdmxxUoXVC5qYV4nymSYaBYc0
vGWSkh0C8alHr60ZO9bFB1PIct5yaTsn6kO2IkCKqljsSgcCiaN0USk9MKumrhFCo56EfNt0OYNw
aTrpxeEpjeXoZc40X0RN4xpZhNwZqLrS1ptYaS27l6fLXNezo9VL2DyWaV8b7R/ebizX/+Df++3z
wAtp8jiYovQj5fN9WR4osED4t+6Ih+ZJsdrcXaohO+pCDTy8jR7xudDHRpkq6Qit4gyRoQKv0eCD
Qn83tgwmTjtIHeMin2qlea+oRbRpc63eAOhEcqiBqA3jFNmNOZieWKr5VmZTd5ES1q7ZCNQjLERi
XoJp1eqrMKcDJkVtyW7QMz9iolfAWIaog/tcf1rJu84glYCPctpG8kztPIeu0kmujivZAfqe2s2o
3yemvkPk/103JgY6I8uAlaHimq4DKzkYQ+PUmAyRYvGEoISb5SttGE7TJLqqY+0yNyxfn7t7EykC
st9S9PS6pxasB6/tRxwxWouYJQG8idnQlXThSeCZcCpLeZAU4V6KBpTqYOqgGYibYREwCU8lQtnG
F0GAW0hLZGxs7EaumtLFMU2agHRfRmlo2eYrJJ7dtTJWR8ucaFzMT8oovtQKkaCG7mkz99kXbjqk
Z2U0HYxC34w4eCKDjlJcGI5sxRdpJaQ74EoejBBPzwI3r35MJ0POJbyMg2Bd4MB+iw0BB+IsOmqf
YJxA4Km3oC3QckmSDolH8WOl5ldaLTVquDgMUis77aODIKGRlca7EtNKKMTnWqQiUC03cirsc3bx
aGSgJGUPQ9VuaKEVsC2Qfkrsmlkwbjq296LJK7cXanpOqeAn9PYWjBKGBThilMLRaUUW3UWWsCeZ
iEHMc3Qm27Do9uFYHwpTo+rtMmA51VghPzVO1HDcV+h+mYkhj1WqWAI3lWyjajwVWk4JGaJwWLcl
uH0nGM91jfbRSB1zzKeNjhBV3eKVvqtEejO5eKprkCaBJx+SCHrFEATBvpcHOrKaJDlGEhT+OCxu
Rd2wZfjUwl4wts1AFWKUHeitYPBQAUtfbG2/W7nfvanKevx9Z+qQI2tOrCqFd8O+P7SnyBdBDOa4
aM/S5lTixPL5VvE7E8n7631o48tRVHC6YGUoy1cJ4Nl0OViHIrwf1e3nF1rNAr/u2atdRdVUvHUY
k1Vt3RnffbKxxS6TiMN0XKSZXls8tavS7FprQ6gxpcAzRyO9qmKmopIonZq1qdE5LAUOEwhZsAvx
y0jCG8jKi6lQTMz5/a0Ql2elaFxh06LdljhdK69al8ktunCTd/EjI4c7Icqqy7BHvaNFUJRyrd9r
iWhTWHizxAybEs8vGGTfgVK8qpbMpZNy0ivdLlbk/RLOOw08GL7WfcO2Dblkn8oFL5NgC5HpTJV0
l1eNF2fBbqzAt2YTVFstf1rEWXPAsz3Uk9XcyWHQeTIWoS++1V/7LX/6cd59qR/EFKmuFnETmNPR
nB6j5Xk2v4LVffGjrY/rux9NFMjZ0MN0PsbmVZVYdq3cfPFYfH6Bj2DNXM9TMZXD+ajJ57GKCqLz
RLIEPr/I+i38zbVEsIpOSYq7U//w6E1GC0ZL5VNAn5W7l27MqUluQEB/8WvIvz7jq1dFA+UBOJ7m
F6Wp9OFCcxIXY7hU8pEy5oVNzb3ONoEreGDsnDu7sO92ujMcni8xKd9O3lPmzc+80e1W2X3+geW1
z/bxE797rX/c6LvfzRpiq1pdkUd8467oiN501fv5RbSxPAt5+0by+Z43jGNsWOae5VaDpx6Ll8/v
QvvdXbx/5dfF591dZEGbmXLD934/7WTPsJEFnhv2WatiPvTvNOegu7lvHZn6b4srbXuNStmftqx7
9uIDVW1dWmeu5QqHfgsA8Syyo8kO3Vsc6kfRmX1tZ+3KPUiOm3xz9fmtK1+9WB8qaEFu4wyaK8+l
XdrVpn2tNtW15NYOWhU3cmMPkslJ6Z+/HLx+h9h3cpKTxLZOkiOzQifAvWh/D5zbz+/qg3bqb6+7
/mF3iMGwNobOXUU7y46cZZv7wTXCgRS2v02+jt04s5355rHeyo800rzPr78+vh+fKuTef71HH1Yb
lhphbqt5OopL6RnjuAc/jsifkcbn11lXlc+u82HVIcpFGYYlwzGLLHUYX8RpO+rPs+LVYkcravP5
1X7/U//1qT4eJgUsPIpWJ/0xMlJOfpdVePH/u8CHM58ymZmuI6Q8ptpeTugDWob7+RW++GGM9UV8
96IxrzILFGDzsayObZ5uKvl+6c0vfpWvvqcPi1srZS1D26Q7TuuvsmSONSXO/+9zfHjA+nJp+6LN
5+M4TE6sHyFROkt+/vlFvni6jA+rkh6Ewkxzjt1g0uFHFF6adWcr0tKYWycZ5eOANfDzS/729yFA
xpCYs5AY8uGSJsbLoIq7/qjiMUg2KbqsVPc/v8Zvf5531/jw0mQhot4aItpRY+QqiBd5/kVX4asL
fFgSFzIslKSsh6PIok0zOlWyL76mH/vjZy/+h+cYVqQpBxnPMWcDnOoIm7fpKUcE54RUIS88g4P/
hzH4H8/GH3QsP5fUv95+ff3U714dif6f1MkRe9Q9jeGCVfU05Nr2+ATRdjfY50xc+Qdb87Al2eaF
YF+iWWRXP3+oz5UTTu2RnSAzsLeFE/lf3d5vN/L3S+7HJyduCE0IeOmks3UjF2zwLequkBw79VX3
rrBPRHvev4nPHM6am3k/2uMXqxecsc9X4w+/+yC0elRbM7WEO7iLOy9ws2xrn7mX1lE/KH7vPsib
wC7o2G6IVvNNR/hihf7qFowP+54w9YJajFV3FPaljZ0LgdB3bSO5xr5/nbbwHA6GD4jmLXxAGOSn
Z6GbvH7+dv04eH3yaBofnpOU4beKgXg+NptpU9tkcKxV3S51rofdtNshj7SXI5r8O3FTuvmm8o1z
LBVu78FBs6PH7IuV8geu7W/389/XXfvwlZgCtjmOyv2x9lRf9/XMnTbLZjnAPLVfwl2wSR1zV21p
6h0mx7jx8OHwE3V+urmK3bVI+LM4+J/Ffn0U/lmRfw526XdavvWvfs7sV0W+BatLNSSdQ/Aqrv9L
ywc1kLG8AfQdeR6i/L9m9kRQrSN+iVm6pqgSEVX/pd6AymEMzmmDcc4frMF/Qb2BvfPLG86xhXE9
YyPuwmStUVa5wfs1UGX+WSjBTD5ONgIAjAd65bVZp6dJkDnq0l4ASboLWpJ06i7zR3R4MCZgjkbB
2gT2mRzhXkqnm6YDUq+UzYU+lL6livueyDg9n7ANt9CDt/idH8owPAnCTWSGZ1JihadlDCaXHp2F
mAxrYdqC2tQZh2YqgPK5py+pBuaDAWLTMxWhI9eoeyCGcDvKCi1BbTiPx47CsBCAsSjifhlw28qK
crpGW2AzzG4LAYVU3oivcdW+0cD8boKbwVmUMmqVp6vcnAhSmdQH/JV3zaLqNsIelOc6wVWLdSz0
ed6TgHKpSzOGqYKlZ2KSamg4ZaegfdOCHmDI0r5A0mW8hGeJDBZIJoEquwCna3splRcxvdfm8wjg
MAJuOqBjs9UTaw1h6RoXc/ysoscjANAuIkXp3EphvNy0YGmepFilzxRPTY4VdMCrNBXpFg9hja8B
31+nTpUnBvjfRDjc5A2Z2Uac53SnyEMjOXrcMMsIx+4CexVZWEvWXAyEaJDUhJWrAjhky20Q2u2q
7opq8qfyImV8Wev35YJjYuzT0VMblfibEj9n10ck6Vkl/Gsr0HzdGOcLBeeInZCC4yb0TKNSL0+s
DM8scI/4NNBEGp5W355E4WD4E9wiHHYgwNwanT/9EyXwpbR/ky2yJ2EB9E5NyOCWXuvzgCoag55V
o20kRkqqmcPGuJa2CFtfib1hJFCDUi8qHtVmDVQU+9YptSQ7N5Uw9SS0S3YqzHCFpEL11YwcrXRo
NZ+YpNd8kiwfRHdk1xDBz42lDE/45thUAhxM5tpblOdY3AbgHPnB8E4WxIDZ1AkQWImKAALXCMVz
RaAA8nA4ku3aKkas2uxHoxzpXvaNT9IHGnbKQb/q9Mzjx1MZgmhvTDSQRczRG+moio9pG3iNuOQM
P6wK56Zpqs9ivsLkyBrDBRMbdpg3hJFV6uAF4SjhMQsKlOxFnz3zzkG8T2RxOy5p0XlRYtIqmxRz
2liD1iRvWV7O9Ggl+QLocI17EThUh2m32dM8RQAxXSODD12qYQ1xnJXiGqxvZ8EKHXEJcLogSPFa
kD0wCB6EsL7LynUiYFoQL/MFrnXOsTMRDQYkc3IrFeV5wnj4cbYWODxRGB3m3gRSV0GrY5aE1IIu
rw4gvSyMemf1+isGysdeBNwemiSpWMLbmHQtQpH4QUHfkanZ/aSPhq+QJ+JkebMuItYpXwUDW+ut
5D0Vep6LLjevMWCe11J0UjEtBBJRHuEQvMi6dTdkwgTDYDrvlsbcmU2z5ZBx1S7WDSTNwBNJNXHq
fg2AIgMlDuLZV/AiOEkxqXSJi/2Ida4BPxWKDaDSMGCQwNBqr4kLnjckxbAyt7gSTlIjODMVGtET
yiNgQyZvCjy/godt5e8XcAis+BlHS/Gopx1SGQUYl6H2ij2tWWYEGDJyZLyBZAbNRcvQIhf7wtOV
+hz3x5WOK8NP1ny0sKDmnNbMtHRNTzPWHLVZ6PRNtWarBeUYXuRr3lrL63LRry/PsqaxNetFu4qE
tiSILV9sq/gyC8lvI36JQmbNdGvXdDdBmyy/WhPfljX7LfmRArfmwU1rMlywZsSR3at61pobpzfa
G6OZxU3VZYf08EwkYi4nak7rycBjoiH7yppDp6yJdKTzxJvI0IAArnl1WIjLrayTYQdGhFQ3UOjB
mm8nr0l3Jh6NbbSm38kjoqhsTcTTo5UKsabkiXUg+SD9wgttzdCLhpUKuebqCQmQJlSoEFhCUveK
PEN9aox/5oz8r9QRObj+c6nDe9k1T/8hUqF7+rtIcf3bvwoeiSwocDI4FBADwBx+V/DIlDW8hH+a
CVeJwH/NC5KoAAdEq2YQP2VQJv0UKRrfKIS0HyigH/5E69+IFFEkfix4qKZwIfL/ibCZqQT3977g
sXJjYUCnDWfZwHw2cJq6FE+ySVJPCuItefv1/GZOQjTgk3AwC5TAiQYLYUx0NyrYD6QuuZ7Cbp+a
09UgToc5wK5XRdiR+9GE9B4vJ1bc3Y50Mowcd2+sIxwOSoqqFoXtdKJXve5McFHjBeVzjjZmDEIy
hQ1r8jE3vCGiQH/zA8kLjc+BJi57TSpQTZhMppPEdFQ2PIIzo4dZx8nTZurskTuXu2JTXas6CigG
FDJVRego1UKzdOxsNYQ/0hTBXWZJLhorvIVt62rx+Kz3OJED5tOaZLzgH4qdQY/v9XpqeXt0qjfT
6Wt2IiIp7vVQBfJCTnQwKlRxDbSclmmvPmjuUJrbdgIEM6sDNJdhep7L4DlHUCWWWJ/xHzzEohU7
uZr6aTrtECQWG2kaG7cZCLIjBvt7KKrE/EnFfcVejpScDMCg7171QF6ObTo/xWAW9uQDMhrW5Nwm
5hDfvildyq0BVI9EFaorfFZlyyI2jule0uoBoTKOEfL0mm5Dsg+UACNmHm2UZP8qItiMifSMCL10
aC20llHunc6iObkpYVgbEzuhG2TC7HSU9jZYi8hj6oT+X0SuVogtPmmxpOVqjd2VDGDlFitp5Jbi
KvtsM/EUox1A3DFNH8oG0xfhhfo9yv78ErZhfR7pcrwz2Z4OtRWgN5+z8oQkgwawoqomB+qRag3y
mA59s2SyveRi8DyZsWC6BOrUu0IWL9LSkrwoGqsbKj918ANT1h8FSus31UTjn6/YaTS5AEUgUc+5
TEDaCqceVkx123BchFvdzQvf+uhBxjpgQH8QWwDXQt0fmxV5Hazwa4PRHTpyCHzGisam8DyqKyy7
zkXCnlZ8NhxtEmBCO13R2sUK2dZX3PaiphKQLRDcxgrjLvuVyy3HV8YfoG6Q3eUK7yZudLi1yJHZ
6SXhztEK+RZMcN8t3O9pBYATM+KuYqo/Rlz/W8xFWhSfLebU2b9bxvmrd8s4RFZRUhiuIjhfe2d/
nVvlb5i3xVVQonFMXTs2P5dx6xvac/6JBRa1yS/LOMRqINJ0O+G5rjbzf7eMG39fxsHImuvZmFsw
MbX/uowDeAyJNwnUs3SpjHm36GWuPA8RIJozojOUPCcKWZC3ZrCmWPbR1ayGKo1XFcSF3LOKB3ps
k2SWeoi/VLfVYMOII8o1c1LILh7KJ2leEKtq8ROyR9pOSgRrptUJN4dNVQcJ5S55Eetot8oZag0m
mRXmvJCoapG5DJE6INYpZd8QcuSrTZe5kd7t+6Ky0GjGd4OkX6BYpneTN07J0HpY/LgGrj2IOTOd
pLxYMJBypNrhuaFEykrieDrEpBYpGmStLk9WwlkbBdu2J+cV56h8LotddtqrS7khqKaAvpOVoKHq
NyUIn/oEAHYuGF43v+ITg92mcbwSOEdneXE6yepdVYR4jDGwbel15U6DPsVJK+TnSom3bzEBpEnD
tEdNnnhys7z2ZrBBGbYq133JgAVSlX6LoLchykpOpAEVK9SPZlBeO0avKdg7POirXPtQwLpdNAKu
+hB+UWQQnU54qLmmiGZZtUXd501lcp0hKO+64qJqxH1E/CjJGOh6tfxi4Cft14RScYqbwu8EydyY
enUiUT0jZMJvbgQHcdUyDDHTepA7aLAVubmQJmrRx6TJQtlrlTIsLoSlmys/l0gkRZEs3gPlRxKv
D+kLLgSidDldx3L/wma7MWSORqPJP8f9+IoLi4EBW42dD9O2m6OjWgSmh1lx3tRd9DYKOhQOc37Q
Reu6W6YLDAWPSlOdQBV5iIfEou/RKp4Rqt9jeULmGs6PWVSnkGAqUugUPIgDB3hNxLysNRdEwWyN
xmQaatTXc8zHIkkBEkFonoFGJKIhWjADa24fdcTNprrldfosbiElSUmpEmzU3Q4dqTZ5RW+Cwewx
DWGXaij4GhJXEDKgxGfLc4QyegmBOKFynZeNOYJHSObQl4X2AczvtuS1cQoTeBgMMpoI7YJHHDq6
RILLNKoBTnnhfA6E+6YTKXQUiY5IcqMFUUhGFQTdFsk2bzOHUZjuRmo4eleeAFChS0qCVr/KPiI9
fWuj7qzK1aehJQ45wx2ezskRz/y+oiqwcRDuC+K+1lbP4CRs+U1ERyHphtGvJ6Jcugi/FBq0pyI1
Hxaj9PJM24ktDeJUqa4WQV/bDyZBd7J2YwjR1QTwQbTGeyYo8a6KrN0y1fsgNKt9ULb3OsnLqFqu
BF3fRYp5JiBrjmhEVOpyzPNmm5Y8mwttK7eSih58TXg50AJLCRgK+9hvksiC52UVNm+P/tgO7S6S
k/4yMIfVgZBtOLHs9Y4Wy48V/X9bm8hg8J+3Nvc1+8+Rao4W/3/Db/+kq/CHf+1uyjfqWbzS0p+Z
Le92N/WbzJ7GxvczPuHn7qbK30SRZoIIclylabsKB/48pKjSNyK4DAPZrf6DivqvAls4Pb2bgWuk
zEpYvOGdm2S1qOqKhXl/REE+l7TZUgBZIwdaTOODEaaOMnyl2JZ/bJLvBgkajFZrPY1JioVi+G9a
alIPU82M0vFc03iDO0K2VE9b+pM8xvdRyiGEq9Eg7LkrzxgCHeq0ujFkpLsVPAtnJDvQSxspxYik
geMqLQJAcT/RRqjW6IfmfmyrysnNiEVeqQLMOdlVxQUducrOSzHmlTAK0ppqGQkiWVmOQnOBrHhz
X+eTYyX4dApiqVxkSFtFSYtNoA8bWdU6tyd8ASDqxBKExss0Ti21t+ArKfeRmpUOFuorLJyXQj4d
BUE74hwasBfHiU1m7o4UreMY5BCwLemG1xwMVjgMrrwuIv0AjVNYNqPa31lm8yqHxmOYzw/NamRO
0RaCJEcN2QR73cjjDXqgrW4Fjd+iXnaUprkp9XAbm2roZFG0Zxr8XIxRuhlysaIiJqwhK6eKzhU8
sgwr6Ubqlkcpz9eDSXKmmpw50AsjcwAdubqVDOmmaemT455AGTdfGnXvc1De4l0W7I6jBDeqgA4l
5NSJZO1KmKG05x12DMN6hEjoiTDP+pW02vZqavNouwg8ELK2iY97+M2ccXSIunYKeZElssixd1Jo
SJC35ZGYtpnKZoykeJNK2TmpaMlGUUZ/ydXTMKR33Emqbw18t9FI70XQtcGtMI5xut7CkrikYTi7
ytLexjosk5CELFvpsqt27HeY66BjKeILs3i08ON8m8Wx5k/KciZPtG/bKBkI82q+S5n8XR4zCohJ
2paZtaPnLFFNjH6eahc5caeTUeoHQ1kKYL3Fy5JU95GBmjnXy2v2cTB+tZFuxx5al4GBRgk2BNCT
1cUjBiBFHSOCwqL6qUjKsNksptDNjqbjVwIImuL4m+WGdDh1rAtXNMaNZI5r2nwznWSZBp0D5JkY
4NxVle+jaO1iTUIOjJGbROVquAV/STeXxq2IYj5et+dJit00kXcKTmRpSI/dalM36yeq0UspFV5N
i5+pZocpeRqvZ3mg1dB2tEdHtxxTaSfkWk7mxXAwG4o7geaBFqcE0LdDvIYhjQ96YrTeFFanYSwG
TltNVMA4hdX2UCUki3Ttdhy71ciCd8xKnCERyRAsT1OdV1Yp0nP2xH0mCLslo2dNGzfC4DTnGAfi
7/pIomsyJnQte+mStEp/KrtXYMojJHDBLvTqfmw8kEm7SG2ILRS2qGZplIqPi0amAhOH1p6zx0y9
GsZ2O2PuqcDSZaBzk6Jx5A2W8chSO2zNijcq6naQYcNLEfXWUg04jZJuI0op3+eg4giSiI4sRzcQ
mobkksrvpeJsLseHpkxIH5zVWzK3zdNKIB31ej35h6baBNtSzrFjvttgzv9YLt9H5HxUZrGKrtYq
CjkN960ocbL5Zblu21ZRg1mfz0fo87bqByfTVXm6S9ArPRV39Gp3IIrsYE8t1buJ/5XgbxXG/LqI
c3nLYN+R8cbqH6fBTdBrg6D3y/lgPFXBzkInZU2PAmbEzz/n764ji5KIT0DUVQ53v35Mq2PPigkp
PJfiQ0R7KMterXC3ivg/v86vux9rEF/nOtsER0bePBilX69Tw0jQeikS0XDvG/2sUnDNq3efX+PH
WPPjl/b+w3y4SB+JYisTaHMOTvMWDpM3bMXvpmsCujrNecbsy8YjkWcjb2+OppvZx+E03ty2XuBd
JCejvaVvdehc/kO33PA/7/bz+5PXL/Pj/a1RbYaCGxCv84f7ywha5lAiSueaHR6DC9ETT6U7RlWg
F5yeGf7Jg+RPzrHejFsME/meY9pFxf0SQvSH2uB/heRqUP/nQhJb/n/s1yLuyr9Xkutf/lVJiszj
dTrenP9w+6/5NH/1SaRvOtUb/RMUACwPlIs/+yT6N/paMs3pnzP8n4Wkon8DLE9GjqbTENcg/Pyb
bjcC5F+eo1WVLPMamaAc1BX6twoJ3peSbT9rGrG6wpF8roTqYzfEsMOKTAe3Tlm3SY0ZN7yqOEmU
X9Dygcsc4+Qda3j3M4j6LOl2SwOMtWLQ6wArKgmwmgPw7eZIc6F9JmT7liTcx0qsT+de2S2Gbh6q
PGs83GJ2UCk3odVwws4TN+yyy+mHhaNWXnSJTrOBO3T1nFmiAAvTxHmHg/9OnIw3KDTTJhmrq5wD
pCHlEhDrpbZ7wVio2+p7ta96N5YqEIEAS5OwIqcLhmlRpz2p740/rnhTNVCw6/b5SfSDfaqtGNRl
RIngBpP6WP2gpDK6hphK/3/FpzL9KK97rAoVoGNJxUFWycy/R4scwQaqSDuDkhZ7w6kRpA6Y2pkz
J+d9ggTMKqi8SpPOhJh87wzjlQkyXf2YI63SHTMQ5C2WoGAeiUm3eorkubwyJgzsUi4/EsmDwdVq
ZNAydE5a2ip60LYntVg813KE35PoPlxKeIMkhmG5Kl/UKdV5wUjNHef0WsSiTUE32+0EwmYS1ftC
LW+ZIJdn1TKVB7Cxs0PusEdy2ZkS4jnNymMrAcFvok1mGSfgD+85L0lYMZR5V+oJQcmquJN6jF0R
n9tTOpg3Af1ZW8wWxeF+7hhUxCdDbODo4OuzTSkQ1slAfkaWy3VmZsMmrwjisnRjr+YxjQmgivFt
2gpy5uHX0XVPIoFnkecLsV1S6lDsQ1i2TUAA4lU4zBdB3WAabpQz8E846OUtONYLLTF2Qbb46dAD
OllaiprwujPzs8kafHmSZ1iyg6MysmnHyo4SjYz5PLnDP34NE5LJgHmbC8S2WU27JcHkGkffoRnj
qybv7+NO2koE52DliCpHrzE3Lricp2HUqD3A+2LTPej4xfb85KBV+uSVsBh7aLg3YQ41j/KYE4FM
dPHC6HrRHuUGxUQh0pTos9MlDC4xzlW7WevCgyIALejH50Igpqe9bnqsR1ZtXYRR4lbMZYtqOWl0
6Va0khF6XeK3cQPPiLKiROMSt+lj3uOwhOu9qbrZsJW6cqMqjB1JIJOvnscnK5BKT8wJN9KXI6zD
s0g07wii3petQFt+og+jPSuVqONzS66WMDobyZqqG3gGmnSb1aLkiTL9LEKXnTgVjoFo+UleHHtw
xXZkFc9DAFtdGaHhkhFsK0O2zzL+M6YBZG109tjkOzPsD/AF9/yXizdNinJCrH1npyZF/UaKKbf1
hWz7y0iUNJkzRPiQxLJXaAkKOk18WyCFUYc/tNa4Ga2BYplbUMzHzixO814VHOxZriL1Ttcp2yas
7mdjlXDknCpGVT+Ycn9pSjW+nmnEMt8o93Hf7Ma2wZ0/AO02VRD64Y4O+IXMjN6Zl+FUG0YECVrh
BwWqAaupttgg/dhM78jjOoRie2MUlWgT437ZRarLYfY0YvSdiv1dmqtXTcxvkVfDi5rzqhHVQdDh
2ZTl/S6cpX4lFmwzud7XlnzJQ3JS9nhM6Q+fkQK8GQz6WxB37hnVuAtn2c3QipSo416wpL3AKN2u
R2GnzupWbACgw6zPl3E7MoADO3XA4+132XLRDWlnG3kNkaQBvc0ja3J8zdvsJhCLRyI4ztRa23WN
+tqSCopwZycp0e3Qxlea2V5j48rQagAU0sArDuZzChBEyglZWPJyByD8MHcFw1KZN0waTyPA5zFk
kSlTrqwsBK3NMUEqa0ZDuugTO7YpquoMbvI+Nsy3H1vy/2qTtbj+59rEy/7jlg004L+XJusf/ixN
wAWRIAxvV1E51f86iZe+EZ1HdUBUKMr0VZX4szSBMaQbKgAf+QcSaB38/JzEr4RBmRwvDb4rBDo6
cf9CeqjKvxb61CYm/z+cmkRKkzUD+UONW4fBpAnSAA2YvWpccaAD+hmBthxI97Y5F5YVGspB/l5T
q86xtKyGNCMYaHMWUD3CUJxg0etB7HB+FKGRwgszYACZTM0B52z+j70z2Y7cyLLtv9QcWjD0GNTE
4S3pzj7YxASLZJDo+8YAfP3bRqUkRihSWqo31aRWVVYynO4OAtfOOXefRbWuFApfimDTBr01VJsm
9MegUZjTFN7poMCnWNwxYrX7xYeJyom33DoLhAkXXiqHlWjfQlDtk+mBMgM2a9P6tq1iOLRa4u+F
Hr2W8Fcn0odaMVxUOltKuBpipbep2M42z1PYGcdcJjtSeEtQQXYFNfcU9sZZ70Ddj2G/6mOUb6PG
YdNeggMlFvPi4PjvwZHAi5nseetX05tTOW+u56frTiFmO1iz/mQ+lkZVntVDXlED7D0bI70UClDL
r/nql8VlxhOMhRo30GKnqu4nxHwGGLHLBH2dNuWc3MW2UZVfFyFYtMUu3pxcbCZV5Fnl9c6i2tNt
5Y1kI3WPfe/hdtik6eSyrFOI4ZtBmy7dWAKepy40oTZ0VP2hliE+YEZA91W7aErNKJCcg+n0XwvV
P9qYFKQM5CEW1U3q6fO9l7MhfDV1eNB1P5EhzDmu+8dYq98XlTwMwfhtupS8ZTUxUlhLPu2KBJhj
k6T+oW7m+NrMjC8iUcG7GVPM8OLVEmXm06JT9VGsfH+4G5w8usBRqs8WvWgppNeyfW1XG8mdXACx
QwDxgPJBM2SESO4V5ZAVeHZpyJ6mazPiwVI79bS2q56jvVZdRWlIk0WHP+Lod65GDkSmIJcHRNvc
ObOGko+YXEaYTg+1nXxzzeIYElNi8m4Ij8EKWLna8EzPEyw7y3xiLvqK9Af0JXJ3s2+xfBane0OP
bhuXpsNpWMDsUNDSLN52LrP1BPCgzLOjE7onMVDj4M20Gyzlu66GqHEgRUm4dgzqLLJZCU9fCVc+
2oYN3nG6yeP+OI/aHejMrz1HeQRMVjwH7RxYz4Vuhl+mMj2fZcG3FRr3UYEjFbfhXTi5NGvxCdVG
RG9gjaaWeURlDespdOUXR4cslEd5CgUYuc9N9JfO8m9ky24chSTUNgDMdkc1Z9BayXspwuS67cSB
dvWA7bOzCFT14LDqrdkv0dzfKyk1Ku2L0bIv42TZm21BsjJBjO3mR5uI4S6NqPzIEjxGbnOUozQa
4Rh6BVbhNHLESNrHtivOTJ+tetM4MDHe097CCjFUlKAx5aFu7STggtVXtZbfkHF7qc3C37sZJITF
8XZ0hJibnIlnE/ZVtyEyVGwrHwfTgrKZ1kV6oJMlmDpgxgbhM3XH5S7F4JVZ41UFB2JFclrfDsyz
kQ7GWWDp6XwE3JOuzZlanMF/5TCo7DTni+FYJ9NqUrA8s6Bwge6nSt3i2phii0i/NfyS2o4YzmXd
QdlqSNwKO98XwCEpFgXEUPRO4HC9DUt0K3TrxS1wVSPDO1HKHu6iSNO2eAs3wjVbcnKZCGbDfTES
YBiizMlrOjVtidAeisQg2+vN2ywZ3tt+CW/Thmhk0oq7MhkhYmFiv9axduFU4wiFgHtEkjzIeLxs
/Xhf2N47xw656eGfruJaD7KiqUWQdLaG/90txUMRaW7E8E8suCcyviE3dm577Z2v6MSt4hQvS/W1
WhJ/Q/zVpHp+eQxHOMXu2L04vdYEy9BegVm7iAEgm4CQJ4DIQpGRzbI9yxdjk0VWvhl6+xoQ8mnw
qWlzFFc5BbDsAVrWNZJBrWIv2xJaK+zLOxMscxISBwPTnCpec0Zwnt9mefQVyrmZ7wtbXkPnuuJ6
4EMA+lwAf15sEkR9lOS49+VuUIRohdspQUYL+op0ENKWPn0pDQ6EoKUdENO1T9uax/8ywaeCDeIg
GSsite8QoEkUpbrUITqoVgaZ1PsSkHWriNYuaOuI7i7uRNCubcW9Bn7NRkedHhbFxNYyeSg/KNmK
l10qcnarGNq+omlTicLKm07RD23xgoI2LAxF3/53KvsAOeoou/99Ktvlb2X5k4mMH/ptIjPEL55N
5NAitQKl+btlEINGd/Y5iLTYUHuUt/jHRMaYhC3+20j2h+1o+tiOBv8W/wOxFP35n0xk4mPh7Q/V
US2D2HRPwWkyyJpb6p/7Ti0q5841psHzL42iBa5mi6Umk6iCEqZWxgYQhaILv3KLa6/JNBKrKFTC
YiFqwU7DsS39jDqf7CXjvjRT5jQaoBhmy+JCrM18UqGS5VASkt4Mo3/NEfA9J9QREGygrsjgJGvg
EiV0yTU7PWKZrKT/p9b2WpK/2C2lw25aHaNUXmeGsvLYn4haZ+/qFHpTR7gyAaQlPtCIJGU/XPgX
Bg1VCXINFpadU8I672dBOLHUxEtakKNuRvvQeu5jbbloXPKVvpoTMZccRBLv7cmH2NKHLHMzI7y1
s7fOGJZgR/VKYaiay4V7Ke5GGRij2Dd9dT5m1AbKXievYGotuSC3POimx7slN7ruquWh6MaTtwBa
lilLlG1mtaThTORtg0PtEG3bDHKbaCN3k0rx7GXYKB1GWWOBsBPV8FRM4VcioLSyVZfTzCCkFaG9
LTqj5nZRHiQJw5WfdIhXGEVrXVrjqiq8agfBz1zTTVgEju/jBM3XhZ0dugh0C2GEb3MxeisdX4we
oJBZDHPFjOZnglLUDAjx3hvamRiHA1HCI4TNjFon1I8RhO3el4M8VlS1E/ykPXFy+iPQxrdCK+Uj
3+d5b39dCudkJV0AUPcqb9IzygNuJXj+oCVv1UGN8RuAM0Y5UDME8Sxa1TncPrC3feaD042AMeWd
x1HfHmOO4R7uGhks/2SQ3TijAxrVh26aA59LrW8snQoI+uv92zALB3gHswBY2VTUNY72bO142lv5
Oh+maCfmKmbML1vj6Ob58OBVjrenjkN//Pd2+HE7VAe6/347PJEYf2vf5j/fEdXP/X5H1GmYARnH
oe4jUcG97ZN8TlKbjTWUQPtXZf23OyLyOSq5+xFMdPnXfjug2gQTPdC4bFkbjnLj/sntkFW7P4nn
JlFFX3is76kk5A/ieVHj0c/kyC8Kcxm3NUdMwr3uk+tFm8odHoze+ULDHmeTndGIjdF410MffUGc
zIKZIGRQWxmFxvPJOTKkvpoy+1IwdcKYadMdAFfGGA4SM91NTJF7PSppa6O1zqZ1M4jHlMCfLr5q
5Vi/iJ6chAkpe5NCytwuHAtkwr0vjNozAgbMoSZNSzQulTQvLVoPiZMqJpk0zzPdTLTHPiMkPkKm
Vm0n06n/qHFShU41zU7DgFiGPjM+EH3+Sv4sOS9r+E9C2giDdENldETBJVzQUVkuVfVRjsf8S58U
CYQLn8M3Ru8tKn/GBlLjUz9lp/IL5bJPpJXpWKkeOlVU5Rr12u/ouKPESnDs5MF0MVFuZQ1KrYT+
Fibxt4r6K+IMDW0e8sKnQ4VOF+NgMbVRnBrPFQjM26g5tS6aZ/aENt6s+BV3XbcwdcMkZW8IqJit
SrhUHVdoIfKpgq7R8RUXilWrUDsCZJD7StV5hcmwkVV6U9Pz5ajCL0tVf3Gn2jdV/q1VpWC90SEj
t/quVYVh9jhcoUHyxNEdmHpwH+OShKOqGcvpGwvpHevsiKij277oqpKs050jsMp1RVfZ5IT+yhvc
o6TFLK/9C+J4aydli66aU+i9MY2lDIM251+2+xx2s2xkYFWPFi0UpTlyFKtclaflLjVqSUKhWqKq
1WZVstYXy5Xfu892rR1AdvXboUOwV8aKgcIuldXi4rk4eC+zMmE4ZdyUypaJ+eY4dn6x8WsaZdzo
ysJpNHHIvepU4+2MeDwxXk+tTB+h7J9FGUGVsoRmZQ5luETgx+HW4xsNykBalJWU4CnBbDYpT5j2
hbKbYBqj6M/seXLHNnmMkx/33vk+zqu6vrQwIzJEQwiClLzGnPRGWPwzwmKKwAin+bxHcKyU8rgg
QYZdf4QrdzCUNpkjUgKge0m76ODH0c5RKqaDnCmRNetBo53FIeFSnQ3InhVZvkyPLjXk0BJZlL55
PtRFHi0EU3OoToNSUOtsus6LcTeF9PgNDq3Qck+72kEgvfIs2TcRdVUWmmw7m+c1Iq1ErNWVajsA
SA6j/lEqPbezlm2CwItKU6xmJN8W6ddO6nN07T1kooF3iDqcIhNbyMUR3bmsNr52Skf2IuO2q7oH
amXPwyk9UZCxjqP5pgTfypQRP2R5vHVk8hAhUVMjvC+cxMNeIFisVOzE7U+m0rUBg19bCN2WY1wX
SvmO9Iby3PYw+vqjrrRxT6dawkcuZ1hi42DEKVNKerkUjwPSujugIyC1G9OCAY34bubOV0LBO6lx
ykOczxHpy3bYd0q076CEsM+1WbrwMfkQ9t0Pkd9Qen/+If17ygWYlR9AP+uyaZ38nCLCo+WTJFXe
AaUH53EcX1qYCqFyFwjonKTyGxJlPCgHQmtzuJT+rqn8C/qJ0sADyFoo14Iczn0ihiNbPQ8mxgUU
hdtFfYUmhkeN8VHR4GVihFDJ8TBhjJhCXOjZREabuGiLdWIoDyVRboqFrdIof6UVNMAqx6Xxiq81
Fszs05DRY8pkmDMZUte6w65xHf2swb6JsXFs1vBG0k+BYd3Bs9kkyfKS5u7tovyfUjlBOpZQTQJb
Ux5RSKu1hWkkamfnYiJZyk1Ke8faSOUwsanM33L0linvyVUu1IwdJZQvJQSUSx2rylWeFRdFHRjK
x3Iifd9hbHUYXA1G14zhFWJ8lcoBm7DCYM+yzFvRQpk/9E0Mz8C6yhQ6GQ/NSB0O58W0s63qUuKy
Jcpu85xxr+G/9YvHorJzveQC48XnoxGXmjLsAGNf0012mykVShelokDKbDUKTs6mc+o+nD8MT1zA
QRmC9oc3GOISGmWYrAplHMaNwyoyq6SJN/LXuRxZQUJzbXlLVGHtqVXeuVHpw3210ST7sdwsGqKQ
MUL9Jsw3rcaheEFW3dBklG55whAs9ogj14CTJ1L0SHh7FM9kPeU9j5jRH89SDiirRpvfS4rb4B3m
pI4pjTfpnaXbe/I2dp4/jFVk0BDitGs39ojvxZ2rrQpWxsBVRkdJ09pl2Yj+MRUuKzYU1mjbwZP2
dSfL5Sz3FsijMrc8iBGFJTa1hDi3CO0ozfZsrJMresu31kRzhLHcF014EwGlHhojWrEwExi5B1ZR
NI90I6eBG8lNKwiAjdm0G0Bs4tD2L2M6BILUM873aZQzDxl42ZAtweavErO7q3V9Xntu/Myd9V43
230o40vdnt7C1DwHBG/T/pxsuJAq9HXzsV7sczcpTmGSmwGJR+zZbKvVxdk48IhuWfFdO214mep0
+WbVDSlm9lqL5VBHztGekr1ol1WU1Qcw6dAC9Iz1UaRlJzWvfVncEuBib2ye19S43JW5LFlQyM71
RB50XSPSKQJGISzd5kA31U7L4kPkNudR3T84qs+iFGecJxHcvG3m1a+qzjnNouspZFKY7XqzhPGm
JRtvN/1bEftHrSyDjotumobzwc9fHVNnxdsvqb1LblrVGmskYODTeWUWzj6e9NtOrd31JZ3s2PLU
u0Ybjon0EZILCDkKDn637VOxLwbjcfSsIE/FtKWjmxwrO2Mh1yP57oa7e/aYgxiKhI0picfvZ4Ny
CfKDVqf3vh/uTG+5ookOMFAv7mZJL0taP1QUQK3NApFRI3wXthWlbKkcNqTbL6StX4SR+XXSe3Dp
aa1W2lgiTw4+S3ZbspmcRZe3eib6WpN34/7eHx2DiyWqpM0Sg4soN9diQ2rNu6wEGXwLcSj3WHHs
9evcwrFAhQ+0yNx27GCtQvp4V22nQyKYnSdbpvOtz52GE/F0nCaPxjtZPUz2cl1rzpNhpOG2TppH
fWR80Z1hm3VjHpQd79oLKSBVt57GA/VWIRVGtJ5Qep2danRV2p6XS1Dy57WIWFl3WLxp2uJ9FAAj
m5kMpsX/BetqLUZIsslU7+ANHKRrgIvoh+PCojOndetxUojfVAch304+CvZsXYgsuchkFsD3xtWM
FwKRYUv98WQCaMyjM4kc63f5E+dHa6/+3B2TgL4PsmALJt188mIEvdq6FnJKjr5Ja7qoD1Gt31H5
DujBRkCUwy6iu0cvsmMT6eiAVruK7OJ98EhN0GsB8ty7y9h4SHqKkEdwgLlU4Ib+cRbNjT81ZHJq
9yIV0UXhpui81nxeTul9k/tP1mTesI1VndtmWm6GyIHF2ltPS+Ef/E5oQUqceleO/MMaDUgVxvq6
xpnapzmrg11Z83SMrEI3byeRGhwj2lazUEFny6Du0HS0jSGSEIH304nvJ9HI7x0+BVhSK7ZQP3nG
+xCvfzhAGYmuT4ZRJpdpXQNYOnVQPnzr9q9f5Idc4n9eBCS4w9IxQUh1ivtEccrCqTVJwiaw0w9a
edKBKqhyCHn31y/DSfRzIu/Xl3EV0hCZzIUg8v3LhDiZnAJ0BnfjXVZfNPMf4zZVu4nAYNU5bLIC
/f2/3/kzDp1T5Jel5EIjtssC3++n7598Fz/5/V1aYfmE+KBs70e6bOTS2A7rrrjErinsK9v/G0SY
cmv/0A7/811/+nx++P0tJ6NZiVvpJUXcGk3PYtvSgwK5+y1P13/9Vn7yUmp9mz0JOkSgzf/wVeQe
rVM0nGaXAICp1+6xblStG7gZGsL/Jo2qfu0f3tZ3X4u6xD9dXbpICmJqeU4ONfBZmebc1a+5p87j
9p+/qc/f/w9vqnTZPBu8X1+IuoKSdHq85TmiHsX131xrP/m7dFnPR3zk6Wiydv/9mzJtbGMevOVl
Z25DKgunjR2+/vXb+dnl9uklfrzcls5mVrL18rL0ntPwydL+D5czVYYQU3y8fPtDu/n0vaRNbvcW
quEl/i9xylU+/x9uXiyloYaj/rC5+gEm+/QKpVYy3zuC2lf3WboXrG6u9P5v7l0/u5K5iF3btkwW
F1R69PPV5bP2VoLxpryPwW8OPOBi9jUadVWvF/NvruSfvBbavspWw5wS6E/fvxaiKCJbapeXsTpT
U5YWxPPGbVYVM9bNx5f/by5H/CUPjFXbF2Sh/s+Sp/q53yVP8xeiM7rahQbsQir3k+RpsT9N6Jci
UfM/2K//SJ4smFlUd7NabZK857r8Q/UEFqbrwuAvgX+VUA307X8Qy/n+1qB2z1R7l+8JHniUef24
zNAPsyRtYMsremEi5Jn5pup2f3Nr+Fhg+3RTJUWk2y6WlkNBhUPQ/4dLkYCumaZZV1+ZkjUvxb3p
WOyITaM0r2K9bbA8KmfKrpcqcbwLZAD3EVPEyK493Z6DWC8mA1RCHXRTdWhg5CcQwhwzoX9GzKuB
eOo851ehra3zSjvMnb/Xmuq219lxmWOSxI17MyXdPpwbonfw4UmBi7VtNWdaLS81L3vJ5+xZA5wz
1PUhzdNH0iciWJIYabLbeEbOANnxpzq17+3g7moKXtY5Js0uaawh0FgxQYKU+2ZEmxtc8svevjG7
gLf3GDn6QffZvjFFfdZM5Vve+TFRBYvYSvEWUrVFugloUqVP1Px07ZY932PYu3LtlcqulgZ+lKu/
qCYm06JLTFjlHaHgs9AwvrQThgYaCzlEcKbxLF87xzqbrbbcNml9KuNJ0qnkmoA/QjsIq5awYklK
w6r6TTSbpyJCy+078zqX7Dov4/CopSYAC5fngwHpyTP6dxqGEYsSo1q5TXVVVta5K1sLj56Td541
6d7RIfLUPUbWlAIxSmqDzMPowXKrlweBXGfyda6qQbuxpUYAxMjvZOFTuuhlT+gHSByyPvhQVi7y
XoqAkM5Zp9EaoIuGeiMvOkb9KyzSLQypICmkEVhT0wV+Xj6Ey2gFYeOVZCY4G3pDu+5Bj9Fc9Qpy
HjrmzGnatV69rojXXpq8ewUScGShzja9f0cC691KZKA3yVvS2DIQHRwigy5yIsFBFRVXo9G9iDTV
g1YVErGReKDUpFhbY79NPBXfMlk0sroecBq6FCyr4YrYwZcxgk+m5T3rw3G7EVZ8G019s65QhIIy
JFxiUUYwYvotypDyvfTWYLGZwAbQOX98yHS07WR23tPU/2qLTJVIshplThntj1R0nEAdtUGUJnXA
feVLNDe3pWWT68yorstddx1XseRiRcfl+E4eraH9U/J5uO7ylDkha3JYlmNavllCOtux1b9kUf6l
S+ilnDTYHWPUnwpXe+8170nzZhIH8PNApxLXnkKiMBsX+oKx6U3gc/XHgpW0Wmqnaj4Nn03N5s6O
JOwwh7KN2s+zLxkPooO9TOmVY8q7piE8vdRvBfG7JKtzql3rb6JvOMa7SUSAw2P/UMJOaJP0wbL6
de6AJuyc+9LfTLs5RjovKiCEmnbTDqmvzFXK39ZhAYhgpHdCc9EZWr9mjspte7Vw/UZmzfIaoEC4
D9jP4EPdLkC0oBkghqJcuY+xZ78l+sTTMUd+txaxLejtGOP5HAf/GSgpCeeEetjhKRoskuCLedOW
YpPW4qYS5gFW2808u2tHi+6NzHnqPJvAtX7uy+iKjaeruYhPS9dvFyo56N3+NoysK8Ruus5oINwU
BOmzBgJR11JZ7tnbth4vXKVMNhn9MYTv4sSWq8onH5h62irUtMu5b8n7+9kmNLq3jjZ1o5ketO7N
HrgSR8fdmlbqFkHI5jxpuFDi26fDrGkbfZzdezcap13TtEaQRuT8ba/u64vMNB+LyqI3daGSfCwj
gDkp9y20e6uGUWYv5q6fqzbwcqxozyzuMzqG2l4+Spnfd432RMzOvNYHe7nigdds27x5bgxxiFvz
2xR6l80CiDn3o3VZIInZVCWuk2aEIZvmybbgbHtnFd58ior4Nomil9RotUDiRp23y+zir/fs1ZX6
HFh9/FQafIsyvoOTnq59Uzsbxu5xENVy62lmsQ3VrmTN77caE549gZ9xDxi03Fl3Q43mAMHvDl1q
Xs8zhLuopcqdv/LuIfS7YW31brHnr9lbN3m/tpxx3I+ilzuy0Ig9cPYAkukxx3ngHlGfJfyxJ/Ze
wlraY99fAT+66SxQc47YpaPy5LXwNYHFSL5M3JEueGzFdBvZrXNgj/lRkfcANi3hxV8/dn84yaiH
LuujbAI5xDtcusK/n/+cfKjZEG+Gq8qTG0dcpt6dw29tE5CgKeOvX+v7KULt8BFu4TwulGsK+1qd
Dj7Nzl1XTb0hO3nlhZswu29mKqXu//9eQv0Kn14CdkueyyGXVzV/mDOp4Hj8atV/M5//9H34ZGtw
oZmx1NT1+UW6GFZVWkp5ZbZ3DTRd7UIbD3/9Pv78tfBRfXqJH859/VB5EYWc8srybotmuxQQZeRl
6T6n89+80g8HgF+/lE+vpH6TT59YHo924fS8mQaOsygdVsbPhuIkKbMpzhbopn/9xtQv/v2QJzw8
fU42OjA4OhK/f7k+SunVxLAj9PEoVGuOcxfF53Px+PEy/541BBfb7wLP+pmS4F+JFhfPxdv//s/x
OXv7yTmDn/n9nGH8omILxM3UCVNXeOHfoxUmUGJS2DbcB5Xk5//1W7QCvLA69boGcQj4GJ/OGab3
i8PAzv4vKGMTDsY/OmeYP9DXCZu5RDQgI3vsFCOe/bjnS4pMmHpT2pfZmEfnWoThcTtNWUl3hZFk
O2lZ1LS55H/BwqwJV+YHq2UqU7WY+yxkkCxmg6tX6j4Eu5zOeEWpxEBX8LhCHD2bKVumcDgzKl41
Tr4nd2EXfsp12sZIRHOn3vqL92anI08FYhhryL0LEak4QnaV5ylwFu2D0qJ4LT3gFkMRXHLFcukU
1UWKdJeDeVmYJqQR3TSK/6IrEkxnMPqUwGH6RVz4nf/mhgO4J++SpswDN+fbhNZIDbiMpigzZVid
N2BnWsWfAaf0mMOv9ADTFABqogRSDSc2mikVvUaAsUGzOJhevUn18MkEc0NRH+7ESBl41sPA6RTI
AtTsCmED6F9bu7RW+eeNYudkrUGkLL9ociRzN41ODZidFtxOT2wcbgT+T18FSyUlbRj1WaEYPQVe
mQ20R+eugRZDwmyhAz1Te5k1lprpzmcLyB+vja9nxQCK+/QwKCpQo/hA/kzZvSIGESmhoguIkCGb
pwyoEOAc2gTNdtliPsKHqONXSs4Jk9TQiEox71ixOKPawNwVAIvQ3o21VAyjpG3v6zC2Nmb7PijK
kZPBOwoj4EkRiRW0j3dNMZE44F42ipJEKymIBMBJniIoaaCUWIu4zuE6AAcEZzdWQaqoS3ZU0uen
SEwzbp0HmslVjCaaU33WIZYnC3yTHVm4Lst1w7wwtuJJ4iLQ6Ru/gy6hZUxmxJW7FP1+3meKDtV+
cKIARk2KHEUJbhSwo7dNgUrNMXQp1r+3LripmRV/eLqtCsknTveCL28cJ9vmQFCosFrPKTpfSxVh
4/07+2JWuTa63Mm4jYQ1KdjxXJwabEW+KcNlNm5CfjhTn/hCrg6+LfvqZZ9sfQ2INJBmbNCyjuP9
POqXC38M17OXurtM8/BpGYyxh40z00zNwAJPaTb8zJLU2mUasePlTnqF4TiSD7QbWhAzMZO9M5Pp
wEHBXlGlmpx53rTs3NGWm4qoCidvCb11HLd0u756hC+aEQoKN6mTOeB8uL5/Tfw0Wnd5etE4NZ3c
4kF69nzbCi17KgXcCaMh/Wxi34uwrTce5MJV65jZplRmkkWWairxfUyBceMp+nJhgBBzS+gbQlKI
WVjWZoooF8KeO2UGG7M+R5yhaeG+5Mz+RtK9tIO2EyZbv6PZHkoHRC8S9JnmmfaZiHKPsl1y0wZn
8a+Gy3nULpmloBc6Kwt6m9rHzddJ0daYpHkRLP1Cr58wHtOiCLd+x39XttLblQuAkSyjGbIqCJl3
WqrvRkKztA2r7zd06LW0QlYE410u5UXCX1QgwfKkfnsdS961rtGAEFXnYqbBr4BBV/nEntKlZePP
p5gsdonD4habPVUtdZdhU8bztihpgbITenNTwjmVZ5+znIklWeu7xM6e9LHdDVp3u2TjCNyBRQvq
rjGcs1M3tOR4B2jJidvuwrreO0P3HplhjB5eDWsWJ/iD5WhiUBFd3BVdmh/9eLwq+URXlUWEv6iI
JUTs5dhp/zA7JdyaGkK89zZVBpmmqjjrM7ywSEw7LIZfh7h/JwTBc/u/TwiHon5rk+f8J1MCP/fb
lCCQHHnKw4D6NXbOpP7blCBgEUDIcjkuqBTk5ykBCdMkmYk8yA9Sa8BZ4rcMpvGLw4aghy7PU4lK
AeufqJHU6303RTJtoIvbkBKgm5BL9/0fThJuTKRk0pr5NJl1LbYiA1Jwql14Uu86hfY2Ykyv95z/
zUR3lz0l75nkxohVvmHwyW5CgwyfxxrKvhUjGRKE/ld2eAHG++Ez8KrbLMyKqzkDYNQsjrGFyUDc
wtK7EyGx97j2OJPTTs28rAjWwwCzjz1s8HrSJcQh7OMydAW+Y94jCGZZOQcTHZtBmkbtRU2olPOm
f2RhIztntaNcd7Wct62N3tU3rNbngKECOFQkdXIS69Y4n2V2cvSqPjynSTzbZhrTDc9Aw0N9c3gY
ZKwDTr4brz8W8htUIAIfLhGliTNz41EcqlvaU875rnam8syNhzvh0JodFla1LhNE08iftYs2dV5l
iRTQVK7YAdx9X9L0qysT1oqsUWCqh0AUa9IQX9qih/fQxnTjmMSs4/StjxbjCWGMsuCcUN/o5M3a
7XKiCkSqCSv6pX/OfpXYOFLXzqx60o82BPhdAqNqFbWDc2xd99rLo/QWrfQg4/lOq+2SWwW8ft2r
rl2nSBEpWiiIukUooULnXTJXrCxdEtyfM+0o4kGh59vYpoSUBG2omxl8+1n0u6jQZh59C8/JFrOD
ZloDePppppAWtlYkGBXYt9MhMXi+Ri6PpgGNYBUPrgOL9MadRmd4wrCXsX8/lv5lwh5Ws6oWD3yE
z4cQXvqQJII4AUQ/Cj87GpW/pkJ1ubUYCab1v+ebj/i4ilP/97vXbVVWxfOf713qp367dxnqhEOd
KKFvoOJMSH/cuwwAf8y3nmOYXCHIHX+ccDx2cAwWnGlkwXTDy//j3uX9wv0GDp7FLZGzK/sv/8BJ
gVj03b0LFQSLg00fw8OxMT33o+Dp04GbSCAIVJLCl4ZJInlre0sbmKYzvLbsYo0W/Dq9CLO9FvaI
ccK/D3sml7CNm7Vtuy99kd+6hfRXYGTWAzgraCrJy6Dph25sjoBHFA0VKgmS2RoyXk+1mPiKVh/t
OqSX86JpDoxYAcDWS7PXDkSgTmC0V6KF7zyEJIDHGea123n7EqTrIhmVKCDppVMFlbZcZc4Qqur6
G8Psn3yahCGKl9f86QncSe1Oi5M2CEdgW02SbKMQMm76mCfzVxkpQclOb7qWjFSLNi8K+7zQyTaS
4t3NVWWc9NpS25y0kgvrfLHri7Eczr0u/Fb78jyBYW3MTnaNsI88X4YnicC3igztSbb2pvMM8dzO
FcAY6G9L196z4/Mtcqk9lrXZQIHLv0yu9m3AgA4gxu2zzDvNeQTojfcQ6tkJnthzl1bddgyzZAPm
hhp2o7F3pR0eQmBwq9YDAV+Hl90gv6KYsAboMox7za63UN/9oijh/bLvyeZvE3J+NZg6bbnsBynA
rS/+fer420HaSCvxTu89iC5eel0WOnUx5XT0uuUoO49i27B+TGLbDEajScG+IZR1TPJZ1j/aC3Fi
YOCrviveK689cViOjnEWXfixFa9Lcl+yA+kremPfhazadk10Z+TtQa9jFfft/TPpDMC2nfhbGbm3
UTjvaHSZmMSKs1kNXYOpvU1MYQvTmMNUxn+2L9WYZo2et6nU6Ban/VX5Mcwx1TnHSo14PilARw19
FLjEa5c5sBAwapkLnbGJg16NivwXWUhuNnXFPVpX4yRFYreC+TJlzrRmsfPV4FkzgXZqFO0r+q1L
ptNBjakN86qlBteF+ptZjbKQOr0gY7rFPWDMVQOvweRrMAFntgW/hvx3xmxsZfIsVcNy3M4X7KHu
dKbonrDtChvDnV/BLrYPMZWPZKj9woMkW7o3hipqYSu5LbRrvfabG0otinwn2I3sTZ0HMKtIgxG+
ZxEpSRvGZVwRZtMb98wtp/vOaV/6jENmXfHYiogpxtm1qPODRzQ1YKxa15MbpKY7rpNch+9I3TJF
8xZvrt40LunR/8feeW3HbUTb9lfOD8ADOZzHzoHNbubwgkFRJHIqpAK+/k60ji2Klq2h++xHm2qC
QAOFXXuvNZchY7wI0lyGvol9OHXGOQ2JDPB/tmgKuTLsAeOAzgtePrsghlVvuOOLZosTM9uMlIu8
CtdhomxzNpCIcJgEIeRW/E2c4d51yamRbjkbzHFnlM2DVolFaJGorjP37DI2TkZEXnpUJfMm0QHH
OeveQ3tbZnwh981kVJHtpGFll9luIwXqY5I7iyGrmUF4jxlj3FktwouuhMg5VpG3kpndzoik2XiV
emk03mvd81JH9z1IBxaeCSm0HA4Ekm97YYAs00mk0fue7xabv9Ju2lq8oj8/xtJd1LF5q0YBA4tB
4Ctz2GZZ+dJMeApVDP6V1LypIryxWv+tsmvuzi7bNl7gzmun22Cjl5DsrY1pZCdfHbt9yLYyjpAM
uxGBRWZ76J18LxGGUleRdhW4Twg18SO7G+hH6FvVtee0p8juHlS93PomUeKd6iyTOGX9k7mCC7e4
NiCIz6NRoN5nvhzEmymeoYy6S98eaRqT/KA3V77e7phrz2AKTVO9YTGO+sq2xdLAZ1EUdYc/MB9Z
hY2VZzV7NYe+jH5vTq1G/o/6hTxdfdbo7bMRwZjqoVNvNSc4TeDqMgiutNG98Fy8/iM6aPgVPS47
kIsFHoCkDOJlBq1iawRWSzaRPBmpskrS4aR77juJN6ucqPbabpY1/ZFVFFX5vKcuGpry1DjunYxa
cJqWBQ80sxi5xXr6mBAZtgjK7j2u2z1S2fu0zbdxU1yEHtJ3JnXX7agv9Ei8W8GwbFutvAwl2Xnx
eJdoOjTMLrlnBV7WuXUlFNIxAtV7Apn9ICu577MQEnmbOeRXuPNGC/c6quFQWsegD/bs81nGzWHr
V14MQtZH3bmx6zq5J+6nTxaakmsruN793EXFmapUclZCQkefkXNQhF8xkwPQ62Cu10J78cbxqInM
WFIuBBjltZUUGKJ9o3p3wOjMvSY5NBGVZzvInEI0eihi/VRk+rWZgP/qChOZVv0Kn37RqN6OzsKx
tuV21Fm/hAPvJ7fyOzko96UsbglHSAgNMhYoBsiTHPpjl2AzMEf3ZqRzgS0xbq9EE0dozZ14Y06e
ANvHfTPPNNSov4i/1H9s0J8bsISxqDjlcLjRE5q2Xh/Kk7pCBDIABj5qN9ns0Vp1J0z1s2zuvdxe
s/3ZRcti3myiC2vdL8JNsQrpfm3iQ7j+r8A9F7jTXvZfClwAg4voLfgJxGf64J81Lptwttl025HM
nIU/32tczQE9aE0SPtqvNlvA7zUu1S//XMch+Rd68Pv+HFghbSBPZdCM1ui3ID6M836ocaf9Ocpl
RIQGRTOtAPXT/jyK4xDkfmMcEGzSILKSqiG/prWtZKJI9yVYjm50pjarWuoYbID/37QFad9hDgKt
jZ2XJMznRkPiq1o9x06qaadeq5HqxOdtVz3twGhBj7vAmLZlWHH0W+O8WdNqlQgab9rDZb7h75LB
VqkMkiTWbiLHSyktgzGtAeEEdn/gZSOsK8iE687O0zcfq8iiyKMWYp/ptvFajSnpvIo3w3VTDc3W
THWgfOMYJuPSV4f2mewYsnKcKlT3euv5e1FVNIZz/JfLUHrVXFQkoeAyj/ZWM5gXvj+WFMKe7720
dR56M7PyexqiJk98koftic3wCxrMZywRr7GNsYmWCq9923orGzg8XqE1dBgq8ytKA/bBGECqALbD
qFqrJlHa594ObLa2ahRNQ3GNzWxPHhrGqAcNvczCI3LhVfLu2tRGDvgEqciFkujZJtGEcwlJmlWq
LKu1OdXJgkgY3oG5nEb/KE8FFZXX+Qe+XMDVDe/TvvYXbpPt3daja+8L5wBZctwmJlF6EbB9uP7h
mjoim4mAVc6gmUyYFDQOB1INW+w31wyVtduNGxodRyOO7PXgk0ykkFk9IweC0DJTPpqh6S/AC3VM
C+mOavA+WlDjDa1y5AiymashkXQeuT0LgapyGSulflSDJLlResu4zm07f4tVU+yyKsofGLYLbJLV
1xwB17fV87+m4qRH/OdVa5sPP1mwps/8tWBZUE9RNrIe4CpkkfmwYLl/wJBUWS5UA0/A1Mv7c+zo
0IUEieHYDrt2D/jE9035ZOpm7oh2HRzh7zMuPgee2lMc6/Q3sC03GK/w93186xlhirmkcxoCxu1w
VRQpJrAiQwR2Nejd2CEk8kJ/tJdm2KkhtJSOHEyLbZYGPUUf8GibQ2SkexaKajhCreI2xNPbWwJu
k7QrYqqtNDSIREGWRcPKTCPyIhQ/7vSF4ntF/jwKuzVPTtt6Il84atmZewY9fS0BN1Zx/eKMjRhH
qlDfITFUStF5NQq6kN1TXXqHsFIxQkm8K4RgmndVQUyLC3qmaouEGMEkRhNY9d0+You80t0ov3TS
pL0moqP/ouaWVQIHC4MvPBpylWLpuYjspECDVviXscJuClBUuGFkzGPp9sZwpeFE3NZt0R8o/Huc
212zEH75XvQuyZfYO8SLG4F3SBtTb+ehb7HW0OW/ZcyX8bjm1qs7pt66C9Me6R7BADB91ikBmNcE
VuJNMgKst60qTRw1kCssyjtIYSobOBhqq4QohJVZavhH6hp4GNMdYn7GrtlUVPTxTJv2HZ4X6s/G
WI6ncBypCRO91b8QOWhhnsMOPICZeDQY5RHSqusnIniCxehm7bFtk1cuab6tPFu70epITTHSgA03
+8ibQQwNLwfSaBbBYEWXFrTbtefhj45Hz71kr2NtsipHSjQQ4RMCzHiFWZteABOq79usaFc19Sk2
ukhnKqMRMWqH7GwHz0cPKSv7CiUf1XZlMdKKjHLRtGqxZ7Tb7alld/6AKXZwFXdVWYN8780w3bhl
FuxkEcGVBYKqHBgUqbxkaxIPioF8xKahs1oNbr4ug1Zbm1DaZtISSC9G3fN3qVDse/SID1Dq9Atd
ccsjf76/UqBWHupCn3iSQj0OYwjdnuiXbRDloJ1gn6GTK4frUOD+7uq+Wg5Ry6ymG/1VXdV1sPiv
HvxWD1Kg/fPKOgGnL9qo/p/jl4ispL93PicBxV+LLEFbjk7d7k2irvNy+efUBsYQvEcVmbjH+sbg
5Psiy0rq8Rk6m6zAFI0fFlnzD7gZfAwtxv/Vkr/T+fxUE1KTTiMgOp/8PrCtU1/0w8ZC0O6sDdsJ
kJ/isNT3kRn+Qltk2p96qwzvaanyi8hIYULFSf14jAxgm1emg7zE+b6lnKLxgPFQrJxMMioiOpbB
71CvxwkcaCslfVKtca0bHbxFQSHj2QdHOF69zQO/OrRCcat51hp2dbBtRZVLs25pkqilBm+67tVl
UfZquUnCLFvinFPXUlbjWuAGRgWCrA/pRrWsix66vw0bNu/sU+zkwbpMMnXREi2xjpQgxQFIPIGy
zjPcSze5GMN3MlS6lfHNe+fWqrL0vnnyvJT/WmqlCfk6PBv34BZi4isrWV01BKyKqCLyXdGYaMjw
0Sg1tuGhAM6MZTXBRG901Rrj0kXf2trMaZTLNuzurcS4JV3iRuCoDvLu3rZoZbo2k+ckMi8QXy8D
s7rAub7VgiDZaqKFxiTtfY+i3VXpmDGyX6uRVEFfRLgehx2M3qcyjnH1p3RnJiySiOx44+XhRSvV
L6Q5DXRdiBwx0dbM3FQj97dIF4PnLQco07PGg3cW0KBZNVLSgjX8cV8N5b7zlbXMkk2jRMGa/Cax
iAw0IiNNsz46ZBR7S9+AhBGE5Xocxdan5RBaVbqO2XAvAiXZirEAcwBaMK8lLP8wuyE2aB8aCJ+V
QbVfhy6poVeQXsEOeSVLblXSOZYIjAnCRUOedf5WlhXNZ9grWkxbOKEORubWxbMgtm4scwC6KU2Q
B3lOhLLvkfrtg3BTh+ZQ2Z3CoA2+QoJVvUjVN4I5v9IId9eQr7O94WWT4JdZ31WZu7yxpRlZDPKY
MzqasvPYwqzpEL/SfSTaTrlsNOeuoX5OQ9+mcSAQVZLLaWgXY+ZedXm+8mLSx4W/nLygmd2TeJLq
a7dv6BsaXHgrdza12j1oI93s0goWyC2eR7s7FCr+94g8EytVTyO/tNMAK0/wTFNbt6Xyotfam6LI
bWGOFwZJjJ5zD4SqcMcdRm93ZcXBUjjWXTVqCDDll44tEortBuJ3cmHpwynwsU4YaKBRnHhPJK8h
WaIrKnrtAgQeiWrmsUKDQpzbPByRW1hjtXJC5daV9Z2ZdAg2wDJYIbLpDlUGyhWExx0gkCLZ0ttg
ytdp96US3tJvvVPKYjbm/coJynfdkbvKU3YStQ5yLXvHZm2dIoKdEYRNWJEGFrw1m2uzj3ec394i
p8RoFYzERgqzvGBeoxslSh5TJhupZPoTBY/zWBMKKgjGGfw7xqLJtaRIm0kJNJV4ETGDuxIuKmUC
KEwirpDsTdp/0L96HguapNQRBPTBZElF59fztrSnJ4wuDV1Cr+mWbuW7X6BOBjRp7Xul1u1lV9uX
fkgUqJ+WHVwYj4i9EMlNNyCEpkKAj6lb142qkq5T9dUi6Ep3pmnxHmv9TVYmkDN6xuNdWQerxDMf
bRuaio3DplXGhTP5SFxYHgcfRthSjjRIE7v4YgYxhDWwqjxyAOtN6xYgG53eeEjWwRBcwE8bybjx
r7Azf2mlN499ohNjAkZ9Rb3xbb5lo3yu2wRPQ7zp4ubdEf0xtcaYUVHI9rBPn1DVreBtPBe0OIHB
go3V2D36ZM4x9MiJnwZuUfskFRKbBDRjGVf6V6Yxcl1W5Ebn3ROsWdAUDbCZqH2uG3NVCr7mpAcz
6jwwr7+32vzB0ghC8WR8I9PhIvf6TVMx4Ff6+CEIh23U84hKeej8jLGxn7N+2tdNMx6t2n6SoXVZ
xObcNbuHntGd1tMTcyBBdSYYU0k8Fd/GMieoiWKwnnmxvTZjHAYS+wFyrGgb1JLegJGjL7PsG23k
W6tTkP9B7txWXbRrIOLOqTqJlwr3lV8QtxXlJyAhzaaIgwdrqBDxqWJj0Z9kuSE3SoJz4eyz0LmA
I7QRSbDTGuvJKxkBjsW8dBNQmO6Gio5y2c/ormNkcpWF1UebFsANuwT/RW2SHdd6EY1IyDzd25nt
cFVjPWIqXu9iVdkIy372AeqQSTszm+7GB0vEDHZcIWkrYIOGJ9WU777aWwBt8mfVnMRZY3TwrJSJ
WHWb5Q254Hmx6YKu2rheNoApIUhZ10HLRM82gkcVCxhD96Kh+6xqjP7N/oSqnLEGjCDyasUjkvpg
pajuUZ0E8X1eVfuanjfNAJmtLNt+jVL8T5UaKI99aXO/jJMtl4THmQEW9KukbbvQjSyEoDnohz6s
/fcP9dlPHNVTf/SDwJkSxGPypDNiRirroon9sQTREovortxXLuMYRsl94n0xrW+90Vf5v8Fb8f9x
CCq2j5XUwF1sJy2HUCvwJ86xLY+4Zv79NH5sA5+N25yGrdJLhHbG1PzHY+h6OzBljoKjCprZdY5j
A9PhVlG+lfX/eCoM4/92tRi262cvrel89rcHRQwTLemCY8vOpmJaW8M1Uao79sJ9B2KlBu1i/Zfv
+y3LcDIj//NW4vAmXt++/n0HMX3qzx2Ejmt06injNXWxajj86MMOAn0E7RjiYjSbuPTvOwjnDxvD
KphxT7Pxh06Kiz/7yvYfqKIMB0G3gbFzau78xg5C//twwqWJpKNWdYCbQl2Y2jgf9hCGokPTqZLk
qKlmI3ZeE0ERjsDmKIAaE6dfZrbIhjlhLRUtimTR6hkQz2wjt1vCLNZ5frbJzeLGvQ8HfFIM5G7p
bou9KqFLPvq4E0CIIvgFu6vPwZoe0YBBbIqzZlPqFiGyfXZdJMNRKmnH1Ft/8dmQzS2R7Et1POU2
8XGOL+6ZHq6x8IzMSOX9qPZf7dK5JrOKX0BHYhNI5ioAQDZm7V1hiXjvCggwWZxNuDrVxurRJIQQ
ZicaIuO8oXacku6ObuFfka+Yz+wJZh7YI4kiwoViRw2UJcRy84ZFVyVnfUG6dxczbSqKqlt6lhlv
4FenS084VKuFby+zKnxsacsvcjAr6wC922xEmbYywjwlUMeg5untJtywQAYqw0bY0DP66wPvMSXd
EI4+TW1ja11rWrpHsB9cO40jH+xOBLOCIpDMmcg6Rq4OvVWLtEuSyHG2mvoJSimSsxr/nF05zRr7
Xr0Ki4w1vss4tB672KuqZpPrxrhADU3aHqSXWYOxkdeQJvIr8t+NvVsKKtjMG5Bb1OCkop3pKLa2
9UiSSVb6hJYanET7olHpLlqS6JwqZkoFhBmBKQhXiuoQ+fBkqVqpVgYHzYMUKydEuCGSt7RoH5Ac
XBSqGiwyp1+nTcLo1LIOwlMOYKq4kbJoYZWEF4Ww9nXxpCvJRdxH02Q3uzWCEAJa6L6aZXXSA+cy
zyTCjLBxkpMVD1DQkOEbFJJWGI8HwB8UGbQUkxLAo2GyyUiGcNtmPoF8fpFDUNXdZTYGr6Pso5mv
Mj8uvQk5jqp4ZrGvmuOCeLVUfA2QSpK51BvK2VAuW62ZUtbv8JbKBQkd1iLqOvh8A+IUjA2XKBaz
Bf7pYoPVgtRHIJYy4l+iOZ+Fmrd0gI3PExUZXmrB8XVH8uSHMOoWqlRJj2IPnEBKnw1lAtFabfYw
sch4ttjURlN6kUqMkT3lGflDcYMKiRp6yjry89qZVYgrCQ/AXIBgalYTjpT5wVfwYBOMK503U35S
PAUpTYlKQ6cvNZWMpXZKWyo0du75lMDkTuX/lMmUq6LBqwFCDTRSUFDURLFTJLt8Cm86L5v/Nfmn
lsy/vT/yr8VrlP+kCTV98K9XiP4HWiuDILNvejl+9NcrxPxDPdMD4Cyrpv7hFXKmFfDeoQlvE1ho
/pgvQpv/L77Bb7w+6AL9WG0gvbMYAjKBcG3eYp72qahx2H25mR4oR40brG0icjrN8Q3aGfoVK0XR
g7TH0uKVOIt9gD6Ja29SAOnOFIqOYQZlUHAWCXmI7BdtrYkH/ywishS3oZVLcQ1X01zDJUXBr7vj
OqgpU2vTM9cwtgXrNUp/ilC57ErFWwlsAHRw1NegwhlQ6bJcFZNboEfZR1sFB0FT8G+NyVXQJrp4
Ls9Og8lzMGLc2/W5s4tjEAA9xgQ43FCdsCq0evsFGII66yYXQzr5GVKMDS4Gh2FyOmTMyELP7C7d
yQWRCXbr3uSMEAO2nGFyS4hEQhuYdEAD5mF4k+NMn9wVo9Ev9EbWp7jOjYkjnz51kxtD0x4ik9RY
1t7LCALmgjrhKgbHOcPPdRjUGIABAUNA61/rqIcUC1zWbNJm5k5OEGfyhEAziHb52ScyOUaSgU5X
fbaRsIXuZ+7kLWETO+328ZsAFgB0jwUFeYkxbwCtVnT2ZwkKjqtxcqzktZlcSUwsxeRm8SZfC5tQ
PpSMY7SijsVfNTcIypjFkxlGTLaY8eyQkdJEY3T2zcQhGXHgvkr/hrW1XHdnmjQ3dr7NRdetsxpH
i28r7iEyGdXQt/IJTeXD+UFjT3WlteFTGrL5C3P7JRCZNesRRC+hbDwlWhOQHVG+qygH540SXKQ+
bFM3Bs+nJhOFJXsPR4tGTYDoBhvRPCMVk2XeRX6SJxTJnb0VHYIz3SJDoQO+FsaYQPQsW5s0JNee
cOeatAgqMYeejIGoRewCEFZvadKJrtfNQwcVdkf9jY/JSI2TdeZtCHVACc+IwJjrNWOOkp7Fhag8
OpbcaMeugAYgKqva2yYvcqUo1gX8CRznY7tmjPacds6iUSUZEvitdr0kQC/tAm1lmb57iUNvpWTe
V6LjgcNnV0Xb3vmKcahLR29nulJeDko0bHWb9Z1FfKNY7D4y3ie3KqkqS9d9a+jKRKlD99i5GMKC
N1Qcris5LG2qLc756A75hZVlz2On7C1CSbPQDeZRa/mH3C3rRUYA/aoNgxvqvwBMSLoVcbdJKr4k
N3R25ZQHrcSOP9MT9yVoe55AOzrKrkCglaOoVJouY6hezTU73ZJ+unSFeMmES82VaNhn3m0nYmnJ
VmKERpxUc7WrCQPVVWjCCGYIZHAY7Xk9SdkazPiwsVCoyvTOTREEm+0dUjKXm9Qr7KMPR23nu+N7
WWnX1thuHbzmBr1m2h0GQzTaU0qCLLB7CW1jbYtuWQcB3n/LPdVJfu0W+lcv4RnOUuOt8YZrU4Ee
TOLGYaBJrCTmvOQ7zuIWUxyigoC86W5Uyxn0/ddxGG776X7Ukngr2vAEafiYgevAHYgattg4GdBl
Gqrz1FKvslxeDtUw18dhm/tw/wByhqOyhmOwAXw6z0oAILVcKZYqWYmiV9ttiVorNwo+tSR0lkNZ
QLdV3WWuFmumqvEsboOT3mCb6oKNVN1FVigXXTeshjR6qVpQRYmE/Ze9s7Gc+0JbkMw+95v0TaRv
hd9ey8bhjlQ3tHQh8OWPVuUs6pFRn8kxGkHfWT/iUrmpG3tlkpNmBfLalN5tGiNQ81L0pEWvrjOE
Aig1uAN9hcGfuqJn8T5U0SUr3Ioog3kdgrp0MfQFdbg1tGGDt/lR1ZrdaLk3tl0+umF9PWUWthlq
g/KtUrHWkyoJuTNa4bpY1QjmCCRZhvAKAoO4IgwVRWdc6372rkHs1gVNdTwlpapuFK/buLWyUsP0
Jobq3VjaneAvdaARzGzQlr7ClFBtVzyKl7XnrjSj3qHI44DVkj6dnMu8XhQV/SzT1F/7tnjkV5kr
CXx8qM2SIAU05uQ2zZlnv9R5Pc9dZY+VYzsqzrIY4P52AKlCbBQzOo/V3AsH2rq2s9ab7iFr8+cG
s+lQOgTnwWFAszEvGrHJXTLEZUYP1vLWzIkfe6E+FCK+LhRtPYknI7/l2nnLIG82TmNxdzrrzuqu
8iLdlwR4d0p7k0bOxpX+0Z+iIkxIo75GxBzJU3kLEwLRIk6PLQ8Ygj73KiYjCj/gU2kzUhBqO0fR
eAfW8aoW9TGvrWusk+qMufJNS/p2V1Jfi3HS5KUXqRUw5axUeKzBQUwL1Vg8Dkmz14W1LimFWxSE
sdGjfJmKHgIMy/xOlMNO04u9opvhUfFVn4yiKL2pka7MR73ZwQckYBStLNZiRYm/hoF9FzeZs9XR
8LCJbJ5MC/sgWHhoxssk0r7aGcnZTfWYiHBL++vIegt/VSRrDQm/NZJwpaVOMh9V7Sm06nLlGclt
JhrG/TJZI/g/xYkbY2QEr1igHdVdZ+MnNgJRBVAyHcGOqENQsaRKDPoUYEGER36SgQ0HXe5kPnwt
lXKpwCZv0C8wCkeQ66OjjTsH1Sat/VDJ5woVQtK08yzlJYH7edMp7teus1a0LtdIKVaAUpZ5gWQL
558kVWZEBJzvhybYi8a6LYgoxyJLRAXMpCZKyCLrlR2JUdzrBDOytxNasU2V5jAq/VMtytfWFcsg
xqbgp7RmTRB/2Aec32PgnStEehlk3aFF8Uih+7HB0PRCMN7KlSNU0wgVc5Fco93+xZxyEpN8aBH+
30HsCbVnUtqeuxwfuhiRkqk23DflKN0vol/37ZMsME4yXPrVRPRnBa/BqPHPI32StRQ+SQWjz5F0
gFkmqmAH0NW4Lez7uH2OCnv+YUPw68bktxPjaaI5YmoaHZofr57uwir00yI4dcpz0+4rcvDS138/
xM/OiGqZYpnDGKb96RAAoSVa9zI8QXWK+3U7DMuUqIMsWEcIP/TmF3iUT93c6YwA8LFpYTKNl+hz
N7fL7Vof1CY6RUjmI4Os4Wl8+4tzmvq1n+6HHw4y/fzD/VD7SkOyJgcBwDprxEXshYt/v2q/Oo3p
5x+O0DVj0wls3idRHuwebVBx6zvRLw7yqZf7t2v16aspkyEpu6yOTlIhvcaaexFJXExAnCey1Oz6
qLf1L474s9NC/DKplIHmIXb98bSSyM2iPNaik1Nd0fKf47BwfrOffz4rlEW2adPVB2Dz6dL5lqHY
bidiPC8h7UUEBMW8T+/+/fv52aXDOUsjDqWSo3ufDoIi33GiiCa+KJ9yoiHYKcYTaJiAtXZvduQC
+lf/fsTpnvp8z3084qcvK8SNKUptiE+qVAjteQD78YvFYCKTfDjEBA20NAdyIVFUJoKMabv/8aar
CzNMQqllp/hCbOGczdsDItGldRVeW3MYcCuYTqt/P6sfDzl567iCH67jp0MizstkU3bxqbPrmU4r
SPdYFIrNvx/l59eO8YjKm9OyrU/flj3SH28yNT5hNpjr2t51m19cu+nqf/52TG262xgnEWjz6cYu
az3SBggAJwaks8HVqTafIzNAYhD/4lx+dsU+Hsn48UtiR1wIzbHjk2a9he6V5d9U4y+Wt58fguCd
CcNskxPy4yEiLYGDTuzmKc+PFrhvibhDb+1fvFR/9ghxs/11lE9ffSI65uroU05R8poqG99QllMi
R9LOk+akkDVq/eI7+ttp6chYkbafxVGaaX4qFRDPOYR5Femp6daVQHi9rMbr37zRPh2CXtrHJygH
/2fYYZWe+hFPixLQl7V+cdn+di+fD4FUn9mbhnrq01nEUqI5Yad1qtNXZdySGvKLA/ztVuYAqHQt
nhMab7o1vdA/vHpYOp1eIzDkRJ2XtdYcGRFs+lnuvZ2v1X9d2alL+c9d2f2b+Em84PSZPxuyGEJs
SkDejw6Um7O++q+GrPoH4G8NlAJqJioc/ftMb1IF4vQBcnYeBH6c6ZlIr5HyqUw7YIbTrf2dmd4Z
MPx9qcOQ4kGeo9SmWuQOZBf94/3haGWgauHYXDo1opmEaFZsl6GeLuh5epBi3BcmUP2qKi28usMY
m8ouq9128BZOpMdPka61/jH0i7baUm2UGQDDmLFEqVitcyqBaPanvC8vSyOJbhU6VR5EWVozcT3W
wAbC+NlAgHI15LCHyPJC0B0gLPAHdk5owHVzDFfNWc5aWfgftqavZCS/ao2T1k+oCGKGiJJYUTku
jNauo3ql5zLSdtlZzBeMOKPhv/oxIMxJ7+cZAemDkwZQdo29EJM2UEmGatlXvgbtxdaW/aQhVBNb
3I9d2GqbBAT8uDTOysNB90a5TM+KxNLxFbLxzFKpsfeO9qEd6pDsLr2wbyI8hAxInBKV46R31Mow
aW4SIyXf2DbL9ChxAOvryuG/h6AuHsfe5EVZkv0a06MOC2dbpXC4lv89omcNr8XC/M+P6C28XCKM
/j55nz7251MKtYAqiVGVOU1G7B9CQI0/zmqSs82Bt9B3+DOPLNUBme3f7BHfx+7eH/x/NOmgWCzk
u1DUfmNu4qjTe+aHZ5QGBEmjKnmiPKewV358RhWGl3ZV1dkpR3uKLPzcQx7aSKWhbJy7y1J2pEWm
TvladfReizFcMwO/MfEXkUH+ZejwQ5VtQJ8941GOcpRQkKta07lUG62C7dmmAAQAHoOO7WjHDQjt
kMHRaAouFcVP5h2vd/RkxbEemq+KnUxjz/4rd3+xDAs0c2RyMLCI9pIU8BlE84PC4FWoBYRVnvfL
sEHc1vj8DDrIV6VgPCNaMSVGwVZMhjWV3hdFaquwb+jOyWDj4AXJxwR9ZxL6oKv6p95V7tJmwAyQ
aDeG1TwG2PPWHmp82FCGfQwopZbs85pZayWCtSp4gaVbrGHedzMSRK+iSD8WJgmo4ajfoF+uZmEb
XTGn2WWq9WY22Zqw0pfajPamPiRzQcKMdPW9IDRY1bxNporH1oi2hZxSx5LgsajtRy/+YvSki5jG
a+15r0Kvj2KMHqxCviYmElJAGOOC9NmTwh8LlqvfZGGkMDUBsjwqhIsOSXRDvPUlqs7L0ah8rA6U
Z4OeIrok0mobA/Sd4XShS62ap6kfv69YkGckhDvzQGr7OLSDday09qoKUnworbp0a3ln18oOs4eY
+ls7t0Aey6DjWA6mNx8SeHeizPX1AC4V5Swg3slNXA6pu06cUCxiNeuWdudDmG4ZY2kpP3UGnUSp
/t53HWLF2pOttke1wHmjKF61FmbO0BseDq4vrL0ByLYGshhuBxRSqthmiiXmQleI1bEMf94X3R66
JxDxEZxxI77Eiri2O+sEp2IbxDjEbT1Gt1eg5zQ33kRVS0b7rokrRtrBfV00b+xK4fGOCAGs1jYZ
tXnhym3HxzwmGizQyx3l4YPSsudN6/5O8Wh18dF0OaLFXhpdcjMo+rCkOYTxQyves5p4jKgoD+bg
HROT+VgzSH3mFj2S6a5fSlcWR6fPAp4V4dIpjGh8J96mb9p2lhhCvjR+GS/UuvQXhmD0biTxQ5sQ
Ih3dGc2k1IbWseRZW5hm187dBu0Fs/F8ZvWi3EhN98mUIDus7A8mOWCLLI6MxagoV0jlw+WQV8hC
9ewyyvV8xmQHyrZhIHkNxmkc8JLISp3utRvT2BGWlahoNpVAXBdOvTQGSZwgXX7XLO5V23mnoOZd
45jvYlSfvNq7QGJ2WZJSr4OdmpGOFi5twuhnQ1Zdh239ksJfBHW9dYsRUaKHhVpDa869F89ckiOF
O7zrtXgOlHbfF81VWioHsiyTFXChxUhCNynvuKjULkHwPE2q2mRKaQqhIDbNe0n+7SyFardIpfMS
UchjYVNndaEkbBwlZMjetXcA8ONZzZAX1rH5yKqLemUQACJT+7WBtDnToFMuWJD3BCNJhr4tKtax
2zU+sEVdBNd2KF9gDIC3MBMsNVWdLsug0ea1CdiSrkIF+GTSMN40VoWlnjSfVIKoqhKUIgjJBQ9d
wSPh2ocUxcyykP5lkRL/Zba+nDtKcIOYg1Gnd+P55saQgzu388kmOaTXkNkug0CrVkHjpo+iB4Lo
992Fojr6vE2nB9uKHxzbYH7d9cn/Y+88muNG1iz6VybeHoqEBxazmALKV9EbiRsESZHwHkiYXz8H
VOi1pHbR+95MTDQfrYDMz9x77oZj1UA8HL2MRclG3Ig3cigOHOg3k1HKXU2H7XMBXFeGJJN8GaAj
JdtGABkYK+vA7yxmS05xQJNuwKvOTm0kr2OTYHMtQchL3hh79EZdF2HG50p5a1qJA4ywf2mJjly5
VcPurdAiAsFq1PKz8k4Fy30RNfEWMtM1VsQXAOHhqs7QMhm5o7DgIB+YIJsCQaS7xBWDlnXywOsc
lKr5NFpsodnCR5hG/JIz26wKsUli0W3Ybrz0Lvb9igdpCIoN42lClfknX3HdEZaqo87toD9u0L3x
NyW2b6/rw84NDVIbI4MkuNJEL2XIe5Yh1wN3IsIVp+QP0yasjAA7ZvgKUDIvYrSE/0aOXXyqlHnw
kU+dJ0UvETfbAz5n6JpKat1jE942jODN0rxKwuptVPlyrZEg0WZbMDQ4Oay+OCHarBHgzGfufyi6
hC5jutl3WcVya9J6tLKi/FxnSbZv5/qeLXztZ4X+qEzGJW7gr0OdbYgru+eyF0fQkkh+HXffovfE
rXvnzumO9CRg8Kj38eGVpFEa6MtMGI/Uk0TjASUBuyN9zbZf47FUfLjqMFnLat5MpXOjBnm9hlNp
EBU5FuuqQlsksz7Yi2Z6thQehi6S2gYIz91Y2HgKA+UAzPsZBqEfYm9YjUm1LWs4ChSxV2WKFLR0
RbjG2fJK9qixQbzxxRAxW77auhK99VAaFgzCbNzNof6eiMHmjAW0gBExWjtjQR6mjcq/s9p0JRiK
rxkbdis1nlwAb+oXq5UXrgH3Z8Zbs2oUTu1o0kMftfngWUryLArtnMaAM7o4SDwyHI6xhK+PCHE7
zcQ79Drpe71Id0mIMzl2kDGLDsdzrQWFVyYNSRSuw+ZHGVeEnDUbSXXtlbmUfsnqr0zp7yfFegS9
oq5IajO9vFbuoma4b1y01UUMmXHITghOQKX1jJso2olCIzSgs+waE0AHXJU8gVy49wYBA2GGykpf
MgfySulhjPM+6cCgxhAoo0ZEgULlxAtJasGgEeGK1HDUuM+XXANBwEFticFDv/42VJL0JOvdEsCd
SKRDTEY6Alaid3vJS9Ay7VUSoOByk4PlNV9baW/hzTV+QdhCUJCI5s5M6kcrfQzznLy2EZq8Q0hD
ouSI/l8QnJ0oDIyVYyiQLvvkUJmN6lXkdl9ocQnOAw+4QwhEqJhsoYbkTm2cYlURFGHnIGk0iL+G
OzyO1Fzob2ZcAuzz1nVH0sRkghPKl/SJesmhcJZECphCR4eICsfBp5MuqRW8d++ElYEkQp+2DlN9
I2T/uZILk7VRAcKSfsGzcNatuFsXJv1Rn1a31pKVYdrI18slPwMc4XlcEjUayzioTvcKZgfEFaEb
9ZK+kffifs7iwzhld9qSzzFgsCht8SLlvBhq0dIQ0jv4JbEeFfEexZLzIaa24zgk+6OzkjeX2jiS
VrSqiAeZ8+YwL3khYTPviVL7DHDB78gUqZZwkZYqz045+qIleCRyBxuvEWEkNakkgnQSHKc1Z/D4
Rc+p+ZYQkxhKV4+oJSDdJEqL54C0k6TrLw3ST8jhVP0QLhCxxtyUer1jQYvoUV2PZo5xty5vR7JU
KoPEJbJVasai3ZK1wgAT1wxOB1JY4kaeGmh9PWkUCAakdmgTdfLqj/SWrJitz9NHpkutgIC5JsMJ
58LkWF5vIlD5twf96EFVmrI/70GP7Kfa33egyyd970DVxT1q4P9UKVZ+NyfS0aBacPUsJqy/9aC6
9clgPuTYKOrQ1C2zoP9Kv5kgLRJyG6A4UG8M4f+oB/15vLuMiYCJOGwRBDs/nX7m5xZUDfSO9ZJt
XiAs0Zt7zY2yvPCKKVepLZWeUOSEofm5dVICSokJqrdUlddCIZ9N6FlOh4HqzutsgVWOR6ut93nZ
IDC2pW7SsLUMdfDGHAY9G0BTZ+WcXpd5+lih97bU6IkCsSPdRL8AU0sJXbCPnxc5a1hHL6UdcRBx
Q+BVdxHQCfq2DqZSkaQeVpvJH/T2NlKDz8smPTqWIpknP4vycHwgDZdDO+5nFA9NWpU+ejNq67JH
qns2lMnaTVGyi5d4dy0g6F0ske/BEv6uJfNTuMTBdxaVjloVuHCIqSnJjK8TZQffAvAxafJiiZXP
loD52cjvYxLntTPpYucSucGo2/x5lmD6IAvuVJLq81LA5pbbZL5WybEfWAxhO1sbBQKw878v4rcX
kQn3n7+I5+evb83zH7yJfNYPbyI62SX6TUOmyhv3g4RWfIJ8C0SD+AQNfwQf+g2Wga7GdRwwPkzz
mdD+9iriwuCdQZLLlBeq0z9j9Bu/uKx5Fx0m+YR0AcWkSXZ+3cErgt2U1qkhCrV8Y080UF27KMSn
BrRb9lilINDGzvXneDrYMAuwNodnFPVLifpmKLL2BpdFgD7A27Wz4wh0dzUzsinY30HqosaPY0yN
jHOIvcoehItUJIgxBxvoR9WeNrdz+ouup+NQ5RcrQyuVpIRREYAdh9GT5Wa+IofwodF6sSuC9Bjm
Q+DZwVKvdmq56fv4okSFsQpV7Uuf2YVfx8a4ontp/UGxkER1wbsc2jdGwxaqUBwZTpmA5G3i2zKN
rseweMbU8aCgAVu5Vig91CzzOlXMg2kppt9bEX8B5FGo2ssXx0xeI7tB6o8YrRn4FfumTddtpV4p
GfY3lEaUzUc6et47nNN+G2t4BNjMFvpIYHrWeYNDUZkhWNsyvYWb2A6vQZtA11B7nJmRk21m8H1+
JpI7RHJXnCdM3URX8ytl9okgrds2D/w8V6/bYmg2SWbkvuLOxyhzD1E3HqsyEp6NGQ5RrtyHarWo
L0Es8u6Xq7I3lY0St47vRmK+b9MSil9p9mQw2eTHVp1+YLafbNx0/KrIaTqEMkJYXWCcaPPE2eoM
zmh29ZNVq/vacCqg4UFwPSmLGafu3A16UwHiMEdGp8SWV/RFdF1aCrpS4hBie1Mm9RMOvnnbhjoV
SBUtkcCoF6rK2NicTAzl5bSzimDThTW5U3ZB8GOYv3YEKXqqbYcrwCL5OivG0R/z4Cmzh70VooSI
02ry+aKTDxGFhrAYfXiA6zhQu/Wi/DhoWn2TBmCVbU2OfjLidMBgaV6I1tB3jTblXtjPr30j9FXV
9i6+GQLCk7RYUKqljYBIk/48OWdiAFzfGa23ppLkNbnqRTFAd9U7HmW8OSP23DjbVCFtu6pYt0Wk
P0kbX3+ctzxDjp3tunZEbhgOt8oUtPsgml5RMBWrIec6I8kCun8veYxdG6QhsQq1kRk7JTe/4AB/
QU68tZFrrbWxPSs5YaghYANmYwUi8vplchEX24ONRLJoXeuaRIeOInamImBuacKdG5spX+nDWzZF
jyPy9w3a2NLL+l5Q84+bSe/0K0ZTX4YCgS16eHUVtB0WZ3N6QFTWeVYAMn5k7OgMbuqXJdhHYI04
tnrETxkXb4wED68+nTfaOBBaCB5qJ8J1bRZ3GPYvG6tiCkbQal8W73FXE4UW7QvNOUoH2jTxxgC5
tlqaHyIlOosEvVo5JUz/st7Y541xI0qmvypfdwMc8ujo6eCBEN+TtaatrZQf3A137WAchSLerc7e
QMRdjibahSCfDqUyPWuoolc1rlokdrQ68SStA47cjTOGY9B7id11j0VYy3IzRpUxE1DXlLf60LcP
5TgOX8ZAwyhtiVY2O1iN5lOYluaha+ELXGXwMJx9VyvGUxBaGngtpHHb3E07H6DYoxoZ1tocmT6A
qM7WweLlMuiI18Pi7xp47tbm4vniKfzSwx2YAZPDPySrfPGH2YtTbIhJo3YxjzlwDccCHxK5PkuQ
d36VWWF63y+es7yKOZ5S5Ok9hrSwsa8bixgTZTA3E3u1HemHmWdX9o3udl/zST7Ui7+Nt3jrYHib
3R7yJhY4l/F1n06mV1XiGVwquVbFABEpv1HhRXhdF7S7OlOIsv0w1wnNm3BWMSxEI1iEg5rui1KT
HFzFs13KiAEpQj/bik9xmrxozsBpML6MtrYpAEKsZsdEQ2rwHmaM92wlvRPjqZClDyRiWTAU8zbu
460inUv89IyypuTd0iNyjbo93Slhalm8VonHWKkOWJtM1kw48uE2n3WodAGnX5Pn4abQcc9PIIFX
iRazyWPbNxForEuhevlQDivNqm/ixHT9rLFPAZuHshWxVw/UkiwI7upIuzAiNWexoWzMpiGZ0C4e
sNTDjKwvFGuZEQjrMXHkazJY0RZB+HGADbmSY4fEdH5kFE9jG19OZpl7WmcdqoDFSp9Um9hdhK/O
E3CXeKsLhjCWUgKmJOumgCDkmZPEp4Gi0rRvbTfVV6pmvFnSbTbDzGGrA2VI4IDiCQHGUEwjHWxz
MDo0832M8DFu7D2BnZzPpMmkEqKuEt+iEEeEjX615r9100mWykOq808tnHrd9GXHcSM3uRq+Ja67
M4dyXyp8NKicdwazX6tWPebav8DI/3xz9arUeH9eT56e2/btjxQAfNYP9SRWAdo3KjZEjD/tFuEC
Lf8ZQ60FF/0HBQDZsgyu0esg5KL303+sJ91PqEUsviLBT/R/MCb/wXoRjc6v60Us5pphmipSEWEY
7i8SEdm7I5AOa7ic6JTsdSQDOBO9DQ8XIXW0zrSF15wCAJgwO6QPaq/CzkC4EHf7ao7FapTWnJ5a
MvrmdYL1kVJsqIoS1VyB3ewV7A/jHSajwbxmvIsHCFDabrTU0H13Ra52t1PbMnUBDQBnMJjmmfe4
wueCi0FZluy1hQGq4nAceFHmkly2ld2zf1jjJWvmNUj5nCvP+cB1pQBSRMpEvJGhYd5nKqTojY07
C6ECXsXCMnASUybtRn3qk/dBd8ZNiGJfrMMQl/F6QXTuonQMD0rgZC9xUFi+y7mooKyf5FrJQLzJ
nMGni7iOZRQ+XVpH80WacNfmOSd8UUwMUM06NLbmFL1bg2Ks8sJ5J7nKWHV5CFKy4mOVkuCUlH2z
HSECH6Owao/OEpITxlwgBFdQNjUKDaTNfFZTu7Txc9IPVg2XJA0zuAx1isXOacA4xcFQPKvOQjOb
y/BQNUp2ZUwwIPE6uFunKt5Seza3mIxCjAHS2LJAQ9DeFkvxYidrw+yzq1QwwGR+T4IJmwVA9QOO
tZJ5p6O/Ra1S7uiQeSwkm8kcINGagbO9EpbyUqVBuLPmrPdIS2IV0TTv9hAE20qLcWPniaSqb0Lo
Kp3GJKzM2wO678TXlCg58zPTBpRWeUgHiU0oYY1lm2wx7GG6dt0Ayq1b5uu2j0wsIXlKvJSB16cH
Ql7MDT+mo3/OChjZYU3B0TSsjhjnLxbobOLEppDpSz3ZqplVX5PBSkxFOHTXNgOx1TypNfnBE/mo
cNYo4YU7rlv8VUz7x2o9qna/avOW6e5YpDsVuLeHkCTf/duGf2vDEQD+xbFZtv/zf0X4lr390VSM
T/3v2Yl6iiwJw+CUtJk78aHv6inV+YSyFbE7IjxOUPUH9RTgNA5VVBzfoWq/9eLah7CKYxVdrI1C
9h+Rdpm8/STMsJFhCTRTOp0/Z7hYPv6DuC6BWsT02E0u+nw9m/YqiLZG/fjDH+bqm8zjf4o+vypZ
iLb/+x/iPv/gu5C0Y1LxGyjhTf4GP36XOiBmz5zN5KIrkzjzS7Cz1DUN3UoAw2md6NhJSrLKTnbo
FOCLosTL5uAoiZO7IXngOoudrWZG8WkQgiw8VQFq5SD4yNRYeCKM9gOYhl5G51gySO7Vk5iH6xY8
Sz2XxxHTIZqwg0iIqcglm76ELR9jB46XoDenhTP7VWVZCuaeeXTSEaCRZf17jF5rxQljcWQFvetC
mgJeYCvuahopjw+DMufbYBhxKyp0WYmrsXXqZ26NtCvID9KMh0B37a2dmfqTlivtSmEms41FGlnr
qK+rDE9UnT6WpUo+rJOKaRe6VQAkTS9wn0ndubCmdiK6qufYGi0niladXunOw6zVFsngWrZtlBmg
rVoOZOl6IBaEXTPzzrspWInRVC4dKFFnvj4gdrgC6RIwXC4FN+lZPkEciCsWoRxMh3hHekB66CFI
Old8v1Z/MqfQbo/aVFINE+PNKr4xx6tIRXtZh5N7dBvLPhBCHX4Rlmo8ShsTtJPBYTa6grYJnAaK
CbJPSbBwuJEtFiWte1+Wjr6yUJ2tlV4YvlaNGNqIkGCWH057qZns0foeoQF/8xMr2fa5JThxnCQQ
fMQsK7eO9wpp0GuUikxPMznckCgOXmgCTgHZ9waqproimCz2nQlFRVnl0E5Tw5eliiIwfnRyk931
nEvfqpm5NB1j1xZpISq8MT5Ycx+tbSLgtl2XqV7BNvyC/TMNxVS3W0uXO8BtZF+PWnsdYqXmhsnP
cZGdZdMWG+Y710Zp7p2oTwhPyXa8Makf6uKqdYdbaGvyPpSj804MO9Cr1LeG0Xov4943CT5Ig1q9
E0q/oePdwIdI1y4rrtQhmmLEhNla1de27d6KuHmbkumBIa3f6PLggi2Cyki41Lw1RnGeHOnTYe0Q
Xp5mtnFhI1+E2RPJqGyyQeX+IYmkn14LWMxh+RqIXvUHK9O5xUN+CFN+Ma34JZstY82usz2QxreA
reaTlmuw/rWzVfXYy9MvFf98bafTIzn2OpDWJtScXS9metV2DfVKo52rV3qAo1RtC7FPMMb76kS4
m21f8TvemD2xUmM8h2QvQi0zpIjP9KoptFftusuK9jzU3THURh7mTt1mNaINhik8Zfl0dHmJRGmj
z2/80XFOTqWfjLF8BNHvpbQqvRZeF3V1AntLDop7ynt5HbkkP2qklwTMJMJwXKGSUldJhJ+lb8rS
CxtxkSrpE0bcJxCLh7hNj2XmHJJevZ4H1c80MuCz7EwH7dVZPR1n26YWo0hwmKfUqb3rXdPHFhGv
iCWAYTUgXMLSWs9Fceickq43sFcKgBR/CrPCN0c93dZutQ1agr3nSak3f33y/kHOGSYqgWbaFGgT
YPL8cr5Hk8oEyMoYV9aptpaZO61tOaWM8mR26nLc+LYMNmEZ5VRN85ta1e11XafizpkdBHXjeNM3
yUmM4LNd+1GM3baOrPciTfB1V+TLh0kgULKITTkv1twg9srAbL2BghQyOXBi2+l2sixfGnvuPVAt
DxqDkzU51zqKGgI3MlIhaq8d92qVkjYZFFg8m61myKtMQ/qW21+nLL/t7eTQM4ed2+yAe/dkVyV5
N5q77Yap9Nsp3mlg1bxW4hMKFDIFjGQbMnv2W9HeGBMY8yqyDiJyea9R0J6CjuV90oz3SSwNJrB9
zbOgXRoxdtHaskhbi9OzrJD9tck+HcytidOSqJWapj9lTOc0NLwOHLEO62NYnZgWwhYvtMs4G45Z
n+Me0JoVP+XMvdYycmguSfe4IdSaSMlCZr5VKLGnVxR7TXOFpEX6OftY6r/k3pgWAOUYP7sCl7rk
YRp5QB0CTdO0/prWYqtWyCYN9Qs7Yj/XLc9yjd3AOaS35dfStU+iFpK4NOVroFrzqgKfZ/XABdIs
V/eQzTnLulNsW581kW2EoL93iMKcck31knZKQVSHl/psqn4Rkb1mVKhrNFzeDyXClSN7oYZR/JDv
//pRXRSgPypEKUTge7MIJCFLhx72S4mQzM0AkjqPLwLQhXpyYPT+Nz6CnxeAfEndpk0k7M9kzo2w
9ZcFoG4R6+e4YXiRAQhVrEvmOru4umnA2yOv8GKrBne5/uvfigb0p9/r9991+b1/KLD6Ku0qQ1eU
s5iKWxIJCR/m/+FW/Ex3h32fJR8yI/PRCvS97At0qiNbiKwYSk+gX/DAuX4uFfsUd4bwUEwQSzSo
L04EOg8D0b3l5AOCl+loZ8YXK0jHg5oRBcbTVJTrfraLtVMpta9W0vFQ3kz7frT1l7JIug2iOH0d
x/FrxrO6roUV+ZzAE6sRHPe01Le9kc0EtzLeC6W2z0P9KkI6S7LSjkvprm2ajQW/f6WZyU4XkbJO
oOivsqEgjWvuhVfnFpmgA3gCOx5vtKggJ5B8HHgUFtLb6chD/1636OnaKt43hrIj5vdunJNH+EMH
sysJwE0p1uJARzHbofi1enOfzgmxPrVfTIHm6xlzfz1IOWXFo1wGrHGSn51o3BbNsJbBzBMMX6gL
SeKity4TULPVnDh+kwXnqna80LR3aklyghOOt2jxKeAq5a7vEAfreie82e62ColJ6ErKZyusz43I
r2ssAk2HeblVD9jMMb+Z+s4mLNavVPW+mKLdGLAokE1/UVnckUll7unr3nCF916A5bw2jW1YGSd7
yLy/edz+7hlfCvEfnrbBoMTQEF2ek1NxhfB5Ux/rh2E7782ddXK4erxXbVgROnsunoa/C35Zpiy/
vcLfH3V22Kz/tcX8/PM3xyPgFCkynHPlA649aV61waylHpVHeyPW4v5S8U6Pck22m3zm/2QX00ms
DvEmuNBR5vzNT/NzY/Pth9FZgmKPtmijfvVhT2JgKAtf9yISV5WerWLx2Mhvre+fsgd/PrN+/z0W
1fsPf224cL0SRVnE5foWNjt3uv7rf84//B0wIyKOYI7GiOvnr49mfoY4Ay6iVK5q0CGNSc357YT6
1/W0GI7+vH0/P+Op+IMlOp/0vXH/6xjIj6gHC3clJkvBZ31fojufgKOTBAH03F366h+W6PanxQ8F
SAS8uGHQDP+ToSdErJ9eN5boSGaYyuKUX34KvuDPTweMKmilipgvgZE+1Dpb3oyrZVVUNef9nG+c
2gL3UO7NSeFScR/ykgNS9CO7Dde6SxzjrJfdnqi1dS2doPVtOyfeO6Yavs9Kl1wKTVyHSoHzlvWP
6xdZorxoZCozg1SX2Cj7I0LK/EiTWnKl2iVhKl+ypsSSOlX21u2w5FA5crqE4MrkaomoitCr1YRW
TYRXlYRYIX/tV2LJtRINW1WCrqLYOQALBN3XvjYzLoIlEStM4N8k2hXLkAdNtmRmdewTAmK0ZNWk
bEuL92lJ2IqI2gIrSxDdkr5lauNlRxwXMlZozx8JXUR11UtmVydoOVyivEIBkYP9tbohCM4mRUEh
BGxAkeqRLH5Ue/tSJyasJy5shh6H08wms44kMVWTx0ZWj9ESMWbY8Kky/Tot23Vn5g9pTEhCQyxZ
1wyAGskpU4NFSlm+a0iIJVRxt1/28Hp+Qjq5V/PpISXyTCnlu2hYxAtlsj1N14m8A7e3UpS0W+lZ
uqtbpfL0yPIUwhb9QONGMTl2LzVmu0wCiduTHcCjqBy8zm0Srjya5Jx57tpJ09krRkhPuOheoyk8
FPBmtl2QoFUHtlQ4Gnsafdf3zWWQEZGrUwvgxmhqrJaW1edbIErIKMws3+sAcNrWPINUZK1bQmiM
Crkx4JakyFbTbFRWRs+6uxifQwv8MF9zicykeYKSPiBCxEGnPIsmTLxGAgpXU5qB1n0DlemcGZNB
GhNtv9H6yDplg76rkqK5hSNpXGhdTjy5FjINsN3En5t+h8B49lorM1i+gRNGo7CltkaZzfN/0TM4
shVjr9TtAwO1nei1h0Eimw+jVvhdq6ncPVpyYtjPUpu4jnVkgp4kgBR+ygikWceAtJ3AY1xUo65d
x9qylU/l1jUq6pXwkKctDM1ae+YaMmETT/ElZuzBc4k8mZwcmTHQJubcmWcOxcsEyUmT8ecyVMiD
6dJ1GPHvmWRThlIS0NCYb3841P5g9PbLDWIK9iGE0XJ3oKNbYMI/nxGVPso0U1z1MsvvU+MrYvu/
Ldz/4FvgMEfZh+1MFTSbP3+LqQrHltgl4zJtX/r0aqruCvf08Vv8e0ctasc/v6OW6I4V7tzn5usf
QhOXz/5+WZG3ruoqPukFavIRv/bblJl7B/eZZQj4bsituEe+X1YmH6Et4qLiH9CiZPttyqx/Yhq8
6DKhYnyINv/JZcWd+MtlxRO4XHt0YEi+8PH8Uiq5DCOJ1NGjCyUl09CULKqcedL3lgRMIBsdfUhX
dw2B5ZNioyNPZ3OBttdtcj8labJ2YcuLi4Khqs9UJ2QSxE5ZXuOtKafnXjXUZdKF8bXHjZXJRGNG
CWGSHTxtX8BE1lbreU+2SRO2265SsujW6ZBhNCYH4KpQbIFMK5yTu7zM5D1ZDYnmZUxkUV1CCFl0
7tGmYmA7l13WIqmMoZxhD34oVOBSqynp5EOVuw7oV7OaJ88oZqQKSkvkZcrm/0pPZYVYuk6+IEIn
ONSF3Uf2UhZcYqUMnVXmJPF5btG9e3kwY9FyYivw3FIjR0TkXq4n/Vkodn5hW4W8yfHesiVPNcPD
CSx3vYKUvM9q50nDZzkTLumWM6it3mLN6MQmQbHQnm4UfCCzN3d5vENkML/mmrIk1hpTW3iTqM1G
2zC+SgCdG3qflntH6t3WbPgHaf14VOSXLm5UleQqVldGApmwWCffMq3mbwlXLF/ZfGJtcfifTVUT
bm3RzUCzJB5pt2ivXRzaaMewmq+y1ojucmzVrt5Ww1X5YbYulFCyxmwFGoXww5DNdY4521l82mnW
anej22do8q1lIj4UIs524mNYTuoQg/Maqut4yG1Yim/W4IRv7jJ/B/YbYPiLGMzHy4y+Xab1udLY
PgFX7edIV6vmssYE6Flz923m8O/JtdS1f35y3cTyrWnjr2+/r7CXT/zh0CIqnQLWQZMNCOWHzRhL
MzjdwLpddnGu4N76fmaBgMWzjNQAVDhKVaSo/xWM65/ARDDaYd+AtnRhwP4DVcEHMue3dpbhIHCo
ZQMHX8Ci1PqV3BRpBd19r2tn7GB1ZZ8UjFhYMVxDtKTvuEaSXrq9pqd+ZAUYheKhnzfqNOFAnDrI
1fAYs8u+rBU0dqOyN81CP/epgphba4tjjvL1dtJRNvWkZZ+wf5evJFwOBy0f0ltDHZqjUSZu4XWj
/RZosbErDSfYMBtd5inAYZ8iwXHG/h1BXDMQZu1m21RTB3/OCpb50lLfFT2eb7TWintIe2gliwkX
J7lPcLqt2h+1RFuxxsY0GtnpVZ73wZ3GC33TfxyPIjFTzsrs4+Ccq4hDtPl2ohJBF3K+Gr2QnLby
29k7fRzENETyumlUZxArgOQG6RHLsW1ZcARyM66TeyVZDvZaphzyMATqBhfYcvibyz2Q9r2+N5a7
YUa67DO6Xy1oPKer6GgKE2eRbFzzKCu9eWaEb7E9j9BwIflvWVHUkrntFBe6TsHG2HaKML/75Wzc
zCquop0mGWmWdvLaJVl0qBi44X2Ds7t36iWdk7mQupkas8B7EvFgDuec0KRC+VaR/XsiLKy2Pz8R
Lp6r598fBsvnfD8MaLeXPSHLcPBVZDZSR37fk/Mh6FmUMEKlhtGWMuX7aeB8orDRdCIhXfYbH/Kj
78kBzie2zS4f0aGT8Dr/o9NAX46cH6ZbS7u9YJSMJaDAZR24hOn+OOxp6jY3TIZrl1XVMhDUOnyi
Lgqaypzu1aTeBgurfcAlGVT9i+iDp9ga6bdH49iaQYYRV7l3Ze0LczqbM1BDE8QrloxuJcL40kK9
OwXOlchCzFRqr5FHJbbp6J4H3TyVebl1QnfXJ9plIuAUOMiVvCbEv9VZw61lkgpIO/ymWAUKHBc6
mzTCs70wDhS0LSunNteTtkhPFZikEACEOdhepTkPdqVftVp2aRKEgAC0kIAvZYawcNoGI1q/yXSv
syS8DYfUK9gx+ZMJiTnMSgEL3ngbyjA5z3NfPRcd32cy5XZWmtDTUdbD0t/lSio26JwaH+9JtCaV
S3RQX6tDT7jqWquGYtVrvKRpVGMhM8nJzV5C5v+LU2dVyXbb1w1kx5JtzoivZWMLFrqkUDVFsR7D
zvXqNvIbI1P3rKmPusAhhzYA2+DksjARFQZ31Ospqz13sG5rNbZoyprOU1B40u41Bqe0tS8GdMjl
jBnQbM1sj9LtwqIj1YuCGJ0ueGpD5y4Bf0BOvb4zpuCNpotod2ME42vlfmsm6DdLRNOKwTEdBS1k
+lzcTY6LU3k093mBLtwIqxuSDnawoW0vMkH9hhR8Xhm3AcwkCaNALHHiiYvrHEXuHMXTug4QXIEi
eG3UAoxprULGV2btxq1VBxpqSrOKZhM3ReQrxD5s5CDcFBeFlp9TJKF7q1fMXejgxBwUJ91XjumP
toHpAbHKCstisu0wH9e7pg3L4NZBZn9QrehrqJTV2oENcODcjz2EQ/umDu9agZ4NT+rOUKrOyztr
3Ua9uZaEmjmyKI+F05wJ03wvx6JZGfNAJIb8XLWTjaYrfui1GnOF7uqeDKrPkhSytd3Op74YT3ku
FhN+ghDbwQlRhmz1zHNBDNgUKA/doAoPDMOOop6fOjQubRIbeg5rMybJAkp3uSKzYZvY2imzwHII
t3uaq+BSivTeHQlYy81gH2q1uZUIcKmF63jdkBK/iaOCHVt6jkL8VlkYrYl4PReZu+uW7OLBVr7G
QXyPeJsQaSWMkO6Kr3pcPcjU8Yndm1YNXKJn2Zi4ipUv0lic8J1z1sdawkW10msrNZ6QcB1b1f5q
z+1xMquLWTWOYTwTpFSal2NZaueiybeZqPHz29ZRH6FMNMxkFC26kaEAzRBPT5p9lyprY3KOVRxv
XMn0PIgIDCvYVsTSRu+QZtdg5BVPK5svldLdJKg7PDAMV9H/s3cmy21jbbZ9lYqaw4EDHHQRVXfA
vhNJUb0nCMmS0fc9nr4W5LTTdtpZN2/cYc7+/DNFihSA8zV7r22AKTf1eqF3GDhw/iuKuRknpjyd
D3DpEh5qibAl9p0r0tu2VhudAhK3G8lfXYMW2wIzWUfJ+NEx8f/WeNpNe0O3wJJKCYlNaotD041b
Jw9eAImz0BSCKUznEI0S3tSx8eKUUIGbHnVhWlj3noJvQSQuNzHG15nu1ySJ8CycOWPcr6sUT8QX
Aue/J+60a/z9iTtNuPOs+tWpy899PXXxbOqqpU31NN5N8nW+O3XVD7pjkAI/Hbnv1fnXQ9f6gIlS
CAsblzaFJ3NUfj10LTS/OgNxVF5SWpO97B+U4HBzfz50GWiwuKVJ0FHKMV/68dANS6LFrVHzT4k6
SvfK5xD72AvVt7cGZ4BH39gZu7EpzI+mLztWMEpaRLOuh/gLPr26d3yZ3ThOYIxAl5suW+mpVT9U
eiPwXGDcWpo+55kMlPteY3QJjUTOY02L5lpvYvFO140nTk1r3nK7P3fe+Kz5rmROdzErO1kSlLvW
4iRg/GoxEI7MZd+6i0Ypd+wSGWVUU4pe2VawGYbnqChZfnbgGJGmVCwPOccHRBZzWE6rOAWToKSW
DQvG2UqPQUjbuZs8MS/QxS9JYIpFpKOFcPvjSJTZwmmZaqfFTa5rH3071GcZGQerNAWAgdR4XNsB
oe8ot9BDSIOngXVo7epRS6JVREz9AdjCvvEjLDauZi9kxSNEloAr6MjteT5Gl7bI7wo55ld6yVE5
phgcsM33uBmgN3SyZXQSwwGpdeRbPSSOQ4rIdbTyR6gS7bwSar5o1PJtrMoBjHQfg/RpNnEVrvHq
bwTOlNyyQswfzpxkzH6G8XCF7B/HfMh3AMoMngW5EJsg5X/Jtgeu7WT3qR+9YkG4JvN9YefxJxH5
t2bGY7euQ3lwecyT7HAd5JjqWsPy524yZXWSXuxNPtUslhffNG9lmeBOM6xXM0v3zKAu+WAjLFJt
lEypBSq9zcJZ5vX7lHiPWu3amczSdRxAXtBkA2RFtLOmSO9Ds0LHAe9whUtlaeb1TWqY0IQ6dgi+
aq9kYbXHZjLAWUNl08rIbR2ZyT0CtH5RRs31SJc2M5iJpXDup9oML9/Q3JVD+OK2HRtbv2ymNJ6V
VdoPlMePluvNNdYZcQKYtJ9+DbW9KANhzu54ioFPYPwDygG8YciOQHoOsROdx8GkFMVzlUajWJV9
gHELaxDIt2EP04oFrREeMo302ikKyFfsB4WgzFlNtt9chL07V8pgFXXR0ciTk+7QlzrmmfMb6HZb
IjOx5ErRi4+SRAzf0MAdkXhqZgQhtOZpCDpCPkwWGw4io7Zg9eRWt3ZovZhKf1WazRuc+tuqtrYQ
RA9hG4mt6ltYkmOnImWKvwN65ddYkPyhjYi17T5uFnlqnvjw5Cp0/mNRGkTwqslJc8WZxfqqcKIX
eF9zG9wH9JEIdoKenOsms7GzsLRK6vTBN1mmMnTXZoqaxnslbvK54RMo5aqmObeS5Bn1d7QE1XUt
KvcxVrJhjgkCNT9CG8ceD3FaXzWC7IJGPnVm8kzxDbGfN+206zAPFrHrbP28PlWxupY6PJ08hibk
xlcNm8FZKm04MVG6kNoUrS4EhbO/c5hT7YMpnqp6T6rqW0KriEFsZ8kUZOU4BZo+sq2aKeTKe8+7
KqboqyJWa3JE+O29KRgLBJp27snKYnMsjj431py/uXFKp0gtYwrXMqeYrXEK3GKcF+/DKYSr5itY
dlMwl5giuvL3tC7vPbmrnUK86vc8LzQcMS4CQr6UkLiv99Pp32NaY+D+N8c0kqxPv+iM+aHvzuiJ
bkmANnl18Pj4V986Y/EBbTnCck2yX3qnJ/xxSOO+YS2DjspA9DdJn76d0e++HGb6LKkJ5dGmFfU/
OKMl87sf+2IpqQ5MRwiN1/qi/f5OBFFkBWYvP/TPRROSEUpQKh4XwzoJzBM8ULx3AwxkgskN0+R4
FJAiTzaZAQlNuSL+GftM926l6exqg2FEd58RX4bqsuvSWNnzocEqCLJpIGsibfHOMkqpULGo+rBl
6JV7VCajAR5lHleOO1k2Ugt6SzuYWEe5qxzyUMqhsUZ0XgGpwBauymIWhwaMsx5R86bwSiecpwkQ
I7Po4vLkYfzEeAGZ0FrSP4GximwTa2/dKG8Gi7t/Z0JfnGfa3+63rrJfRoF9v9VidUXeFuxfDdnE
++X99cqncDXZc6mAJfGRvVvCvpan9gewORpVLd6KPxwXf5anzJFQ+YExIGpS/WfeCZrTn6994uiZ
XON4RBoARH76999d+9XIjryB3nf09HQ8FFjocthWNtichdJ7LRqA0W3QWypsbOKFXbtWdjWoCf19
E4Tv2T1qfGVPGEySWjzew5tXLOslSSwNeYJLD3E6CVhjZ8Q9vSWZNg9dg/96MaoeFCDWWoqTbytZ
inzmtIbZXze0wRx7SuatLKNU5k2fPqASQGuK4byeCsyqamsGsChE8UsnxBEo1cpt1NsQQFWZmpgS
ErTrg3phl42fWoANytwch3+yTwv3ILr+fkCxhxOC4gou17rJtxQkTH+8HJ6bGQbzyGK9BQ0Pm7ON
ZKBxR1Sv/fiQWM4ZjF6DuV6fgciKZrCIpvmtlbOXtncl1DJtyhkMmvaxJkBqJrx4nwQq0cTZcK6y
dFh1ZovgtXGQ0rVFPdetsV9ENUEt6CvH5WCUxDCp2hLF+7BAtw0pwm5fFdnvsQwj4yAKjBWbeO37
PMMpUa3wgmwCA4xTIuJDaGv5PCjLe2whTAqK7kDWdDNvA8IDx0y/USjGCqvRVm7kzpMJ/OeWbr4F
U09ws8yOoZZdsJ3NXQu8F9IXHw7frKVUgtW5HJr4RYJHnJU+JFGdcLU4guIiUefk3k66ybLMwcbh
eSAos+5DKuwsWtmDBTxBr68ShfItiic1Nu4E4XkPDeU+QQwOtt1BDxaK6Z15nKHYdeq5KOpd2wDN
LNTywcvI9RojY8924qb2+qXJjhRXAWzgNLx4aXsIDH0RWUEzM5nVYBGH/ZSjfCAJ2vXnau+cCXiE
v1job1ksqo2g8ZwbaXY0RFqvfZ3iUo/uWCXfJwAus7w4KX5OHpCDr03GPFvtOGTxl9x3FiNEfDeN
qj+peZMtLIqPtotv+shg1zmlEU+hUb6NmHuoQuAHqubvUZqLhe6M+Bq77iHlPCTzuX7o3e5eyOpW
VshQ8FGuU985hZUB4JLMMqPG5U1UEcCKbt5YUc4Ilvm/jYlar5sbN0SIlLHGxITjbb1KepuiLi6N
OT4RefWxMOhu+gBooxMGxTJspZhLtblrAzbFIsI+k5n+TlGyHduqZ2ZVjMa8QmP+Im4QIK+CUt7m
lboGz3fu1KCDWa/fsJ63F7avIprplaPny6vAypU5YOlVH8QE4FnpOhXDc+KN/SYavE3TAi9TfNth
lEO9SABrtqrr9ClMabKGydIT96O9d9QBtoYgNUcdy0NgRqukw+DuaohiMJiZM1PpVnE1nISQBFz5
WOrL4kgHdkeYk79DKQVdTvRvUeBcQok11NTZAou4hx0xDp+7loapbTEsuB47Z2xk9IjV5MiwUCm7
cXOD8JhLB5PZLBJQ2LI8gM01ZMZcZv4m8vpn06/TZW1OY1vToQouroQi3yJiyNAEMeRkAsUFBTgB
wePnEpCClwWbYcye0nfCAqgFa2Iu5MAX1BIKg80+ekEEwEX2mtx6mFJn40RtEFp4JXBuDOAcBrAO
mN5Ic3L3SRxu/bq4cf3icz1xIKCYHAbAEKaS3+YTKUIfqKCJBjfxNfHcKyeiBE7RpTUxJkJgE+lE
nbA61m0xkh9jIlJ0E5siaLt7Z6JVNBm+1nYiWKRB9NRPTIuemTVLLXVyeTKD7jX8PIP/oHVv3UTE
sCY2RjrIvW8mT/3ANyocoqq6WsNPk93DMpwYfAjeJNEKHvP7IbJIgtLJw6qyT44mP46l+rkVXAw0
Rbd5yR8MCbC+MOIaZreXFqsisc6gTJee7goYCZ2Cta09Gkp04aNi4/FPYyJJOZCTGrpVtNkI78Vi
J7vwbXXbZBFZdK7db2Vn3Gi5++hbWCjKOHhLOuiOruzoH8kW2FRRe0ci/TgnXmdkAFO2DL//bRDe
jaYaXoffNwjHt/b59VdTPH7qa4cwpW5Tx+N+x0AwWUl/6BA0LJ6ED7EPp0xhVve1TnI+GAzoqN0p
3CelKsO3r3WSw+sZlPXQoCZfqvFPOgQwaz+XSdakPDII/sbxb/Jb/Fgm4ejIdcMNhlOQnvXBYgXk
DjwRa+euH5GjqwMOFUdLD/YYX+xBvgx5rMCkHQViQcza0ENo5WtnV0XOCZlRRryv+YJ9/SpunPtx
opN26ecGFnWhAEMOHOspzpMctq+pzbk6YXMnB2LMOlYPrQOHWT92aoHtEHX+rDCje5Mk7JWemaz1
SKXT2MrNMs14jGLG1cP4go8+/YJKLpq7KKjPpSOPgQ1vX3XsmyTqMTX23tFt613WtTkczmov7BAK
L6rIpM/4zOMixPaIvmfb2P7KMeFVhUa6Sn3lockDFDvGDLfvMcZSNEqsi8yh3CUhx4Rtdc2CE2hV
2DHZjYzK2Ldj8glOVSRMrPbFcDPCgwxaFw1lXsHc7BkqhXrAAk7SfqUK4inFeEpG/F9m51pwdNR4
Z2WBsyg6UVGoupOBP1zYXbuISW9fOAMbxs4ZZ7rg0U604nIsjXseu8hLPQ62G8dqWL7h4c+o7nqz
qsY70XVjOGdkV+DvK2oV6AKiqPLYD144YRC8GDFAhlW+gF5rm+0yqmCmT7TVrjWXDbmTs9Dz1r0q
27k1KbZcQ9xJiwaP1NK3PDSuYrVyZuRQfRwlW1ez4sLx3eauTtOPAbGNrkGAawxLW1bboWlw/cKW
MsN0g4xZWfpRblCEtVfOpC2KBn1PAPnDIM1dkgO8TIzhuRBGcScT4hYTyaaunXV5t6W5XPdh6FIi
upSsgbshxAmjYKHvhyYSM0chrXBQBhrQxL5X2tKmg1RWnaOt1aCl2OaItt1uOzrQRdUsN4kLh2ja
KpgSi3wdIL2YqdZ4TjV3pTdE3ymw08uyuR/j+CE2tM+ZznfGouZRtTPssNEdKYpPXlKee59Hc1/b
lHDjY1VC1lQ5a90+tObAuZZpX++SBjcwmL/HlpzQVBTP9RAsobLtKWkWIsifzKCrF66ODSVSUzri
Mr5l7XPnA5yf5Y2s+NWiPUG+y3ykwaitp4Ih1Axd2VWZW5fRl2tVhy8EzXutDuTLNs1Hw/YuiMRX
lkhPZNed+hyRSmGOGrU1hX9hpocxao+a7q2i9DWicGtaPHRV566zANWIE8sJsTycA+S0toq50MFr
yntXjyMetjkJ9c+JC+7GUKN6rlZwpmIPFUo73KLeymZ9FlszvbRu2Q7AaVWfRtu/ip3+WteUNStW
MEaF8+om6ga5HpeRVeC6SrgA3Sm6s18StPFmhDLnhhK3XMaPVs1AQbjZsQ7If3T0V2ccymWooFlz
u4hoQiHnlEVYgt3UmMWm78xsJOeo1vv4PETOJWLmO0OmgnWwxY2UDII5vem89G79HMXF2RUlvYxl
uIuqU+kqhsJhPWnsc9Dk51G310i9fTLr2yK8yVPxyR10YBHReDdm2UEfvReRih2quGGDpkhZ1pFG
VoEHbDz3K9JOGTUy7X3LcmtcNsxDmTznzETrggUdfLOZ6Vg4IQ1QxK4sD6Ow9rUmdkEjtr5fX0oP
9bnaodMc5bFvlH2W8CmDqFjkta/OjFGRWFnBHPsJSHhLLv498t+PfMlZ+/sjH+Fv/fwf87IZ/zoY
nH7y27EvPhhoKdnRmQ7z/wmw83U8MplXmJnb6FQQxL3rYr4e+9YHlDTs1b6OBikWvh775geMUgYF
PKQAKdR/Nh5hSvPzuW+DDJpcKOzvrOlX+fHcd3Dimp5t5ycSbTK0cWa5KAE+A8pPHwLUZEst5E6p
NAwccWQRn23U28IQn9uMFikjAWfXxdgDEj8C2Kg2G490U4Pvg3yCjI1X2oSrBqJZaIUvnVtyNLZQ
moEM8yir23RpJQaWt3xwzn6R3BklPVrR6aR+R+NhiIY7z6sxWQYPbqjfJuQAnizhKvOsF6zoAstb
qr0IdknsP7gStUpEILlNxzLrG+1NKCU+fU3pbtPC2ZimtQ/zflipoMqVqr8UomO3T5ggUQ3HFjkE
uJm1ARd73hroHazJzWDQZAzZVWUwl/RqfR2pDhsrr/oE+Hhk/+S1S4tHzVwP3DXH/I10hpXfSwMB
IliKsgy2bWx9FJMfpeu7Y+uB87bHKVyZUr7pkw3xtmLRR40PUyxaOMZ4cT0Shg1F8NU0QbuPA1rg
xPCO7O53js1NHcZInGvlNQxj8r6LwmLREKy7kVVQ4VpkV7cRSQU+A95mJAQ7RtnssRLQMVTgAOKI
qPVLyNGQVa9EeX62eDlAtDAoCw5ZX1TPfpPKeUVy5ExaNRkUPMr0KZBeR8uH8hokfixZWQ7Vhv3N
heSI7Fwk4qrow36pFiJfBkZWLZB7aWskgrdynFjiLWhExbgDSuvsijbcMH6CblG4UBapHxCyrOCP
7CEGnTs3W9TsZDCprjK0xEDNggdHVnKd9hq5sBOR3ImL1RhYpAgPj1qWrGTafpTdkG8Tvb20lTLO
xNi98c79stfjt9YqxInlJ9WdGM5hT5nnRv6Vgyj70Orliyix/HMgaFsYeuZHX0msJSMkB0UWwbVL
dSRhznDxCrWELLQKezMvq677KtPoD4epzNJzNKSGab/aud3hONWpKKxVmfebSdg8GHj4dbd8ciRw
eTmkGwnleIkwiiMckUVHY90YfMW2566VxB/v9By8GwExHf5z6waXzL4Ww1vsF9FCRMaFFHlvb47t
ckw4p4mQEA5hEpFJoC61z2s45s62zqzXfuJiAnSvFga93iIT1XUNF50b8cplmbqwyi4HUc64DV0K
iii5JI99OivtZib6gZ8gE32Wdt6wCoX7Oc7dc8yUfiGTWj0RXIVqpZF4nEbyYrRUXY6qWWygZS4U
0S4Y7Oy6UEOY7mpPYT5Og6u6PjBMU6/0rjTeVNWNbjMVl07c2oPCMMNH8vLv6fSlIeVI+P3pdCqf
4R799WSaus6vJxORccwZNF4N66pAr/3nyQT0iBbF0Og9bcOQ5ndiTh0cErRiHCzY898pw99OJv0D
hxyHicnLToKUf8QCF5NT5oelFaJQRCWQ0FCqSIjG01Lru8F9YWLJ6kB5X4FSBRE5xpHDJslx90pf
qPvUquCUKerQfJShvwvc4YlYhXGeIx7WJxUxqpPOYj8fkzJU6GrIMr0AuBUGCKIY9Wf3qD4QI4t3
YXI6aZRhpfGI6yblsoSS8VY3qlsS9Yao2QDZhTMvW6RU7ysSncJiicuE51FcSoCjZeiYO6bADjI3
BnLvKKIoyMEShROhqIdWpuBf51hjCmYEbosJkhLXBp9vTrNWRUdUGE/co2oAYuaDQoobccpBI1WG
inyzuxb6ePBBJ5F5eZBZvBUglfrAHeeGWXIsC3hLWdU2Cw3XxiEnKEPNlXNIRXrJXXtfT7wmDvp0
7jkV1Mgqg/ujdNFyMMHwlXDiAO80p76uTkpELkHnATkbJL1tlnVLn70HfhCzxgkX6EP5OdLrmyBW
b1ALJ8a8jev0rBTReKVL5ppFvvJy03+EdTy3avhRlZuQ5Y3mQM98IiWwFGo5Z7eW2TOWBPSyenKj
mEa3ym16F6sYtUWJ4I4BKqSo2JxB++tn7miZC02k/qn1kN0EOTIaneVA3SvZxew4cxF2sJkpZ7rT
EB6hIdINlCsQtyuE9sFsaHJ5VzkAhujKONZje4WSNwAZmMxBQpUo7q38yXAbFLtCQQU7S9EAzasB
tPp3t+L5r6ytH0suqrqJcc+gHeUp4yAU0z9e2CAYOjVyKrIvVD9fwaLXnoE22PMOvcEf2eD/buwl
Q7LfP/9usvj5V4vL6ae+Pv80KnOApsT4kuJlvKMvv6vMpWoCWCcP+g/K+tfK3P4w/aeTP45iGX7V
d9YW+wMDOuauPMo0dOjyH0VmCptX+uH5N4nZJ3MfC3sDoe+72P2755+0k7CUjTacbHiWZysckksg
cusRjZS2G7oIHIxgGm/XrXpF7ePOWrIkqZba8d5yuvrGV7N4PY4i2JtggZeWUpfLlN06KyL1GE9a
0lYX7sEwSK3TgaHToOMBWjQofKE2UbootrPrtRHAeO2jayFc81MAeHodpshUWXCxJcur/mPi+94u
K3xgQqB2FtQBE87azudDOdw7WjFnPvg8uIm1a0xhr2r0gPuUlRhsx65nPOK4KHvVU6Q3GTV9FCG2
Qx/oB8aGirMmEggr84w4hZqgtDB8y2nO5XWdJotiHL3PlLRPfu+5y9EF7RjluxCV+JStRULc6GCx
RgF59oT3qEYDLbNermSeXhtZoS4Ruivr2vTG3eg1+o5pk7WM9XgvcCJvYbk4C2Apch3FqVy2TBw3
pmhtQp+8aFck7AjdrL0eS7aHeVwRD6UY40wxjGUIN5tNsXMMdQZK7cC3o8CguAScLKh7hThVFYK+
werybeFXu0YLP+Jd6mcJj9EZfWG4FMjvfTDn9bRA9ZdKhzo/nnT6LoL9UIIJnRT8PVL+5F3TP6n7
20nn3yP4VyKU/wSlZ/QN1HgINOagoG5M3bpOLJa6Ud+vNQwEWtjVzoFFJE9D7AVI188ZdgPVqxhP
YUDIMSLw5IVahjXBnTwKYPbwVE6+BZzlrA7TZF9haTAmb0OFyaGlCaRVbKNpVgWPNFFPFpaIFGtE
i0UixCqRY5nwJ+/EOLkoTNc8D264GrFXJGNAOBmGC0dOm6LJggESj5iBO6qQeDFi0jBdfIUjto1E
K1/0ycfhYOhgMLpmGnWHqgw2jJuzC5/cH6zlkSkXEc0ILn2z+STtsZxTuZT+ys36gwPInLsiCaKD
wOPEbmiIs13uEKJhibI/eIS9bf8tRt+LUf3vH8Z4pFcUpJ+C6lP215p0+uFvz2SNwYegHsXKQ5rM
5CL69kzWP+AsYt0xVZiQqKhkvz6T0TqD2ZRIpb791NdpCR5FNFTEo4n/BzHJzxUpNA9WNER1GNOL
ckL8eHAboIzs0C3H01g/FLZLg/2HF/W3tJrpFf70MzLY4VWhwFn4pRwc2BwhP9S8WCLMvM91HhHw
GUp1Bc5hVhmv7T+k4vzlfX6a+mQKELkyMMTJmORZ5aGzXr87bn9R47B++vtP8tM+yRNFChuCT6L1
cDLlneV8xqUxdxQMmS3Ad0BZ7VPebJrgXCNSEcEb9m3PO2sZz3a8TAwqir1peJhcUkYziGZuOjr/
Hmny3/+mP+nX//qdc2F932fogeLWtKN8F/oSY/esyB8aGHUQoE+dSxAPKspg+Gyxdy34n7YZzP/+
F8Dk9tevSghmcCp/fsz3P9WDUKkEZ7g1nJilIGcWThkfIgx19XzIZZHPHfxkzTa0Ed/0FeLz7iLi
zsRbDQe+VZVxXrLRmWl5o7aEY6i7zqkBPscJUnJ917lqhVZFCcVdryfhWo8clBcuWucUqkxpltu8
GWZaW6xEPSzYQqz98dSaUGI8HqRMNVBbrEvUJYl2dscQGdJjxe7NAy7m4aOpY3QB5qKlcCV9cQvn
gtUQAtQwB1N5i8qkWJg6D21MpMEgQLQ0bK6TZQeZo3isQoZJClOZLt2LWl6H4VUIXqNNtewuIXEx
10d9mTm3tTQXKGBnYYtbzwg8uZBBQRqGnRDeEMVPtCUcNpTwjgEjJ/LkF7bFb+9KffoL/HlbvmN8
vr/xf8b4dAHVet1X40ld6xt3Ox7qB31NvO2pmolDvSnm5RJxx3xY6fNduUtW2aJ/UrbRql6ra/Mq
WIVfYpV++wtNN8+fv89fL9mfNG0S9K2VTJdsFm1ht6TdgphS9o/ql+nJb9/nV1fm94+jnx54dpCM
se/zPgQJx7f9a+FBz54z8YF88Pc3wbtL5OeP9P1N8FO37/D5S90hPNnX5+E56nEj4Z6cdRUAg7l3
Yu3092/447P8y1fI9INVtI1wl733j3d9YiYMx6DqnTqMWun40irnv3+DXz0Av3+Dn747NZ24D56m
neBGTrmFnTJHNP6/fIr/7U1+eso6vWMSPcObOO1+LHa1eauZH//+c/zqSPr+c/z0eBw4q2nGDe3E
boFCHSmAeYFF7WAMe3+j/9+t6lXwqcyq7HP9X9Mrf8ryoSTvqf4/P/5j9eWfvbds8Vw///APy5Ts
0+G6eSuHy1tF+O1XZfX0X/7f/sv/eHt/ldshf/vv/3x+ZfOwCKq6DD7V2l8rHI0y5ve96jl+/vRW
/vqnvtVFKmIPJESmaRp/sBa+1UXIy22JcsREev5uof5WF+EbE5Bhpkh3YsamVdG3Wd2kv8V6DXxP
owFGzPCP1CPv4Q1/3r3vxmuWOjY+YC42jGA/3b3t0GGtxI9/qoEZEZgKMbsdLmS7ELfieKdEFOEn
xkEph4B+i+qKJYuuYGe1us+Kr640Exr/qDO39wgXwe9hE1XC1gjm8Evp4cPtYzYboDcv0ok9JB2Z
u+5a94rgMChjufVCZPqN2Y4PPpbXuRaj9NJyAklB5rJpyHf61BAk1iQhc9LVGGs3vNeiq0FClOir
UKkNMIbtJpwDQ7iqI/JVyQOckb/+Glb2lSzda1X2J9+rNpnFmp1V9rUG3GFFhBsiTdmeCVbNluik
zZmlAdBKYuL22HkjfJnrRcPwUYJp7XKxEb5Li1PDIEOlYrN6yfWlHrlrE9noLNMTBny5vCUOns7R
WTS6vmzQKM7w0AQkRQ3bUUC8qlOfEHR1vDecV/xTbOz6yda7s9r6EbpzMM9DWLJySmtpBk5rsyW4
x+iHt1bNtq2wyKpQCJdQ/XtP0GwBbJvHdozpCLExxldsvNapC6zjZET2svIe9MtL0wAwzaK1Eo0c
6Ra2brEF93utQcjAqmVebL4hl53cTMnInYnjYymdixmoL1E/Qu5WHRbuKmszx+ruEk0+hbZzZA5I
i96mcpU3opo5vbXHP3NLZFoK6UW9D9owptAh+0l37/K+PObst70SvG8Vx6TMkdnYKre53hx6v7/U
jrkiK+KxUcJPKFrR6xCMMy9zXEljnLHKrIrPFhHkasN2rJDOFX+mQ0caMfPbhSs/i5xGV5sSt8CE
5Na0xZKEwRHOSHo1pmXPWo+hZczKNPuopya0oGognbJ/lk3H9SUKfMxeSs9fZwfIQa8uV6RT6gkm
omxKh2AAMmwys35tFRnONF+/NbBJe4wp0aAXyK470oojQsgw+foEFA/hQvEbQol0e1JgR/dhzZc0
IheaGSwnZzLRLrWZL5082SBZL50lWe9k0nudd9Sa7L6vnqAh69xzTwldPiR71Lke00+yv5CVDv71
0JXO1gU6PMusql/LloJXbcgGbwoRoob2ERIo+Wfc84wKaLhrRA6+Gw7Lmsjd8a59VxcZ4NLR/Xhu
JG9SV2eNqHj6fSDDbClRJ8FghNaGXqlPJcKlScHEHGdhpc4apTXiJnq9BRV4vAtyaS2T1hXLvNOf
stYIl8yvGDn4XNKEqcGkw3pNHLk+V4Jk4dlOf2PnaKky3z/1/vg6zYmDwrMXEJBXKqqsJoJCPxIF
sExh8wMT8laxZR17SUgKmq5RtR8CNF6+zXoPh8yKBdWWXGdaL4L2UIXFQbPKJyXQiF6MsQJLAhRk
0k8hFKMpi6R5w7crAISDoA9R/KA+cyJnU+qSSbvbvVSmvM8y/TFR2Z1rKNfCWKfFYHS1wpV4b7At
BmuAlxvH7rGbpG/pJIKL/Pigoorj/9WQOLO2LWoD0zjSOa1QlqUefR7Q1OWhdZ8XAXHx8qWsRjbl
iXUyUeGZTabC9vb1mY6ADNgN9nnVFS9qH15sVHz88ZDzhYzw6si6I6G64w6h4TA621+SXb0wJ9UI
YkH8OOycs5qbaeDWs5CYVL62rTw0JwHiE+T7CLDETkWU4jb1IZpUKuyaaiDD5BiDn2Q5GiSMxyw7
ZG8oxqWL1EXxiVXLnCJc1SSzY1GAGzYpY4gPHzYaYpnRc5+VITn4iGiUSU3DOvIToZLhzUAO2rzs
uk1ekTCeDIh9La/41GVQFJWJJ4H85S6wzT3q9k8BdGACr9WEBPJyo6TanaU1ydzN+WvEFpvZJlIX
tssqwOy2VpKTDGQ2sAw5HfIa9W4HAyCJudaqpGHFEKsexuFSFfC4WR6kS1Zn1apy68r5qCV4JP+N
T/1iOprkp7+viCao3i57Lppf4V+nH/2uLHKYEiFY1X5eYU7TfcKKgenBD/timv86LgL/ytQKJ5AK
C/HL4P/PcZEEwPjlxVDd/jNN7bu16IeqiLGTI6eSTeqTuvenxh65TdL3cihPg8IKilsXrwtVRWqH
YD/89BRImkPf8o+mUa6pPIzrAjUakDv1orvyEpXNW8bWctb3/jZs271viRWA1EOEYVRpx12cioOd
isWocZW3skeUqx9UTLMzvUmOIL1WrmcdKl9ZZYNyDTr7zhrSB6OvEVwUbzYZRyWQEgBK2wibh49v
j3R1fWvY/n2J9AAnzTV5gMdmCBatox57ygu2bP3BtEegc2IOc/bOQM6j8ImWcdm9OEF95Tr0vaX+
UffidVvXu9Q1V/j79q0sjq7vH52sXzmIDDw/PzL6ZidYXJW99mBJY+MLcXSGYcYI+xSKEKayWEI5
XxTVuPDV9skJqrPvN1deN8xbUqBk1yz12DyWBEZEzueqdLRlEnbkoTcN2en2MzFN2J3kQxi2W6Vy
FgRoIaof1woHEFkKMzMvyQXDLu/2wQm/OdUiYorQvDOqZDMO1SWx65dU64+KnR7hax1aM9kYY7NL
ymHTFLBjvHxaQWCyYaSNo1j35MXyIQ3YSr6prTTFW9NdRQ3yCjEA+najZz2TFyc35z476xmN/KlR
6oOnJYvRa7cl4QaVpVxCh7QF1b2XCRooR1+aGN1nhY/vJ+LE8F21wANdXAX2/7B3Jr1xI2m3/i/f
Pgqch8W3STJnpWbZkjeELEuc5yFI/vr7hGtol7u6gAbuBe6iVl1dBUlpOZMR73nPeU4hOUja+a6g
bzWkX/3VpfZv37QzjVz2GMRz89kwmgRqwPyV7DvdBl0Xa+321yK1qPe67ADDLMEvAtPkxlpXCq8z
y6nM/dRVgEwIdofT3B9tUWv7uqXRB5DffV4PzalywCX0LRcKvdDNy2yvUzgtOtQRvGQbHwQZztU1
uzd0A+6ZhnY1xIeswtAMAcljGcW+voKEEOgV3d6Ykliqe1pGEkhaB5ro7bB3lofUWtoQGyQrYJPY
zDoOPOOblk193D9BCoIe7yBhZQXoV4+VwUrhmk1xoi+MR2FEb5TZUDNj3ayGvbO6/LrtcxnmFIGx
5H+H8nLxsuGzAMqWXbpxgGu7WGPQYszB8RRv07K+w2L0SY4YlpqpH3A9OzR6JVRrZ431FYNatdFI
xW2avh3D3vKv6f0CfTtn33xB6nWyOHCmCb5KbnjvceN/qRbjybadd14/WIRa64NloaLFbGA/JyUQ
fLuCcs/CBaMcE0NTdCG9j/htyhPQlk/WvHyMrnbKfO9Edodckhi3jMif0tXY+mXRXi9AOXeUh6DJ
jcK51EX0QCd5DE0p77dGMpnhaEHSkHr1TL8ov+W2/CZqdcOdZcd+PK52WT4fI1HsM3qZA3+dXtY6
UZa9+SbV3K/wfL/O1oQ7bi5537oOq7rJ5isLUEad4I5i7IA/rBQJGPuoNp6HlsQSjymmBhBN8dgj
K6bPS4wF3hcWa8W2DB2fINc4fBVjF1L2swRzxB6rij6bVK4GC1mV1aCywIL0bI7CYMpkabN2zWMi
uWJr2bIQXOLvfY6iZ7OAyhM1kcv7y9zB9eK240s+omm+QC/iY9mRZOblmR+lhn98imLllUekzMmB
ybI9punq8NqmEx7fm7kkbkRhAq025lEmGu7d6VOlaadB0qECvBcnHrf1zUgxaZ5oDzIeznaVPOoL
WSD628MK79jGs6QZOrO4SiEjQfrLn7oEr2BaNm5YuA0ZrSTJq10n+zgJRA3EhPSkRlJuSo7WkO4S
Vm+bSvPEXlu5gCwVCc+qL2mjHQ1yF8tdo9LRrj4Xd2mNgv3/RJ7Zv9fXr+V7/2c55v9ndUYh+//u
LvLW8eephr/aXCmt57Uf/vd/BDTdXzTcUtw3DJc7hdoN/aDQeA7ize//ha/611WEWjmLhD/sSstg
v/SjQqNRzQlE3fZIvxMM+m8UGmLVf5KMvys0yktATputEhrNTzKemU0VA8KM57Xw+BAR99kBiM+2
TabiG/NArCHvzc1sW9OLzMozm31/72ieyxiRpkG0UDwVVZ5+H8fOFtAa8+5SuYDKU3GGIPtqR8ZK
K9jwLp2237oZaduG5w6fVOdCmU6yWSaz3TXz1F7DId5mPK+GRG4lOin1tt6pHIwTGemPfF4+SZ50
rpXftDz5XN04+CnKjZ/BE0jV4zEr6KUEClOEs2YB7lGtxEhn75lrPUlHfMkn8S7VA1fV0gezJPmB
+fNbW/J8zTVxPWjYpIB4EMTLodtNvvN1UY9zMqHKI8slZ1IP+3GpPyXq6c8p4NQdzcPfDwZ1RMQd
0KFLnB6dxrxve+dicpSsTNFLdctFD7Mn50yFGrHO2eeSuuGIcyip7MdJHUxa9rHEKr7AieV1XHe8
kWbQidOsFpgcFnXAjUVS7OaBSHnrm23YcQ6WpAvDQR2NgNmywCySDqmMg3Ot6aLGWABiPSKQLgan
D8EjH/KEeEgpzP2IIHJv67i6Z3Ifm2xBfdBTewrtWpiXTh3gtIPi0vX05rSKDm/wXODm4MCHCXZE
tUnDzuQJZIGPOIyRv+Sfqli48cXo1/IzcV6MbwW+L3590xrMpiPJkqdyS5nPR+8nhzmZbpIBCzmK
CUPS8H1g6uw1/UZa1hXkYiG6pZYe7eze0QEup3PQ0zbN6LZUu8aS9aVcjfTJk96nbkhnjhv/Sw6K
PbDpXrqRVmaEohkx6y3eo1/Jo1nae6pgx30B5PnQ6fqTGCM9HIlJbOdorfaThK1SWtjQ3d6obvqK
S6bG79Lsp8ucLDUFMyn4RToDiJgX8221oNh5o2weOYy+9obmnN3cmEgvJe+NnszBai04Sih9F14d
AYzk5C+FrTMLD+Oho8bvYHRO8dA6LVaL2q0ec2OBsKSnCTf35rH2hnAYHIQgtVSOMb/MDkrSGIlM
UbEgwdXLDSIMqB+zm4NS+Wfs1JDnQXlqlpSuw2HRXrE/BG0iP3GHoYNAOXFqGvDCGGP6xpgtcQSh
LL/kmZTsPNooTL2h2hOzz99yvHSHYpQtuzqPntRkPkzKCdQNXNbDjs30xlFOIak8Q0lsUgIwLdc9
2jJ5IBa7hNX4ZJZTt5s1bw4Hg2o44a31ptdzyE32vG7/OY9+NVP87bZAzcaXV8JA/74wMPnCP44j
SK00mbAvcC1PQ4b44TgyyJRCgrGhy3AoaSwPfz+O3F9Itxt0lqhdtGLS/Os4Ahqn8awlcfp/x0gB
fc7DX6yIHIb207qgH+XYls4ib7T6tout7YIG+8Mh/Rf+A17pTxtSE18fx546dtl+/HTcOdLFT+aO
401vZafU/SQ0+k3ueuugR7dyuia0+fc/z/jJrqwWin/+ieoV/WDXM2b65njYjDcZGvXG+x4LoEuC
iECt0gKyq73TNECXdFSWoHd2Tra04EPnyEZNHVyORLIHRByMI+X1qsuysUK9J0RjesmVXRefqP/I
g6bTkI/zD9q0n6uVvlfAJzy9eaJncafU6MLemEbCB7cAPgKELCZs4Oz7pUh3tu2aWHPTeh8tcxWk
CIsbtxvBf61axxmVPggJNmBM7z3UBiBHYNHS6Uq0EX9LFEmXETp0Sx7RWkj8OvIuAhm7iSCu0o96
O6E24l47VtqYbnCcnSmo2YymeOoE5/VUfZlWlbZPDhOcza1O+h2P3d5qvBNev3mTOLXciabrofQu
l3p01wd3oAxg09nQ7x8wGDoHBzdEplftoXUSMdyt3+0RY9nN9U3B1n9AhbyuyhV6fz+sYTma7Vdi
DlcA4C7CosbFTY9zLjGUR9dCy6+X1fnMyePAdVPObdPcdUb6BuDpGzgxeytt6zI31omVQDjlzdVA
PQxbkCMgj1uNxU4VtUD3lysuGFej1xFbWekxjW157iftc4vJzbLqmFru9Qk2TLyJyiW/TsfqtsoH
4KjyOl/zk1ZTqThTQkYjLdzBdvbAYUw8MqnW3vaZ+9QOWJozocU7o2zIJo9y2BeR0cMSbZcrKHIk
Uj3jXJSMm/LGSrz7fiSxpSdgi5Ok2+lNeYqK9HasxIOc0LqpGtkAdNiCH9y45fDNTWgZ1Z3szojl
1h/LEZVdD8Hz4LlY7qCygePHJeRIay+7aafBhRocFnS6FtZ1/QB38LaMWiAucz9thiKf7ucluYe3
fmS3BgPQewYGFcygbh4bTbDdT7uPirUZUcg9oXB2ZGyoLPCyrD7eNfp8qtEJW0vPAp5gR1oNHcBu
wPuEJOMZ3ybpdLGos2vtkiiyvS1c2ojn6Nz39aEjFNuvA3Z9cQ0iOjSkOPKxvVu8mLk9RYEwrQj8
nPnJ6nAF8gkJWtVcVNnFcsgh+By7gvsGAyqsCXHK+/WR5gPursXAVF8/ZJMWIiXxtuaiFYye8eqP
2Wvmepea+qLNnIFgluAUN1EvuZtEk3f459D7fuhZnEJ/M4QlTFmv/37iqa/648TT2XbjqFcLaGhE
CqLwxwBmgi3HOciEpVErqUIwv5143zlrrM2JX+JjUKC1P048S8OKaHOR/M6n+m/FYNv8Nw+RRW5G
pTYdG+0ZvNVP54P64U3RFvDDXfZ3FhqIbslPk+vAUm7FTZPwDO7X9JIXBgzPBUwbtCYaWJDLWLC9
12N6YSHzyIepCEiK4yA2/WbTxwQRPfPgFSPbq2hbQgySkv+F643nBJCOqb/09hAQJE9g2iTbfm5f
Eze7LMP47mbJViIvDoI08qI3pPisNwbWfbywlqGrlF1eWo6HrOkOne+f+yymc8zerQaQYrMjdU1R
s4Ndy+VQlUYyYvq2UixkxmuBfdHQtGd0W3vnRrBcGyawfUcWPPCRmDeW05/QogHFgK4aDHHwzWyb
J9kDkIaGIcKkHrKZ7yrdIhXjNTsgjiTCeXFnUHtGsHqSnFmlVxvieje+WXwDZtfsFwOvTRrnkACW
6BE8E6k1eq60CqxK1WeXnALiMI1pNK+mpggwD+BYm+uF6c7bUv1wSuyhCmNZPA12J05lW4WjV98l
AJI3FYZ4ymQQ9+zh4lfGY5uMe3aOd5ykgiZPqIxLKVFnvA9d4AIQRnU3J8T+Lc9/yTL9HigXMbuo
dpnvzDJYHPNxLdOXvGpDWRBPTD0OAzNNryzdP2et9gG2wTmQeaeEOx2XbdI7dNJE5t04JJ+TjNcf
w7BmYaCgLo11GB0qsprKtLbwy97rLEf0LkIJNNZKeyIwg07Dd8rP0TASLhFltnWVPDMl388dqPTa
a3gcm+M+jl1gpxVIgmEBNiEzvo71oB/qZW7ty3q8oSL8s61H/L334K/1ud1oZfOij+kVDXNXXerT
AB7rHuEkJmnLqFj70/UOj8skyT7QpmzW16Cgrlqqb0jgolvFfXqtZfVLm7UpwExFHUipjWaP6khe
qJwIwurFdGh17dYw+qCxJeYOPTp38Xjsq+ZpFNO+7qtLUtc7y5nJ+Jcp6kA/+azpJKjfImHXp03P
a5u+9xMrlGzey7SBQVZBo62c+gZG02d7cW9rLjlB7k8PXl7sBu3UrtfDdIlEuls0/xjP1Y1uV7fG
FB0Ke70Ro8NmYZngDJOEHilS48xcQ2Mll+UQ1+UNmkaBI5KIYZ5ldcU3rUoM9KhGZSAtjrtSmz6S
fM7DuTTdLdB9Pqp0dc1Ih7L22DDM47EWLf6U0ff3emUfE721wzWyym6DAyPdeJU/7wVEu609m1FQ
u4nc+cLjSgPxLZ4TuCdRnqEKW99Ge7B2kIW/1eb0TB3T2+rKbFv36BexKW+XMeOWlTporoMzbHkc
TWZgj5XRnY24GM48e0ghew2blblFhq/K4WhXHNPQMRrHfoLp7nn7BDFnP8JS47PUVhQLunO3MkHH
M33sFbC3TTuRsTmwjyN615mIAdeiKpfxwde+4yb9TpjncR7rs7SrInnuVsuYbvKhOdQxWeYm435U
W7m1S0lkbFptfdW7+L6PTAD8VOxaVjXuOtGxBxHO2XbnNIQTaG3Gwnlr67rnuuVg18is51w4XpBM
cNh0bXVOZs2bOa88rL6WysDZ9Zcmsl6TrDPCwcOxaq7wqfxkouNPLdkraWw0jSxiNzCYL/l8WcBL
zamf7fJGXKyquxPReC69+suUyo+VG5Cc0Yp7fdY2cWMXQW/Op2RBZsFEAmbvNc0JtKURu3nDJviI
T57QtnzQjOw66v0rkS0vRWJ8rLrGd4ntj3wqEaOBy60nY5nZstvdNoq7+3xWxBEQEDTdzsW5SNyL
lhfU4sy14mQfE9PswPTMTtDSqU3ZQHntuMrdY/sE64W4I7xmhNK1V66542XVaHS3gQ3zW2go0225
qNZwbU0oxiglDa6V1AVDw/qxisTjkIerHX82up5pyMoi9osgArzcl/xwlHtlkzBXn1UKiiTke8h/
0uMiX86NhOglrxpPJX48dimx7t6ksroAA0fPozbAr7DFlz1R4+HV8eWyJXPysBDkJxCNbSzyOUDs
bHyKxrEPR1l9rol2ZAK+nDuuz2PrJ0hZUH7zAYGCrJcIunp4733/iQf0TmvwX5eJwj2aBzOrn+Dh
7EXqzgGw/yN4gtuJDZhv119TDjqQNdq1pQ1n2kSjACtTxCpX74CfdMdYTBwJg4w3hs12I8nzo28v
3maKqwCOYbvv7VQGqdXf5OlIb6a7q4zh01Sy9MmBH5H+4g04WvM210ixoheTeMkjdy9i/qtL8j50
6DmshND3DjPfceAXGvRJcQPjMtt47nCCPwhRwfFP2HueiqrWtkvNIcgjayfSNd4TLToXKJUBGFVW
g3zSzrFuIGJC7BY9u+eh0srjaoB4mqIIJ4nZRkHmUgFkpbfJmDFYg7FkAYwVI414wNnysJYGHwnb
uzW6aWXVx3bGqec37OqfTbtFa3PfVst8mx1t1/TOc53HlC02DrzF9BiVzbNWewfT6h4kY42Zwd4z
ljzQiuRsdPI1Lov96Brvfr6eqCG5g4bCbmfQHipLPcSFzTq0S4J/rt2/XrtRXv7m2v0r46R47f7q
7s2X/nD35llA2QCPBpLkP6lN9E2yvjBti8agH3uByJ9DZlXpHMtVJlSMHb/7MJxfPMZtA2IK4xnu
4/9q+YHV9U9qECqQx6ICkDJNZtz1uTz9+e7t6rFeFJ1d3xgeZzI3NsUcU/tC9YQ05lg/SggUhbkc
q7Iy4LRWyUvpu6dySnceKGEeH9fu2B7BEd+sItpqrOWDInPrqyJ1sSqk3adFs549v+GG0StFXwzb
ackfnS6iDWhY2ebG+PTrzL2bY4BAG3pwG21bEA4G6m5LbctpcE2hzBQit077JEpI7dl8qiptSGgb
8rdrBqlZj5dQ92KsBnWKf9OuufLJMhTUrs6YP+ith/CFJ8kOE8VonSbtadIHCJ7LVhpDzxrdytXO
ptsAYX1z+HMGjULKtz6u1HFiOcAKmMxLlb35bGW2SwRicQTugkskOTLqR8eiYSDH2LKtKwKCWk1g
0raFvALq7Cu/VxVYXfaUtiXp/IKDGuXohr0Gz+MFB+xq7QZnfOzSlhtl3j6B071pQLFsuO5fWYDv
dzxg1Oq2GsNKFA3XI6wOvtqS5O14aRruJvlSF7t1Eij89smuDICmE5Z0ldWR+NRWqR9ckyabJU+/
TfgS4mq9Xo1ywldAp86Ydc/FILhJ1aq4pbka6WbYNHioabQcA7Fij6lzkj59TWVDM2RmWBjOMRuc
uzxauJcBVeRuF29bq/R2UtRvrYG3F3sDxCy5tVqxB41DYU56gxp4Nk1Sh6XVn9uJ90w09rdt6gwb
KDV6oE3LuLV8NPIKqHA27tvWvLh2goHGp9sYTkrNDbcKuUfsu0yQiqj7y5qTkbfhX6I/OPeGY1z8
pqi33TLNgVVaVBLnQDbNeiXabg3EJ3LNxYwXbfu4f5wp29lNWXWJrejL0k7LrhDePu5NJ7QH7ZPV
tl8ys3VDvcjCpR2c0Evju1jqV/qs/Ckz5gn/W+fIJizBrJDsd45xizMF79LVMPY3ad234q6u3WJ9
X2bKkAH1c2Q1n/IobgMCyudeOS6qUQV1B/+lzrV75iywKUvQcaFo1niHDBo2vTz5g9h1mnGuKW9P
6/o0Z/11VRe3U5XnOIIYvYpopI46sj9WR4wIoNK09ukYubRBVNP6YDjrJW4RFPUilTt2KvCZTYef
a+3xVOylkiFBtR0kumRnv/RKpixH/6lCIKNQ69wZgHrLwWbjb3JTW2/H1cCWgkFgscc7HnaYCIYQ
OQJXaApJIEInNfvhClWhBkY+nBnZ7xEE1PL0YcW9vHGU2Joo2dXoqNixSmCyfqxzSVfyrIlOC5EA
yK2Sbg0l4tZKzhUj75yqwVdTKbG3RPWFrfrsWtVHjRpcKlkYIsSntYqvbHqa6TpGOqa0ApOiItvg
T/rqKdYNAdlLqug3i6bdljUDJ/Q5/UaCyDEVK0cDmjP2uPBLZ743JTwdE7CODmCntbTnBeAOJvGd
rwg8pWLxeBZUnhngdaU4PexSATgseCnqUGu6Wx+gj+YQ7lXqoQ3qJ1PMH8i3BxjRXEjAAXl4lvjJ
XKV961FXxKBEsYPWFopQo3hCrTAusyIMuaCG0IEPgGixAisKkUs1hKG4RKkiFNmgivizpvhZeyvw
UyQOxTMaFNnIAXFEr+pH7L+lgI96AEg5vxPOAZ2iM9hIA5Ak9s87TVGTIsVPwjlC3kAxleSU7ZMW
ylKqeEsL4KWUb+cpEpNtQ+kAzZRkRr5xFK3JUtwm/kIhOBnz/VwVDMwNpbeK8jR61cH/zn2iG+Y4
13DyBIZkKIeUCqAHuF801J8jj2PGNWwhsTXvRNI+GLClCPl0GOacETCkctBDoMoNar9Eb+47Baea
2vYSK1wVXq+HEX4VBZgZq8J2P3L/s/PmWirUVQPzKh7me22ptyIylx1twOcaOpbQwWQl6zLuJOSs
3Gd72bvuXYlORFKbtsV/7lPf71M2quN/vk+9jF//4iKlvuaHixS4GwsmHEu47/eef4mY+i+OCZ+Z
XlXQO3+ixYHZ5wMCLwIHCksodb35/SLl/eKrsief/6Sap/87Fwk22Z8vUnAtuKshZVJI7cDO+PNF
qhiw2/HW1W6GrH5GP7LJrZj0P4iRSxPuAcAKkjtJhQtOFaTsat75wdBbp6620XAqRuvU8u2rrsNM
ZXk5cr10WMZDVPbm5tKtImgmiK+D96azBAlpWmXXz1NixZ/t49MGxq2FCPR7aJBc930MHjginiTu
bouuuMc2jnENNM0b3cI8f5unTmcTblGoSC1d+1You3itjOMtDvJZWcljnG3VHTHBPcka61aYzjlC
cdoO30mPUkQEFKA/FmAgF3CQYFXfotKTWA0AXsWKGYn0gqW/Fvc8R4pbX5ElS8WYLExA99HiumGE
B5V+OhSsKlpu8fx32w5MZQ+uMrHba0/xK5skf04N83Go/SYUIC4bluYEkuOnDk5eCpJiRELi6a8f
IvCYmuJkZgnobsCZlZZdesd4KQFqZqv/qOOlBPwIa7MztEeQSCSR+EsY6LsJCkXmNAb7dRlhdfZu
/+wpeid1ARhMbfQmS7v1FOEzidK7lA4r5CsJ1GxZtC7Ac/ahdc1Jc6prb03P01LHRzPr75HAwBzZ
NBasXdkHrlNsMqcQG2xtdMTmqD1CUNdR+QYPVh90Ug49riu3FCl6N77RLPuC9eZmcrIj+z2fh1n3
brRULvqrG98JbPqbNbVx5E8YOBfjo4D44Gw6B9QFj1+ovCCTAmbdHLKbHYeDTYtWVRCGibESJ1xx
GSC9G25rCOEOrUPxUn+gZZrIMPVp7Izrpm7YI3FZ2wwp8D595OKr22KfzZMVTPr4xWmST3nODbEb
6bSkZgfbNfdiaEbGpqhoKPN6wCvpokCkX+la2I9wYk5WJe50r/mwkmU7JvN+ZMEXVLnTBRom6aND
PqdxytM82FsrNm8WPb+h2XsOfLWW1OrssyajJ7sU/YFUWh0kwn3qhtjmZRtXUWP0mHFHkK0t9PdR
0+7LZThpMt23eXafpviWxuJFat1XnBs1+zVWCUs/XXtdPmIpQhOttepie/xybUucQKlbe0dTkwAO
n7DCO661+ptnrGbYD8vnxjTGzaQ3TO3UH9TD2obLPB3zaNXQPbRrWcivCb/rrULTB5WTtiCaaRur
mouPe8bx6l2WmP3GwwxFZ9fO7dqSGUG2LAep/8wziMBL3mL1JD1XLfY3VTEpW7YhpZddtVFnBGlT
AhcxjH2W9F+8rD2XhD30fP2ki/6O1wcIi6PTlz6Wck5fXnAYr5PEYJRfvHaeQTZo9xBivyyD31Ah
w5RFbfp8EvkijnWJ+7WCfTzl7YNFjUzS5PeeU9nMSNz1ydNF/TFy+S5rl9gHoMfbLsLzm5miOJYl
FHuNJhBK9xDU9B4YTO2CLa55Ey9eMXHVcG+otKSdWtZFyIAHlzme72ispJDR1t7Y9GT/nLO/5keU
vfE/n7MP6Xv3l5IFX/XHSasStTonI+XhP9OfsHLa2GDYjNlwOJSa8btBxv/FVUs8xAwIIMDp+Ia/
n7SEbX0dU4uLicKwlNDxe674N7sKkeT/GLz/C7+mhV2UMx3ZhJAuuJE/n7SrmZSJUafajekRbIrK
Nds6+pc6/garmRozmD1gmlNvUqXmvnElG/59R2zTAeo8QmBzgDwXwJ7ZIAXU1cz7Pk+eq87egxq6
Nyvv0ihOdO++cNqTsAMgvQKSHmy3ZxPDGt2IRwKX1SPsCVqWfK0I2hYlQQNJTa03GrFxthcaw0FW
r6CfdBDWhiXaoARqndjcghXlOl/TQ4/VZ5MBwNZj9yAVEdvKB+UDecn47K4gs/2sfaYSiKocYNoC
tbYFrp3rJb0k4LY7X+xW8Nupz26MP9m+8cG2sxJiNiURaEYo9S747oHIAfs7crGVtXcBfHf9RHQS
5HcreYQ0w+Ie6fCDVx9Z50wrMPZJcSCEBy2VnPFhFMu+tuaj8R0r7tzLZryni7Z7KgCPF4pA7mCM
i0GSa6V9pnCqDBptvsSKWi5jV2xtQObDhF9vBm1ugTgHu1Wz7bNPi/6tB4EeR+PTgtgDVw9SEfvL
L7lGbrJg6C8AqJuKpO7b+pOj2OpSg7IucCsMirtOvtqBdbscMpDsnie3DY+psed3Fitqu/yV4J5/
x7nT2aUn28jN6v1gM/Seh5pTabUabTjWHuLR4PqoSMYA+K+ttY59U2pF07bv2fC9FlMrETtsY0Bb
1uZyMzMIWkFJaS2tMJQ6xkxDyP2EZ8eWrHZtvlVJ126QoIzQJJHLCFLzT1IL5dq/gWxiHMvbD/An
DitHZAUMOpjUMbDHdn7vrlQccue8FonhBYPR8D00dmQieS5m66XyZhoB5umBOEaCHZ/ePqu1v2VN
/8Gq430d8FpMbvEpdizeCqZ50Sb6NfLeOHeVSLfEVs2tZat4thmHpp8frKR78XJ72JnCKrZ25L0s
A9NbYzkZoHH5DSsNdpBCzrxz2HdWae8FWubHlyKmDealmDgW41NFuMOaoaqWvF/QbqAVnylO2Wd1
czeZ7NTZ5T01VtrQshjvCxZ/tMAx12nO56hBwLb5N54uP8dre0flYLBYor+S/Utl20SRFlGfheuu
aci3mhXgnd6gRIDfYpUokh7m5EywW5W1ZUl7j085PuZJcl65lJGHONHX9OH4VgdkfmIJT6ase/tn
fvtVDwew8XfnSk+Tcz1yinynPxy//e///HYe8XV/nCwAGcADQBKDhIrLErfJD0YUpjON9/r304Np
7PeTxcKvCefU1lQagKI+C3X9t5MFIwpt9hxUtOsSklc6+U8nyd+dLAQIfp7hLDDkHGEgDBk0QQv+
+WShVZfCLG7Ot3OnsXCaLLmxGouLuyUPCXZAwAM45rFKc/aYtnbWihKThZO6+ZHoQP2c0g96YYJF
IjDN9iFjkXaw57G/lnnUfGuGqNy7BY+npHAX4NRQXIMGaxqMcEwRt31XDjdtllkvQnOGnR4RVQjY
LEF4q6LqOo8b/5sHLQ/10L6JdV2cjDiR+9VzyqfBW2w+gqC5pWGPl6FPXJKLVY2JexT5Trdx7Juj
hu/N7I332h6LZ1srqkNsE/2D9ta/TiQ3tonm0bHQ+XLvZrKjY3dq7iT85GJMB2TCuAknqVs41kVl
TW81aRzrrFP5tczAC/Nxr6+qY9CK/Sy5Tr63ELZRX3U3boJ9wo31OXlIMp+tpxzpMFxZyrny2vMB
rYMQsJj+dnUhPRekztRIEdps1WE0igr7SDoWy9dsMtpya0h/52MPfXGk4icK16437GqrHToQRwoo
gYdB1uurWnkwVxqpdo4l50oa6/4+aqb4K++kNNCqdX2N+mR9d9L5uRPtrorTk3CR2UqdHb+0u+Yg
GhlDn9bHZZ8vHoQFfViu8nomijb4DG9zWYuCi0ac7vpyMNkXTCVGk7z9bLkpBHVffzJZWB4a0QKv
1ajjtQnmQU3onQcvacrjICiSabTWuZ79Vgs5TZjBGELrx6jXSBNNhf9VuFKczGKg3XcubzJPF2E3
TGSzBLh2ik/bdgjnKCVvKer+CPCyuscNpuIJq/MlZg8Yrr6bPc3YHK5cGlMvPYaJF50+v0Cu7nLV
52v9so6zOPPmJUPmVvIGz2z07K2lfKqyDhB6PeOBTefmNpnIsVeQXCkctqyJLugeGO6U+XSh97Pd
hzEJWTeIiVQejIl1pIPoXJgnd5bmHRB9L2Z6c/R3xsp11yrnoc+uc0NezN788yz+9VnMvftvnsXj
MPwVNcfiq358EvMkNUzbpIaSUskfnsQ6HGtSprCqeVLDHPzjSWwqao563MIZ/K1/8vcnsQk1h2cm
mDZENkUh/K8I11Q8/fwkpnMJ/g7FmfjqceLz+n60jE8G2/5W+MsN50W/00RRbXuE23yTmwS0uWNm
s81HzRYCLylTtEQn4/K5Z2JHOFMSWppo9tWsZLUpY/YcEXk4Q7SgWMx+Z+iDf42ruj6QumruDItF
n2MN4kwQyt73KHi+GjkFs2eFwI9leL0rU3hikRpQRTORI2dmpf98Cio1xsYNA21aS677XszyAFo+
jazGHRJgcZxK3L4lZnZNDcdCjckYIvqjzhPaIzbOGJ0yT1NU+y6ZrwkoXjVq4O4gthwzNYTHflEE
qxrMtdH5YhjGva9G9ojZnYyDxEZGvlaN9RHzvcac36qBnw7POw0FoETsY5I4pygD2Iz3mZIK0lUa
Aen0K8tWZxp6wtp431YlMCxKavCM6bwo8QEjexuIcaAGxiGfjkKRK6nCRrOI0C5c0V5YDD9nqUoM
KXkjVUKHtJeva2pcM0DwfzCFpJQocV80W++2Nz0mCjGqZDCzfhDxWAxaXOKejvrX1HuD4jmNQ8jA
OzLq/k7v1vfV42iy3elczTYcjc6lnqhn6ViNvVIxszLoPNh5fszSUBrW52YsLqPgbttazXaaDbK8
y3vkOlv2AKrCK379P+ydV1Mcybbvv8rEfS+ivHm4J+K0xzQgQAL0UtEYlfe+Pv39JWYGQUt3azcR
p0/E7nmYGSGqq7IyV65c62+GAdsty8PFMTLSWa2PmHzINY6mMXp+JTU0y0QVhrYqEMdxYxf45img
QRHtzcxpqaMyAzDusAWWEobZl0ZOZPJQxG+FW+RYIFCZlFNfS6l2mV/6zrtGgMaZ1EmFSk8dz1oJ
3IoNSIXqGKyHIPJoRg+YRFpxGuBiWqF+4rk15U3nW+6i+5Z4xRRC3bHb2Zw3igomkRFsEBv2kAnK
NlYPZAltzGBWSe64cuuMw08dRfPc0+nVqdj4ITGUAxtEvdCrvUvLtZhTdIhWapJAPKPt0qSRA99/
lJCKsejn6jq+o90XBJ9wMtTcSdon9hwe2kliqivTtpFW8JyzPq0qNHhV0KI+DugeEd3MFTqxHYy+
MO7Psl46BEUET7iL7puwuQ4T7S4fuvNQB3+qeMkjQQqlAi8R3OPTtjPkOZqO8C4qzD2doTrXcu0B
a0cwvbm/0kgEupAyuppeBmkcThNjRM2nlieVZHgL2wjDRS5wVLVr3lZZAXrfp+YaRo/h2BarQXWX
Y8MOBcjdnFS6KDt5QsvIo9XuBfFcyqPrtMuuldJHg77VN6UcfscGHn+1OqsnOX6yorO2bjL7W1hK
x4rXHtlOInMKNeamj8pQZsDUz3BeRRlsQr5zWxcDGVV2Ql0X0SYL70F042/qERHnyNOcVZtbGEsn
KHh2+MxMaCXrZ2qU2dKsEFTA/2yLT9uiwS7y623x6tHfJNuaTPzWm20RhXLVAHvDHvakpPvmgCKb
yKELKyAKYKLM9oqUl3Exp7yFKohwEjeExNs/pS9SSdwDOcDQH/rDJpOhCNHCn2RThGSKKKUBksdQ
gl32p20R9TdNjrmNsxb/wIryqvbVM2SEI1IJEy0P6hB8V0NA69y2OYTfq0yyRDXnSusc1UZkTnMq
ewsvHK5sKaMDGjIdUyXAMNBM5mGT33tqz5Qli8dWzzSzRpppUvOtskf9YkA+ZGmWJhxHfQD10Vu4
1KjaNLfacs1G3kwMT/UXvaXc1W71Q0bzaJV3Kes6VDDFyapoDlbyYlD6L+DzzC8Fx31wJR1qpXGK
2hzHmEnsCLehxskng0OwRIpybvfRIvQaaaWEmAqG2LFACg4elFTt2fOEKledhu3KrFzQkPmIWJUG
wTpyU+XMVek99E3Kn/lOurKQ4pjkfP0YxKgcWDKYPQe8zwjJHJitQBBqHfUmcEmZT6lAXdUlexpq
2Zs61pDc9Vj4Wd0a4P3Ci8yoppGZHbcSTbnSRLePDXBYjj6GCmWD6mkDELH0TSBRtvQ1H6tLpyxX
UBnsQ6MYz8suGmaa6VyDKbnPyuwUAz8L0Rn/CDncc6N2r7wWu4WONKBFv6XM9UO5cdZGhSyYWkkm
wiC6BVgjuwm7+AgNlNs+rJHLcKQfvWf7GMc7iyBuvxup85in+MQpGDNOw7S22bUYFjoaQGF8zz8J
sBIBQVQF39U0O7eH8BuwmASlB0p0cUqjDbH7bp5kANXHqro22+rWNkHEo9w2jzxMlwcPpi78jW8Z
ZaRFIoPL6G3Tm1Vyf5Xx6uMnmHTQyvU8HRXoUlDIpp7enOcCVy0LhDUJ272e1zfIpD+gE6cvXE15
yAUq2xf47NRV4dKB2PZSq12YAsU9FpXH1yNQQXMHZbYnuHcgkN+5rh1KAgvuYRMw1eyMhQBQfAAw
rgMc1wSC3EH9Zq6EVTRrzOoHcucmdysapjYqWblAoSOPheKPCw8McgcoYNaIizvfpBX4dRdjbo5j
2qQD2u61YNx9uz/TAL2rgN99QPBmZEMoDhaNSvuDrGztcM1Kry9zgZ83AdJHiXltOckZDAe2BC0c
Zi6g+0gB+yRA+Gl9YwlUftazb2Zh7swryymnmYOlUh3i/xTla1VtlpWUfK2A+UeFd1InqN0pEAAC
dThXIQQgvkcFWHAEyr4/S2J1PLLl+NaHT2CYnMhNubMOw8I6UZ3kNIB7EAsSAjA9FZxXhAaQoCh4
PmQFGAvBYQN/QYXHAHLjNhbEBltQHEy4DrplXDdldaYKEoQPA3vWC2KE4SNrVwqyBNsdoLemXnp6
gomhOfZTNMwuOtO9RhuInnMO6WeEfzEKIgZI1p4cJZ7l8DTcsXwsBHFDHWMBx1NXCPhjTi7oHQ7D
Om1hfKgwP+oOOWVNkEHasNJnUVuaqwimiAFjRIc5Evg+fEJBJolhlciwS0ZTu3KFEkIpiCdFTVc2
gotiwElRXPDsnpZ+UQVdRYG3YjrNshZEliK1XQQT2y8lQCsXrkvrV1RXBfkFxmYg6DCulXyJ4cf0
ViAd+TBmAkGdkev+yIRL03rxMAFpaQgCfTw1U8xmYkG+GWV/PQo6jkE2NpPK+Ic3uldFzoliUKjF
aoLG0/vhQ5lTAcqoPcmC6kO/hFRe0H86OumrGkaQJTDLYzF+GQRZCGU+sIGOd9nDFmwEnwhekeMk
7ULPyyPYzqTRiu/Rx4CGpHUmPX0T8iSszJuEMinK2RvyzQDPA2hMNnwmkqGvKvym0YICSYFlrrf6
ooQBhfTUcQAjKkT5bTUyiSgwmAE9VHk5WMr9CI/K8IjZvRBuohpcKOUjtJh1DfNqhKFhCSpWNaCk
rCm3mY1nd0QTowejhyvXyoLFJXv1Qm+ZBDLxSNC8KLPYM0NQv/rBuoKiu6bRiTk3gTLQzGyOz9yK
xd1PahhkCvZak75yzkoHiLcKyyxm3pKywxK2BDq6VenMQ+aHL9lS9h6zpTx4G/bOcp4FfoOdOQAh
WdPMM9sGH0jtSV2WVXkTRMqlkTbxFI+Nr4pV34YRleySuIBHCFMDFRuFCKLAD7Pv6Mz0y9IpF9zf
XRkWGInZ2UOFWRhaHviDpb42nqZRaMzcvDhnz1t3Oj/rcv+4drCPqFuM9XIpQ9OoeXCF9YRsFQ+a
n56FoVOBnnLBdyECq+QmWBJv8BdO5rQzDw8M3FjRqWKVFVPXNk59S2aV5QFUMTwOs8ZbDSimzy3i
pET23knp5ZDhRh5I4XfkYu8N8mb6b8kS7fcleQTvwG0vFQN9i6ItLCQyrEO8NdmKU+C09G4sELrj
MDUlpToTcgnekPyI5Cibotd0hsN9TNLuncgIIWIjnP+wpRSChe7cdkLgTCoS0F6puYl8w5jknnQj
F437pbTTNdG8cty13vpLP9ANVFoBqx7KQAGK0yyOMx8IRCDTH8J9uB0hCDiF/6x9/tmqzP/7ZH8M
0srf5NENqPfHj4V+8VuveTQGamCaWAaaSnR9yohf82gF3270BW0ImfhpO28K/Zp5gJQ8UC3ZkF/J
qK95tHEAL5QMiKyclU9p6k8K/R/LS3wxjQTkVUU7wQYN/nMe7bmFXOC90pwifkswCprv1Cz9SRRR
YpXbeDaUseDwBdMhc9cBhYWZoXTVtEzb86TKDi28QTGfUNEHbgvO28ExfI/1YCEamiEVAADpoYX3
hFJVi3ibBOHZ7dR1NtLudWXTmyaVMBWVr4mN39VKv3EKnM1s3yHvEepcjjQuYl2S5kXn0zRENcxC
XHOCr9c3cO/f8yH72voBlpM1pQ/XNDG3rg/TPr2uHenaTYdj37RoUATrNvJPaHF+rzI7Ecbi56Vm
IP/r2fOEB4O7HZhLepJHjZLdJoM8zPVQgzNbQyop4m5F3vd1UPNy7tXdQtdhj6shCqx6RzIUSfZD
4aNsZsfmSVXHV106RlPbM+ZGZF9gz/3AIfacHivqKrB1Ke+H9dztqPbnLYZD6T0Filu3QAM+S+9p
GsEZj0pv3qQd0dpKzml2rKhXTfTQ+x6rCAvlsZ3POrSgCYPZfac4UHWQiUmGspvkqjbOBj0h5S0I
jXSKTuoKKyLdPUk92ifsSIsBDQW57CilOStPNS6Gsf2BEO8jbgFXGqg55PhuEm9ELk20JHhJjgxG
ressZ6rKYQEXojC/kPyufaf/EYdONnMB+Wd4PE+bMkRNSFavdc+40OvBpf8eXeme+qNRzfZwCMSv
G02zAL90k0jNqsp86o2GuWjqJphxUAo5bMW3SFVEC8wq8K00ZCpC1GcAFhgTGVsjc4wWspXTirXl
ZVH7GSbKOa3OnLcGQLebqgDUGp0MqhjthRlUiEVU+XHgJsXRmETerAzRVDS68cKKjWWXGoum0Iup
PrrAAiJOQSQn9DnGKpyxI5KB0HKY2iOTeKh4h4mae/OuHC8zr+RbU3vhue3ClZvL0daOgg5otaVy
qqoK15t5MRDitonu66y/sVPMiywzv5OVrITn4aJQS+myk4MV3kIY1kr+Ska3eSZZaCHIcrY0B3mp
yLgpVLLkrJDCGiZaaz8mYXECCw5v7yrMAQnWh6Y3DAiUgwH0ElzsCwM9CnDpzMZkYmr1XcVBciqX
GM3rIxj1pDfVYz2NSMuQKfMOY9XxtVkUddeqHZXtvJQqP/jGMLj1mVpbSD6YgaEtTOy20ysLtfwM
7agcfBcuJJU/VezEOmeTDMzzoQj8c63ovdugyedVzBSa6L7unuZVBaeXfMqmbS4bHl1EsjC/kCW0
uYz+ixxLaFIXAdJLFj5Qk8aOxxmHp6o4RMfQpRIU9HUwxW8tRmh30ODmxHAIzL5YUkpVb6KOw88a
MF9DnIl9DHNN6172GuTaI3MogRPgGesIYWHdKOZBoFrelVxbcXWruq0H8VADqTcr5MR0v0dG4Otr
WS0TiXN43+T/QVw9d7gN2si/2y6zuEnSbRsmv/f3hukc0HFRkOOl6fEstvC6YaryAboIsMAslQbL
TxumfaCzxSKlqz6VnUQX53XDxN2JXg2bJo2apx75n2yY5jsvbCHho9PagXCm0moX3Z+fN0ylNZgW
eFqfjYZ/hHPgRG8zjvmspRGA56I1oIyGbrzW8zhaGJq+khtlGeT1md9Ih9RoETdX0SuQwJEqR12V
b6JGv3UrmFxpve5H5cRz9NXog9uIpGyY+pZ3iy7PF4iV0dxMkg2qguYUpChHq5iZObIO6NXAc4gj
Ngk7qdPrTPOPG2qyJ6kGC8RnoyDpBRtrQWF1ojsT/qPmKpzOs7O8NOA1OeFNp7SCdU4yb4BWVBtw
VBGqrmeoBTyYWYYYBeUHFE0tcxq0kXIIQ/Wkrq1DzU2uNFA2gz6uK925i93qilpAhgCft8zMBnsm
gQNtzTMjs47iGoNPxze+apI0G7P6e+ebi6olkJYY6k06xz4HA4NODXy5LjoNO+rXkuJifAzLIrQ4
lSqldO0INlpGBV82whM6EmAtAQhRcmHvN3AoSKJRWfimkyyk0Pnes4cabXOiI9FwmhdfQCMtkiiA
1YOInOEsGq2nFNcizIJ6kVYqG02BTBdLN63uXnOUXJgN6FmHWjz19uQuGMC8STIufQDFJkofng4t
Q1dEzRe5d/tZFZnJt0I/xPsa/6TaxmKPwlZ76skoLXfUzRIDD9KhaS99oHH8N9KGJgIMdZF+a7gN
F9n3aRRIWDN02dIIQEuXtjLN5AF2GO8hDHFlCGU7nmWDDWp00C4CG/575z7oBbtiYJpXemZeSJRu
p8j8nTiYPyBbavnoWFBg4VR+IRnuoQHFCcUoKLx9EV5hoHUPhhDr2gRCR/QQpuU3zyEDo2HaoY8Q
mavcVTrQVeySHMm9KSfthabDnAksd0ruGCGJ09BdF9LH0VLW21WkavE8bXqY1whN4CGcz3QTlVY2
75ssS+aOkscnGAf5pFhVgIcESWPaK+jvVHjAS7ZF+bUfMsoqTr6G3PK1GKMLN2/sqS6HlIICCV5P
jy9A0lA1jcvsWEayiJpMtGjs6iYwrROUvy7SNgumVuAkU0kZx2WShg0I+xLlgyFlZmrq9zwtLu2W
F2903mwwxlO5cfFlkJQZJsHIMNsXDWaynUZFVnHdQ4uMj7Yl52gEYxY9rc9pSQ0SNGRUTfKOLCws
0DyWxmEDjbOaIjTkQQTlt2uE4UH/zeSIQvSAALQSwwDkcLBEljeZD9EFrg2YfyDq6o0b8MabujWv
vL69imLIQb19DqyZQoKHNHanos6LL9k3sBgp7CRrLuTy/aE1jzA2IBMU+VJjwIwHM7LhvQ5HNOrm
WY73YYTW6EyV9Ee1r9axLK17uYY+YA/pnC7aBlrgashrvIJNSGWyRbcJHIM1GUrYkGrRXSZWl9GB
q5Wli4elcE7kflpsVrqGGcif/1BjUqXBiN1JpIs6dSxdFI38WCVMCd1MAgzFra95WZxWMQw0aCmP
eY4RpNQtqhCvBkmN9TkJsLowFSqf8lieuApOk6nO22bEj4uUh6ZgCF+zTm91FCIXmUQM9gLbQUi5
1OGieisXiY9VpgybwkTPzCE06hG6IeiNTjHtXI+1f1YJqwXa7ijlBNoloqYdpCrM6it5ibPqVT4S
KzPlUvEKKoEjnTg5szYe1puYFx+pPNysC2QTfYDmq2SOyhTcazGPQ4QiSoNJHVXubWuOt2VdXPiV
7q28WKKRqjRCgjya6HVzmdtKMisj3q8m0fjVym7aYYs+8ZLyDrwJoQIpa985I9AtvcKH9KdXV6g3
f4vU+rosEK6Oo+Zad2iYKmqnzGRZBeZXhS3Cjb4xHTC3pn8K5gb57cOyCi9TU1uOOWLubqTcdlEP
f4I+rYEZytR2InWi5SaJnfqtNb901dHo3nTBse5rX1KSd6Bi30IKrYGW8GrSemmm2amaY5+Zx0q1
kkPzUSHQw1R2ztvAZGnrkruSDPQeLHMM5rFFmTzQ9VnmdCdVHl+0VDGtPib8BsN8HJRLwDLHfkY5
BYGta6tGBEMu6qOiPm1NSoUGsnGe5Z0jLhfM4swJliq+LFOortfKMC4hcIcnqUT4H6Vy7WC2vYA+
Gy20ug8no6JB5cht3pYr3OW8I0OY2lSYfgBWyDynQEeBJjD1x0dczfx1l9ag3uB7GtZ1CPB/iayo
YA8W43Cq+HIw9SveM61qc+XZ9KcRcMmIX0duPTpnilaiFTNShXSrWj9sUfCPKYLZm0YfaI700Mv9
HCMjNo8QDJe3SAxlrebGIdHoyOTAHdk65NEalwmp1LFKsXIiRFt4E72SVn6hnwIf9lapLz9qg/wI
ffSOLQdCM6KcgyzNEtuaqbjBajX3WGlKNov6+L4PYAQZng+gAEpK7VInTj3zxu+TdolTcDjvqHkV
KAqC0MV9pJVIuS3z2GOw8ztEbhTdvUBcYiVJnYraGYfrHLGPoEmUKaohXxl+dnElfoSYedRCZljk
yM6XlbkMbVrjBniqBcd9jlKlLLRtEadWiu4mrbFs6eNLQx9mZmx8TRx4VEWI1esYHXa6uSgDKL2s
E/jW/UKp8yvEDO8Jruc1Dq1TeD30nMziQpHKBQFOWXY6TW9HgQvsQ7u2oEOlZq0KeeAzSpqAf10f
OXRs2OdlDz6cuB/PfHPET8es5kmPEnFuoosbZOpmRPoVajQ4wAAstGKbpyS5N2WZn/RWbE2zRJor
KNFiigKzKly0nXpRFu0xK3dlqaYMh8wXPS+hlhOvO4WtNlJOArc+duPsmmrhDaoC7BGpdV2p/Trj
9INlAsDAEPtNvAq9b5Qj0qkCeGYMjkq9XPeet8g7lYZNYMMMy9mjJfNrk7frsUc3OA3uYt04KiKF
gqI2nCAL1qyGcqDl1JvrRMHd3UwIhJK/lI0AET1DX0UZ5AB5PG5KTUObEDK6ieph2CXJuebK48yr
bWkidYjbtL4OkVScJjtd1SZGkg7TvILkgm/uqqIRBlQnvLM6chi7b86tHPKpU7bZEkf56iQpUJ8s
tO4YWQRbgDrwTXalpZN0ITmnW7O4jJgO65VZS0eASZOl6WeHDtkW7INcC83JiBBz8B9w3MtxjFPQ
r49jtwhSbKld8juvRzHkyjnuoCuuwA+FO8op7e+jmHoAOkA2ZPTqZAFQ+xsDAP4NiLIOxUVwStFW
faPYgamKgsmJzbGJtr1APf8BSJk2P0etnzAANCFNzn0ApS0V7Q5u4i00ri4B5MZq2J+BJ5YmOerI
llte1SpOSaFKRWxU0uwqaJWYIkaSXFZCYFmSlWbVjC4WqvCXgUihw1zo2qlm6fKccgnqTFYI0x3U
ay0EnH2UnJ2mQ3xZiDtHQubZYfufwimzpk7jZlc6atClTNmhRh+6DXzUiTxMvjohHg2dBdSToWpz
D8eqWaUoX+Fmxqs4RkAtdLQl9huHGnrUXoEwdS8kqk0hVh0L2WpKgd/BP3crB0XrVEhbFxwJ1r6Q
u2aHQYYiSnu637F6Fii2i6Zy7ayQraIh1qnASJ9ANAJOEwtgTZ4KzWiwNhlqlWxreKalTXLS0KmP
wOV0AqBTg9RxBGTHALsjN/o8sjx5roLqiUD30NHCa01ZZwL2IwsAEOe7BAM8/7sBNqg3nX4CkPDa
K6JrIRI0x04C5VcQRbWAFmkCZKSlSB2YHrrjIwAkyQTwJCBJfWoemeiq0pkilXcEbqkWCCbf7WSE
N8dbXnSI53t+mUnuqQ7sCWLpSnNpg+oAolyAUcjDtSeIiqEFW6OUXgCfQuiIBo87nhoZr7TO+1kB
1CoCcqVq5fUIBEtycw4Svn8UAc4yBUqL5hT+agK5xQ53aKDjTz8FFkcHvAuFSPByiQ7EwjzJBAIs
E1gwTjC3uTd+wX8RPT7QYpLAjaFAgVuEwJKZdhHZZ2zSoXYnq6YxHFrUZOdYaBxDiBnpuSqlN4sN
um++ZTxKVbTA/AHGkTQsnmg+LjZ1tFXjI6x/S3QFQUOoiXKiWZzdY6FJ5soKnBvDDpaDEc3tAsMe
FBrYiAyjnbZ2iYqEFyFBQuo/+ORZARJq8yx0FtTnqaNGWO9BYnEPpaEqiP94KXYs8KnMTNW8/CJO
U2RiAv2wtzHYyKNEvkp9FxKKjlRyliJEifcbvUIzIYh3qJzL6UQb3MdhUFcBNgCHkWFclbULrCKt
p4guT2GOn3IaidncDRPbmUZGqsE8lOxSPyPnA6sCNHyK8Lm5QHTwso0E+rI2TuSgw+oYZYipLBlH
JWD8I2XIjgs9Vg6LjFzcqx1ECG8qxT2TOm8BprtfUKVHPLMMoimFg2U10CSkETizi/jOj42FneUs
dZZJnls9A5t8z/3qqLe6/DCSLHsWB4py5ne5RnkazgH5PdweaOmUKN3TtpDQynfAUg7YoMWYGFCh
pa/vIko5KKDbUGim/D6M9qRRVXdFLsteWWX6cvBcZyZLULbzIj2GMmbNB6/RjlBvHI+KUJGWelbI
8wxQrinRIB2j4QiB35tcSrRzNSTlIPqh3QhVfuqjlCLRj/B6z6WZnN8WVuj9qFJkVXyW8RcrDB/H
cCQDAq0OiuJp2/hf0P17ucWtnqx/813ET8+zIK2vsvkTI+eNq+u/9Jde96jtF/ojk1ehlfDTjvx0
Y0839NvrxBvsaJsHbGTZXtnukFUwdMSJ+UAPijPoGM8/lhS6ihYfoOLg8viuN2P0q1H4/QN+9L/9
eJ1f3/zbDMOg0flvPD8P+M/jWwckFybkJweEPR/Kr+8fn+KxatHNfB6ffRgEEpP3ZDDlfan8z2eC
caABpCTDMn85FKj9OQpKwns6CPLzFH1mPP+9vP5oOTgHKohSyvFkquLDUP80H1TBmbNJEfXnZPh/
eDl8mAliFf8ba0I85ttFgX2DTYKsPc953vf7QVDpmViCxvc/HxI+jAGvjmW8c1zUxFlEtZlTPz+8
TEB8Ysc/h4znr9q3ecAYPL+c3RYDkOinkPA8D97vDeJAR7hQFHVvB2H3sGiL/qFKxw/4zNaIQBfR
FjFDf9Zh2r+Z8KGN+ud7g0AdiQYlvu5Pn/fbJK1UzcbghUL/voaE98WLPx8E+0Dsf46mYYUtPh+W
g3qgaLptQG/Y10F4nqI7xATMCyxqMJYqRkJ8PuwNOjuorrE37OvmoO6eND+pyHJWB0+wdTmQNMPy
tNBzAQ4nPvs6H54zuR3mg6CnIldDyen5QcWjftguBSSQTs7rUO1lyqDsnjKoB9QMbQMY5fOsIBT+
NBSKcYBYsQH5aL+HQn4OX7vMCgCnAGt41JdT0/tZIU6VNvB3W9nPNFrUqXdOIcHjUtJWcC16NxE4
RMD1Fjab+xojhcnNbgk0CiKUDGD7ab/Km1RSBkXGGmdf8yYh6b3zIAhNTV3/OAX0AwWxTcwMXvbR
Pd0htN3TJsIi+HKD0PhuGYBlV5gg9HUo5IjPno6BsvtJCm15WSUaWC9Vtg/xUJwyHBNm976mjtrO
qaOG06MtIzILx/b5824+EBYRpQClKUwl9zNJ2L3AZB5QP6N4or/M+Q8zAWFdfsaRel+rbC9b9i7p
gXPAEQGPEiQGnz4ssJ8yJWYCnBQF1cO93Rs+I0eirkAKYL2UGrecqQEGI6AstJX3cznsHBPIEnRa
D3TvnyeC/D5nFhhtfqxDT9rTQTB2jwkcmTEL0eRfFRbIllHjVGSsz/d0EF6C1S4xQUcAVVU1+zUw
fsgW7AMsXSjKEjfEZ19Lji/dkV2GgtdtwjDQwMM8fT4sCsRiFToQurO34fE5ZO0yCJQcLbRoDfml
svB+PrBHQN4gLog63F6GR2HXvNv5QeOUQGAgQ37ZKN/PBFJoyrJYj+7rFvHSGdhlIkDgEVmzZb2U
VT7skxoVR8vUcCnY04nwUgrdZRCsA4BujgkD4Dl1/rAa2EiRliM4Qifis6/R8YOI9p+X4SmrYEnB
wfn5SbelDPwQRVNBrtrjoXhplewwKyjG05ARXGuYaOLDdvBzHk0RBjlYnab9vi6N3WMkeQHolL9X
xoeOhMieEHbCjmRvg+TuRRbzwLQgMmryS7Xt/UZBqxbaM/W4ve3ZCxHNHXdLdgoNiUbOzs/L4UOQ
ZBCQTaCLua9500stdIeYQENGdagvMAhP0e9jeFQ5bZAz0Lza15jwnNDtMggarRh6Tohhb58J5E04
oslQ4fZ1o1R3Xw42hpZPw/DStN8SEyhIcq5UnwdpX8Oj8KHYOTI4mFTRpXyJDGSK7zdKagzspC/1
7v0DcQg5lx0HwWDhq7BbEa59+nxIpKm10JkEzrO3M+F5te4WGRxbNiB5PI+BWP8/zQQigwbUh/Lr
3g7C7u0Im94csF8mwvPK/7AcRGIp/gH8JT77GiS157R2l/lAZ8YgJ6AQ+3cQ/Gk+kDhhhiPTxNvX
nEF7PvbuMgjUWqi06EIT/OmzZadQHXoWjrPfR6qXxtFuQ0HFHb7I63z4sDRIn5BuZ3Hs66Iwdg6S
VOXxk8JUyng5V24ZBJFBKuCk9zSH1HfPGXTRjRT1xV9jWEwHZzVG4Tl07OlQfBBv/uOSC/MBzJJJ
ff4XQ0EtFvwrIVJ5DiB7Oyt2Xho0sUUPgsblrwpxygENboXi/L4im/Td8wdT1OaR+XutO304aMOS
oOQCiGpfN02hw7RjOg1zCi8NEQffpZCkDPzAwql2b9fBzk8vcMBYFXKeeAV+vh8EFZ0s4I60sPc0
Lr4kdLskC6L0SJlB1N2ePrzvn5NH1oHuUIfe2+TxgyLpH28OiIvSnRKB/xfcgKfutYiJLzyE/Ttb
C02BnYOBruHaCVPwFxn0EwoOE2vBJ+K79nAQdi8wII2ny6BazV/Beuhb4/MAgeL5u/ZvED54qf/5
chDtSgXkM/2Gp88HbBOkKXBNNrX4f30m/Asj9Tf3eOoH8cMTNRk1+23k5F/9hVfe7sefv6GbPpFu
f/qbV0P++Pzlz6RU8f//tXlIgnQWVHUZ3Nfq03R/89PX6f/0TS+///KIH7/8py97fa7XP1xhu7sp
73GyfuJiv9zo6SaB2/zfMf962Lwny4qS8Oufie/+v//n55t9Ewt+f3XEux9fL/SPLaPgZP/zqP/u
xZPNQ1a+XujNxdlhdr74RNiYvV7nzbWZqTtfe7qJNy2vpHq91pvrM993vz6an9WHV0pVgrD6CRdP
63Lz1zSr6m1fQdK081fMHuO/TrNy6/iTK+98/Xn81ywrmTyv13oz/uxyO19/UeKQse3iRPSdL76M
H9P09TpvbvwzluuqSe6y+KH+eHkB89/51g+T/LEMNvHrpf65e0Es2v3y6bBl0AUwfedLHz+WW8Zc
AAZ2v3SQelsCgfIZa/VkE22JYQKbvPNtn2yq6nHbmHzGAj3Jqr/+O/Ue48dtI/MZS3S9eSAAv47D
m4n4GUt0vSmDbUPzGUtUXBtpxy23LiibO7/W9WP6kN0H26KXQKl9wvXL+8eH1wv9M+4C/bX7xTPu
/fU6b679Gct0nW0dk89YpVwax9THYcudf8ZKPd3k22bLZ6zT08d28zF3NHCoe32WHXLHs3JDCHi9
0JvX+RlL9Dze3G9zqRVd3Z3n4TlqlNuSO9Gj3/niFwGpYxU8bBkZYf238/UvN/clR4K03rKXap+x
Si836V+TR3wXtn3BZyzV5y8o0035sDWQCcjxJwxT+tcsePS2PcRnrFrxEAtWwH1Q3W/7js9YvuI7
jrJN0WzbrUTH9FNG6aQJqr/O7oIq3/Ycn7GYxXOsN/Xjtut/xnrm+vXmr8mmvNtsyxlEG+0zRorv
mGJutCVYizbqZ31D2YyvF/snpop2x+5f4G+2ngkFT3r3i1PD2Do0n7KYgyoKhqx5vc83A/MpazmL
N9uyB1Hw3n1gSEy2GcuKeu3uF683iFDGm6Z6vdibofmUpfs7t/inatUOGcRvPXd3vjg5flBvSdoE
tGDngb/6nc3Zzrfe/NYUZtfLf+Ppm21rVbAAdx6Z30go73rjt83dluAryt3/n7veVpb9u33xsVj7
qu647dd+rkWLv3EfP27K//p/AAAA//8=</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Where our customer order location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Where our customer order location</a:t>
          </a:r>
        </a:p>
      </cx:txPr>
    </cx:title>
    <cx:plotArea>
      <cx:plotAreaRegion>
        <cx:series layoutId="regionMap" uniqueId="{00000000-92C9-4B3C-9FA9-E2C4A1ED4D75}">
          <cx:tx>
            <cx:txData>
              <cx:f>_xlchart.v5.10</cx:f>
              <cx:v>Sum of Quantity</cx:v>
            </cx:txData>
          </cx:tx>
          <cx:spPr>
            <a:ln>
              <a:solidFill>
                <a:schemeClr val="accent1"/>
              </a:solidFill>
            </a:ln>
          </cx:spPr>
          <cx:dataId val="0"/>
          <cx:layoutPr>
            <cx:geography cultureLanguage="en-US" cultureRegion="IN" attribution="Powered by Bing">
              <cx:geoCache provider="{E9337A44-BEBE-4D9F-B70C-5C5E7DAFC167}">
                <cx:binary>5H1rc9u2tvZfyeTzoUsAJC57dvdMSUqyfJEdx0mafuEotkKCJHgD77/+XbKd1KLlbPqd6sPRUdvp
JNSCFvEA646Ff991/7pLNuvyXaeSVP/rrvv9fVhV+b9++03fhRu11idK3pWZzr5XJ3eZ+i37/l3e
bX67L9etTIPfsIms3+7CdVltuvf/+TeMFmyyi+xuXcks/VBvyv5mo+uk0r94tvfRu/W9kqkndVXK
uwr9/t5dJ/J7VqZy/X73Gf79/cdqnUqdrGv9zs3qtOrfv9uklaz62z7f/P5+Zyj8/t1v4198wd27
BF6gqu+BmLATapmM2JSYDx8YIMnS4OmxgTA6MU1sEcL4j59drRVQvo2rB57W9/flRmt4wYf/7x1j
521gXv6YNB9323nZohEAML+//5TKanP/DlisNvr9O6mzh4krezfbvvSnjw+z9Nsunv/59+gvYN5G
f/MM8vEk/7dHu6j+F8Svk/XdpjwA2vyECyaQxcUj2mQP2swiyMTi8bOL+XS+9uM9op+A9YjiyHD+
I4GtdL8+ANDshJsWx5ySRxzZGGh8ghm2GIX9/ihMHnf1GzjaD/F4gAkYj0mODOSP6/TdRS31u6tv
UufZAcC2TzDHFAmLP+5qNAbbPKHUNBHCYhft/w/W9qP+2kAT0H+N9MhWwWqdH2Kf8xMsYB+Dmn5F
oMM+58IybT7a6FP52Y/3DvUEkHe+f2TI/pHkMt0cYFvzEyrAMEO29SjDwQDbMc2QOGHwsW1m7W7r
6RztR3dEPwHfEcWRIfxRbsryELtXnNjUJKCmrVd2r3kCD01Ouf3wBRDsz5X1dL724zyin4DziOLI
cL6RzabU8v4Qm5mcCG7ahIAe/gHl7mZmJ4QxEyM20tFvYmo/zi+HmAD1S6IjQ/tiHR8CaHFiggPF
TPGaQ41PBLIR5Yzu7uap/OzHeId6Arw73z8yZM83ZXoAfWzDDiVgSllPe3hsZoM+NhEXiGDwtp7L
6an87Ed2h3oCsjvfPzJkvU3ybpVBOO6fh9dCJ8y2GMMA4cPnhctsnWDY2uAyj0zpNzG1H+OXQ0wA
+iXRkaH9h1rfZ4cJgxEIfZhgd41MamyCSY0xyO7HANnI4JrO0H6YR/QTMB5RHBnAbpbU+jCGNTYF
JuA7PVpbL6LaGKLanFBh2buiejpH+xEe0U9AeERxZAg7dXUIYU3Ac0L4QRnv940hbWGDooaQ12gL
T2ZoP7675BPg3SU4MnQvs7TalJv+n9fGhJ5QRhkjJnvcwXsyFdSmFiXjCPZbeNqP8YsRJsD8gubI
kD6t1bcsua/+eaQtULmcIsvC4A/tuMTYOkEUERNCII+bfFdUv4Wl/UC/GGEC0C9ojgxoSESvIQqy
PkSumZ8gQTHCEOd4+LzQypCn4Fu9bY1c4zcxtR/rl0NMAPsl0bGhDQL8IbKpq0OYYfzBIRZQPPCK
lsYniFjcZmhUXOC+ka9XMN83yhTY99EdGfKrTbM+SOZZnGCKGSfmk+m9R3GbkKqEpMZok0/naD/a
I/oJOI8ojgzhWfLOy0rwoP95nU34CcOC2vipukBAzHpXdYNSF9s6E8hvbD8jI/xNrO1H++UQEwB/
SXRkmG+T6c4Gqp8OATo94Tbeul32ozR/ATo6sUxsgi032tlv42o/3nvGmAD4HqojQ3wOFXXpYdBm
BFHbRmg/2tvsM7fhHzQKoUznaD/SI/oJKI8ojgzh2024VgewzsDxQgzqgmz8CsIYakeIBbsZ4X1C
fDpf+3Ee0U/AeURxZDiDrNoa4WU9HEBh0xPBAEoT0VctcQiHQ/3Y2Cp7G1f7kd4zxgS091AdGeKL
ZJMeIlEJwVFs2ki8jKiAvyU4gnLvUQprMif7Ad4ln4DtLsGRwbpU+aaU6+QA2xiDWY25va3QfviM
nStkQ0WRDUobslvbz8jufgtn+5F+McIEsF/QHBveaX8YA4ybGDYyeyr/G5vbaBtOE5RyPgqeLCfy
8wrCz6mnoPv8+0eGLKigd5dwhuQQ8LITi0O5AVR4PmrkF+UGYH1hjixhjTbxm5jaj/HLISYA/ZLo
yNA+hyNfhwh70xOoCIIibesVvxk8KQrPIFU5rhuaytB+lHffZwLCuwRHhu52+TpQGLYu7+VBHGbI
VkFJAeLkqfDvhW5mUKtvmXD+ajeP9XbG9sP9yjgTcH+F8sgWwMVa680BzG3woy2o0efi0Us2zTHw
UFRE4bHF6Wh/T+doP+Ij+glIjyiODOHbOlmXBygNhGIE2NTbKMjTsUnQyDvhbpDgWIAdhmzA/nnl
53SO9iM8op+A8IjiyBC+yPS7P9Jgk2wOoaitEwiGYcJ/KOoXB27gtBWchLYYlHfv8a7eyNx+xPcN
MgH2fWRHhv3l+h7qEg7gVENsjEJSA7OnjOV4d4P8NimkqS000tzTOdqP9Yh+AswjiiND+GO4Pkgd
AmhoOCNHCSevFZ7gE8LBeoNTtLvyezpH+xEe0U9AeERxZAhfrkt5ABMMulhAeNuGDfyUkB5Lbkhl
2GCaUyZGsZLJDO3Hd5d8Ary7BEeIbp4dpKD7IVoCEpo/GdljGQ0WmKAW4xgOXj18dvfxdtqncvY6
0jsjTAR7h+bY8N6k99ndYbxpcQKhLyEYe4p0jwHHBE7jMEqIGDlVl29h6hWsXwwxBewXREeG9i2I
bmg69M8bYNsKYIiQgfh+Sk7uCYVuWxggOM+xu63fwNJ+pMcDTMB5THJkKF8nNbTF+udBhhMbglAG
JWNP1QYvQDZPIEQibAiI74I8naP9GI/oJ0A8ojgyhC835R00x3IP0EqMmFRQ6FbwqIJfGGEQKONI
gPf82O5gtJmn87Uf5xH9BJxHFEeGM0R1t/UkEBI7hNMM7QogEAIHJV8DG51sA2JQ5zvazm9kaz/W
+waZAPg+siND/TIDk+yf39xwOtoSJkjnHwVE4CjvhEAhSGJbGKq60SgEOpmh/Ujvkk/AeJfgyNB9
XMDOuvx2mF1tnVgY2s1Ai8BHEf6i5gBSlYJDUSAcnX347KrqN7O3H/P9w0zAfj/hka0BOGp4iHoE
iG1DJ6mfynvrVu1s8G2OAyoEBTjYu6BP5Wc/1jvUEyDe+f6RIXtVriG38c8Lb0KgbAwOY3D6Wicx
aBdpQ88DOi4Ym87RfnRH9BPwHVEcGcIf13cltPxMD3I+g0OUGzrGQRfIR9k83sFwJh6qieAfODe/
J331Nt72471njAmY76E6Mtxva+h0oQ7SJRBC3xzqSiwwz36guiO3wTCDDnMIcTwyzN7C0360X4ww
AesXNEeGNJgg7zy5CQ6hoqH6F0GUDCqAx7qZwUl5yGDxH8WEuxr6TTzth/rlEBOwfkl0hGDPQWnf
SX2X/Zjzf6YrO4OzGAw86P12OOSzwFBHNicjY2w75T85mmJJvA73y2EmQv6S8AhhP8vWRX2oXCZs
cgsDwA+fF+VkCIqNoJpUiP1NQWEFvIG51/EfDzIR/THZsWEvdSz7rJ6yt952FcO2AR2BLY1/9Gwf
O9+w6Sn0A7ahGOWHrHm6iuENPL2C93iEKWCPaY4M6c9gptcHiZ1CI0Fo6kvM19piPJQTwhEfao6q
Fd7A0n6cxwNMgHlMcmQof9w2KDtEj0FIYBOModvNUyhtbLOBN0bhND3I8XHN0WSO9mM8eqMJEI8o
jg1hiJcd4vw0NMGwiKDQfv+1FmUP9jq1oHJwJK8nc/QKwrv0UxDepTg6hJP1wWKiEDfbtqHb71tD
G0lLQHP2Fx0vsqkcvYbwDv0khHcojgzhr1lyCIcablhgcLwSaktGDjUIZ3jAEPSf2926UxnZD+sO
9QRQd75/bJDW39b/vBENZSYITuPA4ffXSn2hMSi0XudQDjxCdiI/ryD7nHoKss+//78A2V+zuPPC
27vN/vgxt3uCIW+/oQ7SypRCSnK/EAZrmSJQwoD7vpwk9PD7ebPe49GcfTztR/U57c47Pr7iryfl
MLfOvX4j3c9r/rx1tZ49XBD47FK6Xz99eH2423BE+nSWac+E/ewfsbz//T2UaBLQgWDh/rx7cDvQ
zkmov68L/LE0dik3UPr/+3u4b3AbrobWr5YNfjBl2yMX7ebpEeQv4BGGrmLERva28WsKveBDuMUQ
Gg3CRThwaZ0J3buhLyw80ln98AhCo9tm3+LJVqP050WO11nSB1n6c2ae/vwurdV1JtNKw8Db+Fr+
+L0tvzZcpGTCsXzIpUFtC1yxtvXQ8rv1zfakLkzE/xjcIHHZJdlV3dN4uIxwbkcraLwS4VlVqeSa
yaKpXJXYKzsvruuQ31lB2M5KrG4blGSOQuqiwOXXpM/OEp3eSCW9ysCZQyL/ktv2Zd5lsZuydhGQ
JvBKHV+EZvtliNKNkLpzsgbr1o1p9sEOhjlSVuSEQ+LUfhh72KodklTRZVUbTgcy0CtJk6Jv2Iic
rmmDZN4GDUdLuA+ylGc4plWwiJFhDY7ZCCodlZOIOr5hktyhTb5kkqlFwcQZTfhg3RK/YtLxVRvV
nhBBaF2UkdRfo9ZPvbohCs+buokGt6qjc6ZTGrmJsHU7Y6VteELzMjqNU9YMs6IMzGKmoBw0cJK2
+1ZTFTptkn5huV27VdgueCPKRS7pOvcz32Nt0X2IeNLOSZ1dSt8sXKwry8lDOSsG33RCQWaZ33zC
pv/ZKIdlxYybhik3bdql1adeY1QXXWtfiYb2Ds+pWyb4ptdynRvZeVIzw8mq+rJmaeowIz/lIcud
UqCbpjaW0B1plvrFigf5d0xKRxntKZLVWUvVaeAXF4FIVwp3qzorv5m9vhFhcooj+ikWjRfa7NRH
wRUNG+0USf4xyQeHpdJLcnPR2vqmrLhHunYZUeuLYtQxBV8Lrs+SqK1drgieReJ7irKZldAVaetZ
m/GFlQ8uyvSlL/W1iKuvpR48VnMvN9AsZeFqyNQV73tH2MMq1dap7vCXoc0uGxw5lkpXgKWbR+1c
hOEq8rOVJuJ8IPYc/NKzyI4WOTX/wnY057K6zEn1Lch4NNtCHzBxa5XIlQotOO0uUKMrpxbmqsah
1xfRqqT4Q9G3bjUYn+yQLJNoi3CdeXmslhpxh0vuCL/YCEu7TZp8YVH4KTPDmyo05n5uX0Byc45r
tTKjJnFojy5aq/vWABOuSJEXp+jCb4YzzpBbhtVFwNDckN1524XLTKvC4X25KRm+aUR3U/axcPyg
sT8wu1xI2oYr6luXvY3VVZmY0VLFSRE6EmcE5U4D82V3xZVJ7YsWwZKqhbVMGm24BW1zL9fivg+6
ldkpz1LkgsngQ1dU1Oty6TVJwjxSFH9VUQ/Lj1Avz/1FVzT93CD+X0OZXLaiC+dc1bdx68+IQZgT
W5We4WyQDorT3CHKYq4Rlp2bN0Y6wyG69C3rxipl6RqWqpyoA8SbSFxHubHQlvLyJspO8zA2XEOz
aF506LKK6kXsB64tMsdsdT2D1QFoYVw5otbXhR/2bmrpc0yG0g17fZ4oeWX58QUpjAUi7UzRYpVj
LJ22UHe5pQCMwfBwq1sv8nuYrIp+sBO+zKqIeGUWESeN/djxh65yjah2M7hX1MWhHTmRzC+UTGon
rgxX4ezPCq4ddXqsGtdQw6pG5LKL5T0lReQYHJ/6eWo7nQwjJ42aG5riz5WgZ4YdnHKjTuZJn+au
KdtLKFDrncYCCaCMJHdFntYeLvzaaWVezKO6v8gK1DqUyKs4Lj41tKZuGHa3AbVhvSPppEblNjy+
8hOYmrBQsUPK6JNoVOoKGQrHso32YshIch7aNHafXyS7o0/usrwvZRA+3Q3884//uc0U/Ptws+zf
f7m9WvjvPy022Tawq8df2ur+n9/6+3bara79eVXtSIM/3k/8inr/5cM36X4TFO7ruv+hB/5Ltb8l
+qn24ZphaEYHtWXmNmoGWvpvtQ9ONhh3DBonMELJNvn5pPa3HezA0odSNChdgaI1Csr6h9rfnsi2
oQcpFDUROEMirDepfQFu367ah4MoYHtw4I5Brn3L33O13+SdttMgJFe6s0x36Jpl21uFhyJCnJIW
84zg2imr/gvDA/F0YN2VhF9Uoo892/TVPOp8a1GV4XnVZqaTmumlEZmlw4e89jrdrLqSas8SJVxk
nNXfepF+DWUw61VyE1vRIu2rM0zwTZHnsLWKvnZEjrVTInyRqth2AoN90rHIQOGq6nRo/U9DFn2x
g5A5WTZ0Lu3UlR2QK9TSmSiyM5YUy9geyHJo/NKtY8zdJuwWQTzMMM+/W3l4U7eBfZYG/gKW+Tcu
QZvo4XOnVebEWGGH4Dh2KGgTj+S+a3ZZ7bI8/Nyi+q+4ayw3jMNTXGepk2sGOjMExVk1VerKnKxi
VZwlMYiDtiy/F02InM7IKndI+JVUZe62QXEV2U1+1qkqntfSDzymstiJwzJwhRn4K00z0wtFPVCn
sIbvHDfxqrHY3SBhcnNfhR+w34NZoMtNWJniMsqSpS0M7Pg47xdhqvmVlp2aMdYCanVoOWVQBW6s
utaJgjR0mgjRhWy6wKFlY59aHQs+mAFBiyGPAqcIZOKolAQOadvMkYoEM7NPolNCumRmSIkXUZgM
Lhksh9DOhiWQZafK95GHut5cJJaWc8vM/bnVkmRWqgovqoyoWUqiC5QW50MVXYGyW1Z9MHhS8e/+
AIZZxJQ1M7QkXl/30Qz5rF/EdZDMzCjkMBGoB1OrEIsqogHoi7JeCKwbRwVl7pkSyZu0ZXxR53Y4
g+RDdGqavu81TUIcTYjxIYGuzY4a4E2LjlJHUpPOeQDiMupb7vRZkM8MVSMnjmN5ZmsNFioOb3us
r+vaTGehwXswo3K4RkBrR4bUdvpCWGe50MQJUC+dfthOkcTpX622o09pKJGjQ5Ge9nXqO7gLMifx
U3Rl8zBwwnzwHQnzDvLZqE95C/ZH2FptDaaOvI+VZI4ZMX/WBMo4NatoXtvJzPdT4bSK5o4SaekQ
iyiHW1HtGFHLvTJXiUubiH4YENiTXX1DWxXPNI6QdBOcrGLoC35qx8X3Kh2+VagJ51WOaicRSXkp
UUdc0lEvKQu6pH3rX1CDNQvup9YNNurPUmSV4ZlV3fmLEHcIObLO71rgig0G6MgwShzNw2JhyP4W
GS2ad2FAXbC8z1KF6axte+SIpl7ClTm9k7MBDOkkmMk0Nc4MyzyVhHxqdFS5OghvVRGdsSi9bpl2
DYNdavsvn+HzOqPNn32cbFoKBq9lGE5aosjjbd1e1Jqlp0JUkSNLGTtBbF5g+LUwD8+bxvpexBy7
aEguzdZETiPY54GnliOjgTuVVvea6QBsf7XMov4DNDq6qG2p3CxsiJcqni1iiRpwMkLb6/qscxrJ
mFPC11ONc5dpMC/7HiBEhbqqjeBj0vl/mVn9NbdAPHAzbzwWl+eyResupnSmYxK4jc6COarRAkni
FLFVzppIY4cNSDmJbi41b7/UkC71mGFdi45xJ1MsXYITBd+szMip46Rx8yo7ryPzNOFN6jaWP4/M
rLiSouqdKIlMx+iEV3XQZdensWM30vNDTL/Gfq3sWZZ2lymu7jKLLdPa/jPxlb0E69eJyuFbh5rS
qbPuFF46mYfYrMG5G7yEslUYgZQRmeHgEnw1YWROk6FTo6CnfVt4EZZg9Mj2AziiFwnWxPVl8q3i
4pSlZIWCfGFYxSJoQw8wdbsEwZ/tdcildLWsv2vJrpOirWZN1i8rZYWzmiVgJMYffOUboAtqNyH9
eVglH5QwPCTD2yQOZiFNT1mdgKum5G0iK7fGtHRSXzNH9cOpz9GFTFxugo+pBXYJNjd+nfYO6DGj
X2iONb+WYDO7AU1vTFmWs/+LttFzK8eGbfArs+h5dOkxMvUQYnig+mEXIegqtW1IYsKtczZ0W34e
DoFi/W2TfQpBCIiObdvE/bCLwGJC21JucxsSgwvtwGT6YRdhOAgPA4Ilw6EdAtxW+Ba7CL0wiwS4
v3CXJYUMCYGSFYijPzeLqoFkeVHX3SptiZg1rR/mTkYiFrsxa5sP1LD7s6hr0nhmmuCpVpnVfIot
3RWwxtLiy7PZ2xOc2bZL2zXS4Ag4XB8CdyJbEI2CG9F3ubHSPo9FWDcrXKRoBdYMqJWaZTR0u6bK
hNO0Vv2VNbkhQTTxqnCLqIxBqg2aWS5Uvqf3oqrMKxgjBK8iSdCnwTY4WvTU9jeoN1A3/zXHGBKB
LziGYBf0jgJjFS66MUccSxYCtn21Ip0dBB7thuRTAxknMq9Yn9nglnYgvyXzuTMwutWhsUkWqil7
5JVNVt2Hndbg4hm57elKZo1TqdBsHAi5wJYPsii8jmtxprQItQcRc/FZh8V5nLR2N5PaoJeyDBu1
+PVbvYQBfDkTGpXCVYlQlvjw0s9CZKw3gtbIE71KK198zgKOsGPFGJYGeGvddduV4mPuo+TPX//s
dq09j8zBuUKw0RmB+2OgDQQmW7ae/axtdoGV6yBdpXxAKxSHNUQ/SldyP/z861/axvjGvySg0z2D
cCQkGvhoneWp1Q9FGWYrnpvWumizMln4Fe+xE+fhzCzqre1n9jxzI2K36r8tmu2i2P15WCjQGdSC
e3LgfqTxz0O2UoZBquSKFbG9VlFtr+Nky4M9KD2jZZY5vQnQL1pQExg0Z8Y2VSL0shW9ddFRUpou
aSMIM0YsVZ9ImWPihRAx2uRGA6aiMSi2jSFY5alN6FA7v569bX/4Mf9sKzbgDBGGDpjWNsT6DCiT
1nZq275xiWpfrWVZgWWBjLgCc4P0fRqctaGMvwVc5BfdUIRzmlmddDFq2PcKzKLM7cOAuVYWNRtZ
Enbf2HnIzn7NpGW/ABmsQ1hE23NO0InAZpAues4lLbk0IchELiOryH3BvUqEw6KrOiLmVVPXbtkV
5odG9XbthGHI3BKlC43LHMz7HLsQXFI3eWKrzmFJG3xpI5Ute11VTm4X+SeqY+75Req7dRZFEiIr
JGodP9Lpqs0NfVUYA5kFARJgKQx+qlzchOrUplVyg6PgOuhT0kFkjRWryi9uK6wM4tEGw0TKHoNs
sOoBorotjy6S0OZffbO2zkIKOn4Iuka4rRlaYL0lvVwavOyV0/Z88FALgdoh6u5yXVQfa9NgEJZV
FZv7uqiXlo/xbRGiNl74zIBQyhDG/jc4IVo2jkwL469aMQhL5RovwZDOl6gQyb1scrDGc6Lij1L4
HXOawgrOSr+s3R7mYYEsLK6KVnUzqy2LOUJgVc0SuDAIzL824IXb4NCfKU1Kr87FVegbgekhlFWn
oGpw66YmOEa8YsmfnTLDc1yK/KNNKntRi8jAc03VsOY0K2fa7KJh3sQ8mBtdZ66xTtrvOshz2x1w
BbZbGuAmmHdVlMHmaNtZHzQ1n5eZH3pJRdRpCl91QAGVGUy0apgT6SgyXOa3zGGZ3Q2OVSW+Syoj
VYuSxrPAqnvzQ0uQ5UldmokTwUqq5qRqhV50hHUXkEAYEv9D3RaVUk4vIcpV3odgf+Lhq26NjkFY
XJQgyrM73KuoAie6ruo6N1dVXKm4OxOyGBaNqCt/qUopcyfCSfbRZAZZRj0htVsDBj74YaboAC7F
uZf6PujDKonbYkbjNjAhFl4h/yosTMqy07hnYHf2XSKqC6orAiuq9TMEKYcadOGcGmHkXzWwdWjg
FjznsOBIrNU8TWQpnKQA5eXPukZS1/Ahowc+oG+mlptpcB1c8Nhbf94mLFEz7YNVMIeYihpcPtgg
MVMcW7WrwtJInEb3gb7W0lBqlgWSfzfqhknTMzNcLaTFa76yDT/wz1LCKmZHbtrpYuhPNdROluEs
h8iHmvm6GYq5KHUq531CVX9qaq1y18Z9Il3W2X2yKGUhDRdgxV+MXA3IgxvcY+XBf6ZxBe6BoWHK
0/RLpJRQS1KKKpnFYUVvhroiZB4ZGUbnYRuCc+WwEIfVwi+bPP0IypicRcGAIYCRAwezDJy5YcZR
NwiXR33eXirew9I2YKuUno9QfVYS2068wCcBOLlpA3BKpsE+SYeIDJskhmIkjwMDyiO9CoslMqV1
GkgWUxeiMQXxZCZ9b6h9iAgZbZlDrNhvI8slsogGSO5Eg3Fu+ok1R7kf2MCuYPkM9eGQLcEVb4NZ
LKywdbbfc5CQIoXlE5DC7VppDE7VSeOvEppB94YjYR/hFRpSCfFr3lgGue2TFtcrmos+81JRVJd2
nYJKCjSLgUAoArPlyxClXweUpOFZAbGtbq5be5DnqAqqWyvC9truwIdxOILFO6/TjpGZpoME5msU
KS8hRaxdDiF0iGYUX5O2BcsiCqLmo7Zp+y0vQ3LasDbwZzy2Teyk3Idx7CSLunlaNmg1dDmxPujK
RreoMuAbLTU0dyvUs27WYBXJ07LDuF2mLND4ShpMfE7NYrs4o6jQC5boUF93vVVx1yxawCZsU2As
0yB0z0GDic+Em7C6FUjJ0oNmCF22rLTw8XVU1nF8g3kKeYXOgvTOZdVVW+Mz7LtrOzZoN8taBT8N
AbsBPGmsqmFhxmz78lvWW5BPwFeu0MqyU3iLurBhqsI4iwdXxA1snTwJYvkhLRls+bIGqyCAZyBT
cZWGVwWy+jJ1SB6aAHdbdvWlMsIcIjVmXXTzDu7hJLO+KfBWaMBmcuGNQIB0Am3t5CpVn324DeqM
NxJSODyEKInb9QFdtykBNroy6m9I1Zn6PAAzNzrP8jSOPnLQFgudmmhViKD4CrcH0cIJrVDis4wH
oj73wyxovL5kRQsGbk8WOYZpdU1W9HdxEtvXXa3N7LQw+yb+Ahm3QEMYzVDf+0FsZYgsktADP4CT
mcR9qOc5VeKLsQ24qjYPCodZIOb6sg1vZFbpc6HiCKJxuMQBiD24DdxpQiw+l5HRBLMEp7BNBsMn
YmmlGSo2CgRyfwb3KcDeaLcSexbZBsxo1wzNDJRMW5yjEtxo1xdJ1YCmJY0JpncR/VWKRtwaPZjp
Z4OoSnRf6bTXEB9ArFnKFsNQnULh4FptQINlDrC0rhELOh+ypqkuu54lH6NGQ0qL6VNLdRCEHFoK
4MQm0sMiT+Isu0xpZ10YlWlls7BIVXMe9G0eutzWKrwFS0TfmyIFMQKiE+KAcahb7Yi24QVogb74
mAQFkn+ibCC8cQawwPpPeUUMAYNpv5yFzIiDM8PP229hYBqNmzBN46UUJvrQacMfFmVdaDmTQw2L
VGLICV13cTLYKwjAJYlT5I1JLy0UWp3bg3WjZ22YA2otT2XglANTIDu0TmYQWetKyKJhXi4GXsDq
j60uYF4PMVzt+rmmxZfW7tFtFJaw1kDTic+w1pW+TiErCAIW5wKylSqkrdPVXzGvW74NUzbsk43T
ovVaO6isS8uHENBN4WtRgnKHFT3LJQE0wXHouwtJqji7YGUekmvcmQld+l0m4L26zggu49LIW09p
H2QGWGN1dZlALAjcSBEHcx3yOPTazjSXfWHBvu8hWSEdyw/Z5YNV+lTTcf1o5D/WIzzP8zxP+0zJ
H13KuzLT2fdqnEDaGeh/W5Zpe3b5mRH/osLkjwRyZvfr5xGYbWHKI9mPeMr2DOy2Qw0Hlc4twsA3
+VleAk0gGYRGTAKxLYIwPHqKp2zbC0KdJwFfZXuHDpRt/x1PgcZ0cB0HVJRB9zk4Wovx2+IpL3zn
bcqKQt9/qICBK8zJyLXkXVCImof1VSSr/Iwnwros0+6cp8n/Y+9MdyS3sW39KvcF1NBAavh5NcSU
mZFj5fSHyJpITaQoUQP59GdFue122T59YODeHwdoAwZcKGdkREgi917rW5u6oPP4HPd9qRvTHqRK
OvdNqEl79zPMa6tdXaC86O4zMcjctPbecHKCLa52upugvDoLXQC4x77uFpLD49nxdhFHFJ9+wQdG
ciwPXBTZouWuT4ZufrR8eMuEVbmHwU55ggqgKeA7kdOyee5EB7kJVtjU1qe5a0sbMu9gvPE7iAgH
ScJnexsoNEdBm0HU5svzgBnKV2EdtzdpJFH714/DHImhSnvr74YghZU+epBzl0yWKoKP1nV1mIcX
TGQMsqs2GU2leVBQE5od3YZzSsWSL5HKdkvnttxjBiWFkOthXKdzME1ZYaR+G1d+bYO1Er4twym8
8Qm/Wp0RuWmGOa+xFOZNmhbrDMdc4grnnHkGVorh39mq4nfrmoXtNAUtgJ4I5aqYgkM2zg+ijR7T
xpfzcYiFZ+5reDcHdDWF1CI+aGon+RgbPxtzMbNkyaMEJmAUrEuTU0a/Q2Nej5es0X6WbVu6Xt7Z
ZjrHZDjJTpy1H16lxtupaT15fVwqh6VGS9gerqD18HWV4UNtsrf/L0vM/7bFg4Id/PeLx1DLb39c
O375qV/XDoCGiOVFODLtcr4p1ojfrR0YEZxAoMWZ8z8UVyxUv64dKeae4R8fzBqgMeBr/1o7UhwM
EYMux8yzDMd8QMH91aj/aSsAl/fPP/+f36FpSIr9QVdBdCyE6hahjcf7DC4Q3O8VCz4ma9NEaXfr
BfqN1wYl1dx9Diw9dkEv8yZ2xTTOVUJ78F7JzkX8OrP6vKY9ytC118e+1n0+c68YkznccervfBU9
rvUSVmkCh3fh9to3rIw9hd4kMM91CnOnC7prQXVXLN546Nrpo4/hm84B+crCeioGr+cFp9vVli5f
2znQRdriQcQqXMV2oXlgpav82evKsadbid3bFMmczQWxflwYJe1OKnsXWkrLkHdX80YBknDzGkGL
KVFWfVV+fIJMN5R6A0nDl6mF5xnlVEC6kkl257LgZWEOnmgK40sIb827xOCPcVMXjg9h3vec5Qk7
RtzsbKJYrlHY5OG6PTvBb0wirwY2XAl8plzZGn52GD6sdVsunPdVK8MbFoRPzHYG69Dc5xjSACF2
WqD1tF6aExId+sjWBUuHl5SOXhH7ls/gdBZd80cTNsM7uoln68h6ZdLpFrzTtO+CFZKBHt83jpJR
tvt+WOOczFTlZMWaPEcszAVLbwQPnyMNk3Wu11svJnHVtrMrQ+p45TJU63zMvL2n5ofIE19px9Qe
nUsRoB+5UvGH2T7QtO3IEH9MNlL7eYRBPU+8Goe1V89ZIORj53dD+63m7itQqwcX+Vge50GBYhpF
mn7AYzwz3N9H30j/sJlQ3YYjy25Jz6aTzVhBMqysaxIfzGib3Bd+XQiS2XPUOBRKterXPTSfl1Wu
ZVL34iba1DfUgeHBVzzTACxS4X5RIf9fl1L/+9Y5Co/hv0dx/pnm+/NCd/mx3xY65CJA4aDg8dGQ
/LCPfi2SLmtgkmEUJyZ9wV66EDe/LnQERRLOdscoioyggrkgNL+aTpjVCiEPWQvYAsGPv/obCx2K
rZ/kY4rEFU4lxWqHaQiXuuznZW7zPb6Mo5zPzraFHuecTzSv0/5/kqn9P9ViGZDiFCVfhBU/9P9o
bgXo6XTckOHszzT71ArtxUWfdDBLsdDTEVKfnMlxmph7bEK08giTkJcmTfjboJr0NHKbXQVJD/kT
dsx2J2z0EFm1QD+0PJmulraZovdl03F6tzK9LLsmUKRcyFLncet1t2vTTUFVD4MKoQ1081KkHmfw
7ycmX+vWZhVN3ehjDfxCO7KeEzJ0t2T2h64IhrazO8XALHQL8IduUmue1KuKbv0loO310jW3o2lX
yEJygzB3ByLkG52Gr1JzyL3+U7LoA0y9PfVitQ99fApvqKsM/nnWV3Trj8xaXUYAMcppDMrO6u8i
xdowkHMQDt/naHnsAqyOKxmbt6RVU5nxdr7xkmE8a8g1p67Oboas7yrngDJJz4u+E8jfB7RNPpwj
PVT9wnRedx6twjW9iUx2niRIRBemS8lrB2ZGJp9s4L12odAlDA8KyMjwMMHaGArcFqwHzuTXFfxV
vIQJd0Ebj59GYqKtjFMpHia+eHDPg7HKNn97JV1t8S2GyuRTO48l8UZbNtQ96NikJ+EFwfl3z95f
7Nl/4f/h5agf4Eg/PBy4rX++l7UdNedbOp6nqv9Yxzx4dI9J7uW6MAcJdDgXJa/6fVKNlczpieyi
Cqxk0f4P9/ofSof0R28DMxhHeqPkISDdfn4fdBvXmU9wtFjIT7YTW9FyzfJhJSEUiDar9MKi3Qhi
AAB46t/wZGSnANcobnVf2MSeM+YDrQ7du0HbvJtCSDDGDDuWuvcExW7eME9cQNEXYNAJuAhtQYWA
It1WbGOBaHrs11tlo2y/BrJomCs0SVnuaHZwUQByNNzjgK0g12bETZGRAsTmodkIGgUy5sofANDw
65C1Im9lHZTLAJ69b6YSD/F53bJor3nT5lPEP/FVHYKov5m3FPhHOkBmw42WZJrsZr95/PeX+OdF
BN8ssMUYaOPlvHvQi9llNfud2ZW5cM2Gno1nf+mbPRaCDh/el4VXi4qqGo2Y5uhpf1vR/+quulhT
/zII//w7/3A1vW1JxqXl0xny7RsF4bfNXJVuSqAkzTdKMz/n8TjkiUZT2YHhprDOrx1AuDz16LWq
01e/hvYE/Pk7a8lu0PomVPG9z9wXyvV7v9a61FIPVz/e+H/25EtK5Lcr+Cfh4pfjq/+8Jf9I/3/8
kn3BYY/YhdBBIJuBXZTgNvt1S0ZiJoPvHUKY8PF/XBCRX7fkBFk3OJeYyYnzL37mQCh2a1AjCU3g
JSPK8rf4WJxm99Mth1gMVAuK5QPoPc2A3P5hU2570IObYcmZbdOJG73IG7OGNi6afsEGVsp6dvt0
nSYYPD3fnlV26cZVJoGfmUa8bdH0CE/DlmKSbbGaea9XXraOQ7jwZViqoItzlTWfEUSq80jSurLe
BCETciMIYVPEnfcGAf0BPOzLOqugvTcAUh/BKh6ydUMfwIBFwc3hfu2dWybTNdeLBnvp8Tc7GHHH
mKjjO9HZ5I7KdBKQZpmL8njujCop6335FMNY27ExQ55n2gJm4NJOon6eST/BtGzXlzbMBOjfVh1A
sjf2EPrjDRyY0zrTB8qJBdAln33XPc0ESJsSw5cwrdEviPkz5P66GE1ToRz5LC5K9OiRczyHL/G2
Pc+iprAlvWtv8UqvJzLnNToUMgxBmdoVHKVMSBUQ8RKyKC36uH0POX1s0/W2acCGWK/+GmbJUz+T
bz5p6mrq8aXQ1NwnUYueacNuv+L185AP7buNIJ23a33wXbaWWgud9136pLsg3CnZylzC5cy3JjwI
tFFyWcYSS8IxEhGEjR7QMTwIl09+iyBDo2GY+fYUDeE9Q7SjcJGAM0PCg2ptUIRpuxaZ3cKjRV2S
e7P/1VdZmc5TDweRsqpNpn0vsw8u1BWy+FcIq1yYDqCNkcseEwbCD2zLbmPeV5q5XedvR/RqZz7C
dgbcXA6jiw+9hNozseG7Ud6Yx/Xa5rPXf1lFtpWLla+4pU0eZktyiAmQY9xe9yTQJjepOhvaeDlx
7A6WKDJXCjEYETywwfOKuYNB7m8jLYArTxcAGokf9To3IXYkbk4GV9BM8w7KUb3fKHJWsa9V5SQ5
9ou93TR9CSZzzkz91BjgGLU/PfdcPFwcknLw533AYw/ZIBPBpxgfbMKeQGfeOz3jEQnqoYSqxfOs
rm0ZjOxuZu5gO+Ydo837MmpPlD4Z2r2lWO9dkHVQuKAecjrt08QnJQwhd1JDctvA09uplK7FMMuo
6JfOgCZer2kbfIUCd6rnFM35VN/EzTDCL0quoFkFez+DyG+5RieJOAoJmo/RH9adzcxtNpLXxRN+
gUd9yRvbI4QxR997OzsgMuphdgNSYsnBXTS1JLl451KBd22XT+Hq5MEjuDsZH9Z86upvnQ3dfk6S
V7rSxzDAFV5UC2J3DI8pBOAyStNrsYDujomGL9cTslt1c1vzGEpF+9B3yxkRPC9fRRLka9NWdZ/d
hVzqXdyh0V6HNSr1uNlcy/hpDfRS+KP/nYXk3Y+6L4g+HvUa+XnNDUU4LvxGJu95apKs6Pv+uUdd
WYUZxFJrAsSM+jdlyRX1lKVLDocXamlCtvg+atIhAQjgW+Ar+nO0QuIMKXpbVMT5TPVN7G2mcq3a
08V9HqPwTadZdMh8ueVDlty5eZFlakRakhF0dkwimUOb/cIsmxDoM49CGuCbg98dAP9YcG9tg7U2
eh9i8mh6GJYrbArgtGwtYUU2ZTMMspC1f17QyVctjb4tzmalpPFN04RLuTCVHNpWZtB1SIcAkc7y
3l9B7ZP1i7fgSQ4mCBs+W+m53miNakFvZeohChaF+mGVMXr/NDFVALOsreWG61TvDI9sWdPGlrYR
w02frEfbs/deblvZI+hUge7jORibrhjG5kucyARAf+MqKtmOk8geYjnqoxrIrhVhXYok7nZp6np0
RbXby0a/jymF2+sBoGV7zMAX98IDjoBaK8vttPp5Zvpst3lS5TG17B5Zo2GX6OCIYum6QbBrZ/om
3U8a6csVGGXBFmtPYp6/ttpvdgIW2SlEULKgg5urduPyIKR0n9za49qs1tvRFCS7J3FdOSzlnJrl
CI8UxX2QuqKjsOm67MQyd+XVrodJPIw71rp7eFsluIXH1EviazdpOKWzg+S82LthFk8ydBYbYtDt
BqQ381l4I/Ay8yXWPRh/uB37LTVw2gJuCtThWx504s7U4Z1kzi9bVS/7YXBXkWHXrIvKVru7BenS
Kmq0X4YM2lKdjOeMNl9S2X/uJrbhHspYHgPiLNGEnVSU2orFfCm4013u++szNKQP1Xp33Vg/ttxT
BaC5uGrGIM5HMnzrXPKd9z7ZmYhM5VgTvCTw/3Lt/LcBbEe+zPWZZbPaoftcylWPrFCsvZJp76O2
b/izFl1Zr+wthruYh3h0gY58R17ijUYeGgZzHtBFl8T0XxgNswrUQgvWoHueVVrnqq6XPPS8e+cP
ful19U0wUIZETHvVjahECPZU6i1YwILg25ZOwKPZdcpsv/dre0IUISt16+UNlS+9Hc+bDCUyiSB1
RkAVuKAnPQVXtOu/ekP6fd28OY9XdQQJdWBT8y31lt00K7OfQFlMA/52Vd6z3/hAsK76RsCiT47D
1H5kc/MZ1uwl+OcDLE+OSLxc7pqUF1M8nty07jowHoiZgFtthulqc7ifaxaOuzAk3yJotHlIk8e6
4fifsYAvPVDusQtyAvmsAEBY71G5vaMCO9Yb3CBUOnlk4pOjqi/mob6NdZqzbH0JIrw48sdAfpqr
do3FPuoN8svZC0+YLIZen/2kv7sUMUGEDS+TfE9F0Jc2jc6I830a11XkwwR5z0P4eaiza5hCWRnF
+mH2RigQDQ0KR/o9sHlXIo9axcHagxge0nyCCLtD1keBd0F/Ho32sV80Ploql0qg7szTrq48GV2q
h/GYROK02ua7CGi942t6a4Nmr9x+ypCDTvcjUr/Bdp167ZPoljb3CHg3P6X7plmG3CYoZCL3OUrX
Xbzyz2lcX5NwRtSS+QIXS38oFV4gjBW4wOAv4xUenyduN8jeJn0O0MFusYJ7PVbpIeII/CJgtJi2
ZGk03Mt47G3hS2ROqxo9q/ciFqX8YgvBo57aDR85ymv48MtOdYtn78EXv0uf1l5JmOI5d8lag/Rp
T2oFy7tBC8p9D954xpFWUt7OS5qhlK237mqiStK3c8kW9QqE31UyXdC4WR6AZ2jAdsrHlcTbbooQ
8WjGF1LDyetReHmsNruMZkeRkA9oQHdbDVoLwee2ELXpwW/jCWlbonO6LkHuIdSB7QRWWetjY5uw
peH6Xa4davM5sznPxLUeIZB3Ayk3k5wXU99mc3INsSHL5dR8BJktp4xcw4hEdaOGz9hbECvruqKV
6aeprsnJzP43BzBs7xo/zu2SHsgy3+nYwZa8wJdoJXLUNWsZM/l1XPtDBN+tQLrK7fQUXxMNOrJd
MBshWQraq/WAdfc6g4qVWIrNDqGlw7zgiW5C/EI6iqIl3ZRPwYLyxsU5wl0AUFDtZkH73uq6IOK2
HVqsADYH/3GkI1T2LF3O3iR1Lgdz29PmKwJyiNMEtlhtfVbcP1PI6Z1cziS8jU0PflOX4+jx0+Kr
FxB3RyPqN5OYT0OmxrxxfgXuYYuTx41PBeres9Xhez3AYpw8rIw9PzqbuGMzd+94g59E7cVlglqw
Emaor7AqvJNeLS+9W3iudHO1gQkqJ6SDC9u7m3WxITLMweuw+B9b096vq/xoh3REvMbgTsjeOqpA
P4iXHtjtf0T2X2Zd+BDq/vuG/v/2H1/V+BcNPX7qV40dXTscQ4h/KcFYfRpAo/mtoUcWNsR5lZfD
7n7mENJ/JDiCGEcRQ4DHbIzf5zowvh/NPAGT/ksWNvk7XiLMzD/286DaMUwDTD2St1An/yAhqYG6
FtXRdOt30RPU28dwolc9me7bDRHUdSHixP187QNyaKxtyr5t2Y4tMbL/28xyXw9Q1CzSesAFH3yC
MJsYLtU3MXE+ueDe+BqhgAyvJRMlqq4ZgmPGxxAzHbrHMZFN7qRK80BtN572MTZDNgiGugVp941i
IoRJmqpbQg+Z2xW7kuyfEjAKN5guIa+bS+BdxaGGkQ8fK+ySPZnAEKSLWotYIFzoRvkkZArAwIOw
7Y/TUQ8UWqXhSJ6BKUxI/w3k+TOoXS/vQnpQkffouTbImZ5u3AXQc5R/hr7S5JrOthjVWsnx2ATX
AY++LuJjjAqT8YNSCK+uywwK380NvpG2K2W3YYty01ANtvlYHbzUzYxfZ7OeAoOWJ/PxgcaFHacx
vbOX9sDKynPXswlOG0nfaRMfld+QPLPIvsHDuB75iGjWtuVkSZG/2YJb6NwdpI65ClIflyRKptxw
Ph2TkfhohPuHkK/kPvPEF2xK95NMgeJ1UVfUgQh2oVZhPiVLsIti+MUYwWGgboxNydo1yEc/vQ5r
cbQzxEusoWWTyoetneDruTmodITwQDqBSIkzUN2QRnXFtVkeufERdAtQS3iqQW027FFOn6Y2eSKZ
+wg8Lve9bXMDb7FZRIbuSLQ5Sl0UFGQ4YCMMi9joUxTgs7hR77Oob4qWBdK/G4iRjynT+MXjBM9V
3ToyfqkVqrFw8e5wg39kqlao27g8iTZ4HfVyM4JGLj2kQ1FgRt+2df62JNbuJoNNXk8pOwAQ/tzj
EUXBGGKnALayq9f5kYZ8uupT/7Q0zdvgMDpDBwAylNgr6DPa2gHKR+qj04F8r1q25qg1z6ZxeHyW
J8HZZy2S9CAjINmN1z9CZBKoNOYXHSXHVhtMPKDqBCykg9cc97t0kseY00+j8MUJEeo4bxv3iNdc
r/VCFxCaSlUGei6aOdC4ywisOsguF2+LUIXELC4DRl4m1WDJd/OcT5OUpymct2LzENIUttaIU3YI
YG+TeuU+4wcpxHjXQPDL10iXm7TBLp37Z7QVTc6NAADZQHIKoYWAXJQV65oZMGZb42k34XGqlchV
E4tyDOej71L/qFNxTALW7WO8l1zHkc2xLJo8BcSHTKvDxgXnx+hDg82tUQ7zLhoD2KjzAjxpBNMl
/HDLLREJbCRo+iQAbo3/QDDyruFZrqblU7A1V3Sc0afAjSDj45LA+XJTvxceZlTInjlMqwjOyzZ/
qhWVeWfFXU/m+5avz2m73Uy9e50YmNAWYbG8V80zAhUnsvkHO01PJo39XM/Sz5HlRhXQbdftpKvE
H9Wut+kEVX+7YWN030rbVdsaVEk4nMJ5lug65++EsveaB7dIrZwRsrnTTQIQYpk+M0bRFbXutRMo
LiBgpBWI4vepT0AaWlTqJhyelCBXm4c2felw1yBVZdvnaG7ooSaxjPaYUBhWQiEPQGtV/keT96HZ
4N9/t4Ujm/mx4Ljx6S92cfzg73fxy9Qx0H84+y6+ZDB/28Uhy0MJD6C+x9iwLzTOr7I8Duq4HNEB
/R0M9c9IUPIPkEXYwwEYYfeApP+3tvHoz0hQdJmNgd/kI0iDo/d+dp8kT5HvX1J16/sdPwwY5yA4
iJQxWq/mZEHJOofT9TaHah/5DjfSNt/JhiC9BglghBFaTt50wINCqwwNWcHXOMobInSBmQkOy9ca
lsKkHpyk2JXeuvV3Gt2ioJgvs4xRVGy+uwKEfz1SckhVBvbaE3tthxcGjaRwOr1xowVMotrlAKH9
xPsGHQahJ3fRxTlJbuKQfOIUnJ6p0/tsTdpSjjXKh/EjhGsF1pk/Lz0dMP9FcKRAUPi3i7uJZfKy
MYQFgih6zToFEX25ylrME0q6J4/2NyZdhwJc+Cc5Qh31AuR72HqVOPIgZbMLuPcW1lvBYYajUknA
TQ3XQ6JewxRjmAREHUG3/bJhFcFN8WE6PP9y60TuQe+q0a7kADE79LAbuhimbZWmcq6WZbGIeGH8
0LqhieXRQUHCyrH1nNeLS8/dGuxpa3YN+uWtXSAxtfBCvdDdRSz+EprhqZ3tDnBzn0dc3m0k3lnR
H2tkBXKWTHfxnHwSmvFqIPY1vhgE9UqHEiVeW3SyRjNR26mUYYJJJNCbNpnsAtGdtqD7JtxlfJIJ
P8VixHClLmRFrLLbZknCc8eSw5byR30m4hijjEGu7Cq2TQP13t/VyQIiSYMDNw5joiKzgAtPX0WM
IRSzlmHeqXoP/kzmba++tEmsysaAAgp1sOtSUN4+5pwYe6gtsEg4tp/HMfoGMOMbBqXwA9fkfCHk
YVBwpBqXvmpsR54j2iIMZFOUaqwulNQnTBM7djRA7ETsxpRjD0QiqbLbFhYhj+0+/cErSTqbal28
+3pYv2auXUd0j6BafRQUTpMJkKs+EU+jZULRkcWXjSyEGiPTBOIeSQ/hpU5R4/aBrMxT7atymfrK
vxC0uHVxH2UvKloiDBZCxaPhIVR1xjeYGDMIXfDgmLCAGsl0qHsj2j1k0BhjODY5Ep1HmcWYbjUF
eX+ptTre4LlIurlKURvvoktNhsM3/Z13qdN8QPdXFqUbXPUv0aWWMyjq0kt1d8l3QlfCZxFmRagA
IuVEUExw390qhSeluVSKwG6h49Br0fs+FA5UkzHKyk7G7wZl5qTua0IwAw0VaJr27Ai147yxbs0X
VKlZqL6SqUOZhPq1J/1QJe3Ult7mtSU0UbQH9FLca8pL4bw9qpDGwY5CXTxeN80RKEpVK/j/muE2
WHr2YS8FdWj1DbuU2BK19jaQgwyEB6xZPHu8/dbOeGRCqXBvo1KfMsCKl9I9Q4TzMn/rCUnK79ml
vucb7rvoUvIrySuCACnAFdQTC9fy2gs3ehOgWfBqaFnbgmQSsoNNlWSOldulu5gZUwUf0XGIdblZ
xhbC1KUb6bL6UYy4mynhwXHsGlERhiuOvBJSv9bdKzbEYKyBKkz94ooBbU8EOAmDV/BgCQeYwrt0
RwB92W6xpimVNuQgcL0uvVSLeB+oFX3fk+iqQ7vlM/+JXXbzIFxO7LK/R85tdT6pcWxuhy0YX9sf
w/XiH4P2Jozcm38ZvvdjEB80UwlOHNP50h+D+v5TE/yoCci/ZYRxtgqGWv7z8MU/1wWXH/61LgAm
d2nhk4gQDKJFdOqnugAQMDblS4KbXKDf3+oC+o8ATj0C5ZiD9U+T/18EHZg6nAcQRSgOQrzs36kL
/jx1gML0B9qWhBGCEBHe3e+ZlEhg/IyxPTmL/t1N5217+12p9BcACgn+JB+A0SPgmaIgxWQD+se6
Y2YTMShs5zNSo1UIHsyCC+tY80BH8x15qHJsxrrEzY4RWp48gio8IDYFFAsCX3whzhREO5mMBw8o
WoMlnQBN8zqEjsPL5BmMyZsu8JoT3W0A3xgT7Bajo1tkgsC5bZD9Ob7EgmK+m91FyropX3163MTE
vq/Uv4kihIVKa+oEi3rdfdUhInMXb6UiU4jyyOfeawNtoMxa8mUWG1imIOEFAQN4FWQY+cSD9DYZ
Eq/q0vE1G3lUBWFw6VTJeteg+Md8LGV2wQhDHKm7q2Ws39swvKZhWGZZb68xh1MfOqkOUhpXjohw
M9rtI1ffpALosnPy3fNXwNFk+9633q1Bl4eFxbndTNKSD+YxATHl+cMx0tl763uIJ88nM/gKKRF7
v7XpqXEbKAE3loFpTzpJPliwrDlWuwPHVJi5rT8MhACsbkCQaHrAfnPrIVtPweAKFr4heHqCfHvo
Nb0mUlP0cstNF7ky7iOgwfoQW43pYiR7bmqHmWNtdzcyDOmaHICOGv6ODk1hvQa7KXkyXdDmGIyG
YXuOPNaRVIWYNgyuSeuj7XSd04bCW23iva/rCdpN+z6TrFr9scC1wNxBaZYdZh6cNhSWGVleiIrg
Z9JzPMVvk3G3bU0eRM8k5qCCliPLDRKOR2XXI98aqO+WYyDUeuiW9VqE3WMcqD43TfcCQf4ZY7Re
Yjbv1BifEERGOnx8BwWAzc9key+a3hQ+POLX296z7mvbJZVNRDEyCvhxux7WJkWZw4ccc0bxoikG
FJGEga9K3vEU7Jq6eeMMFcQ2YUaVN8+4bfR3q5pDemE9ouF9Hv03z/Mfp+QirrOmXLas8Gn32bXs
vsVEIXTo/LrFpBLgABCjiZc8CYSINUzBgtcc5Vjff84CpNG8QSxV6qCDpdskTzUq0dIboG7T+LHJ
yOuM8Rg7D8FAiPSXp6dZH/2gufJm2C/IXeqS6m1EEUMfNpCmxWzn7mrhfnupKaYq6wbs0qRm1TrF
Z27CuKpp/OzHKS8zzdLPCEfDqcEJZhh3NMQznm+oWAB+rMcwa6leaky5q+NrPcSQrfBV5EBPkMP0
kH1pOiVKdPcjZhp4fmUcyhdMD2kfVArrD/Ff/2r4L/bOY7lxLNuiv9I/gAx4M4UhSJGivJ0gJKUE
7z2+/i1kVVYrVVlSVLxpD3qUpQZIAveee87eawMUMyMYG13d7LtuOqMt1EJlmlQs6OzQkly3WwRU
iRfG/UGXQqYUaVX40qL5Aa5rb5lkye7VrMKLvVZT4CnPDJTt1MZCe8HmHzpBUL1oy3zbBMqTkeLl
UaTThAGXY0mC4M6ZcAhSGkJShlQl1bUJH32ZX5VaL/CqokW569PichyAPsmyfqaivWdlcRgXujAK
6YVWxd6oDRZE5iS4SgFAgbmq6PCxRp0guNzicKb7ReNj6Q5ZIviRFp2KmXiXNoOj9OLJaNFDKab0
UU3QVLZQnEYz0DFQi+glmO08V6MgO8uy2hfUesyvUykfN0Os+IpRxgDpEEhE5pJ6Sxw3p4uZHhW5
2qZWeyHVeuus5LYpp2WxjJrLkreTpaD3QtqAu2webnShus5lZoa4RDJkv33kzSPTdNac/mQU9fKx
UFdhUCy81W0kgqmjC8nl4BCjQjgDqskZck6NYTsk0eAXaj77LP3RXVBzBbnProtciSl5ROukn5sE
DG54LCxNx3qqmDs4hZGtlsa1ViP2tVUOqjgxEIHNahBscCRf68F8bRbacg8yA4FIX7YbrQ8l2xin
TTebgs8sj/J9riEl8oc2bL/+vokzczPhYmM4HwM/gKjVMXeCR5qO1UYxcwydefmwApGLMd5Mxuz1
LSfq2ThJ6/lGjBJviJF/l1V002fytYlSYo+ldNiVQtK4ZZDNCGuge1Si+MCpH8HKpNb3vY52qypz
FDERD7oBLQ4Dm3IvT1Z3FcjaRMtNsJykF2fv8+35VwH9D7Ev3BpKDXrDOAz1D1o9Oc/JEgyTAopE
4gKu2Gn6eDE27ebzy6yuyF9lqPClkLxraAwVgq3+VgQAa8nTMCqOeZadtrp8w6p0bub5I8tlA3HE
4geYs+0wVRwE020rR8h40BvLxZ6V6qAFrZ1Y6UUUAOqrRU+JsKZbHQfn4LXs9YEDlYYwyzzq4lcK
2t/euQb9RUJTvKr/fy2QtLwvcdalsFiwRoXztZgArygPn38/1q/NmT9kulDJVwsY3xEP+q9Xafu0
mpndDkdwFS0eS3WnlCwMIjOGTTIMmhcIwz0gpfKisHgGLXE3muPqQKpYqBR0YEm+iTjfXfSRYl1B
foYlw2xSlDLekpGtXEZFqJXhMRbikynQ+M5l3hs9x1g0A4e+1KTsKUU1JGVh7C9jbQetpHtRFqde
2ikvQiPjsoTUwqpEH4Pod6esFdCWzDvZiihtIn1XL/JrrBpPE3PlftVmTkZ2Oi+4HQ1AUFtRGpNT
Mapye5mQF4dSh2bHSgywdOFt0Ev5dY0727Wk8KDl68lOr7otogDgdmxxUoXVC5qYV4nymSYaBYc0
vGWSkh0C8alHr60ZO9bFB1PIct5yaTsn6kO2IkCKqljsSgcCiaN0USk9MKumrhFCo56EfNt0OYNw
aTrpxeEpjeXoZc40X0RN4xpZhNwZqLrS1ptYaS27l6fLXNezo9VL2DyWaV8b7R/ebizX/+Df++3z
wAtp8jiYovQj5fN9WR4osED4t+6Ih+ZJsdrcXaohO+pCDTy8jR7xudDHRpkq6Qit4gyRoQKv0eCD
Qn83tgwmTjtIHeMin2qlea+oRbRpc63eAOhEcqiBqA3jFNmNOZieWKr5VmZTd5ES1q7ZCNQjLERi
XoJp1eqrMKcDJkVtyW7QMz9iolfAWIaog/tcf1rJu84glYCPctpG8kztPIeu0kmujivZAfqe2s2o
3yemvkPk/103JgY6I8uAlaHimq4DKzkYQ+PUmAyRYvGEoISb5SttGE7TJLqqY+0yNyxfn7t7EykC
st9S9PS6pxasB6/tRxwxWouYJQG8idnQlXThSeCZcCpLeZAU4V6KBpTqYOqgGYibYREwCU8lQtnG
F0GAW0hLZGxs7EaumtLFMU2agHRfRmlo2eYrJJ7dtTJWR8ucaFzMT8oovtQKkaCG7mkz99kXbjqk
Z2U0HYxC34w4eCKDjlJcGI5sxRdpJaQ74EoejBBPzwI3r35MJ0POJbyMg2Bd4MB+iw0BB+IsOmqf
YJxA4Km3oC3QckmSDolH8WOl5ldaLTVquDgMUis77aODIKGRlca7EtNKKMTnWqQiUC03cirsc3bx
aGSgJGUPQ9VuaKEVsC2Qfkrsmlkwbjq296LJK7cXanpOqeAn9PYWjBKGBThilMLRaUUW3UWWsCeZ
iEHMc3Qm27Do9uFYHwpTo+rtMmA51VghPzVO1HDcV+h+mYkhj1WqWAI3lWyjajwVWk4JGaJwWLcl
uH0nGM91jfbRSB1zzKeNjhBV3eKVvqtEejO5eKprkCaBJx+SCHrFEATBvpcHOrKaJDlGEhT+OCxu
Rd2wZfjUwl4wts1AFWKUHeitYPBQAUtfbG2/W7nfvanKevx9Z+qQI2tOrCqFd8O+P7SnyBdBDOa4
aM/S5lTixPL5VvE7E8n7631o48tRVHC6YGUoy1cJ4Nl0OViHIrwf1e3nF1rNAr/u2atdRdVUvHUY
k1Vt3RnffbKxxS6TiMN0XKSZXls8tavS7FprQ6gxpcAzRyO9qmKmopIonZq1qdE5LAUOEwhZsAvx
y0jCG8jKi6lQTMz5/a0Ql2elaFxh06LdljhdK69al8ktunCTd/EjI4c7Icqqy7BHvaNFUJRyrd9r
iWhTWHizxAybEs8vGGTfgVK8qpbMpZNy0ivdLlbk/RLOOw08GL7WfcO2Dblkn8oFL5NgC5HpTJV0
l1eNF2fBbqzAt2YTVFstf1rEWXPAsz3Uk9XcyWHQeTIWoS++1V/7LX/6cd59qR/EFKmuFnETmNPR
nB6j5Xk2v4LVffGjrY/rux9NFMjZ0MN0PsbmVZVYdq3cfPFYfH6Bj2DNXM9TMZXD+ajJ57GKCqLz
RLIEPr/I+i38zbVEsIpOSYq7U//w6E1GC0ZL5VNAn5W7l27MqUluQEB/8WvIvz7jq1dFA+UBOJ7m
F6Wp9OFCcxIXY7hU8pEy5oVNzb3ONoEreGDsnDu7sO92ujMcni8xKd9O3lPmzc+80e1W2X3+geW1
z/bxE797rX/c6LvfzRpiq1pdkUd8467oiN501fv5RbSxPAt5+0by+Z43jGNsWOae5VaDpx6Ll8/v
QvvdXbx/5dfF591dZEGbmXLD934/7WTPsJEFnhv2WatiPvTvNOegu7lvHZn6b4srbXuNStmftqx7
9uIDVW1dWmeu5QqHfgsA8Syyo8kO3Vsc6kfRmX1tZ+3KPUiOm3xz9fmtK1+9WB8qaEFu4wyaK8+l
XdrVpn2tNtW15NYOWhU3cmMPkslJ6Z+/HLx+h9h3cpKTxLZOkiOzQifAvWh/D5zbz+/qg3bqb6+7
/mF3iMGwNobOXUU7y46cZZv7wTXCgRS2v02+jt04s5355rHeyo800rzPr78+vh+fKuTef71HH1Yb
lhphbqt5OopL6RnjuAc/jsifkcbn11lXlc+u82HVIcpFGYYlwzGLLHUYX8RpO+rPs+LVYkcravP5
1X7/U//1qT4eJgUsPIpWJ/0xMlJOfpdVePH/u8CHM58ymZmuI6Q8ptpeTugDWob7+RW++GGM9UV8
96IxrzILFGDzsayObZ5uKvl+6c0vfpWvvqcPi1srZS1D26Q7TuuvsmSONSXO/+9zfHjA+nJp+6LN
5+M4TE6sHyFROkt+/vlFvni6jA+rkh6Ewkxzjt1g0uFHFF6adWcr0tKYWycZ5eOANfDzS/729yFA
xpCYs5AY8uGSJsbLoIq7/qjiMUg2KbqsVPc/v8Zvf5531/jw0mQhot4aItpRY+QqiBd5/kVX4asL
fFgSFzIslKSsh6PIok0zOlWyL76mH/vjZy/+h+cYVqQpBxnPMWcDnOoIm7fpKUcE54RUIS88g4P/
hzH4H8/GH3QsP5fUv95+ff3U714dif6f1MkRe9Q9jeGCVfU05Nr2+ATRdjfY50xc+Qdb87Al2eaF
YF+iWWRXP3+oz5UTTu2RnSAzsLeFE/lf3d5vN/L3S+7HJyduCE0IeOmks3UjF2zwLequkBw79VX3
rrBPRHvev4nPHM6am3k/2uMXqxecsc9X4w+/+yC0elRbM7WEO7iLOy9ws2xrn7mX1lE/KH7vPsib
wC7o2G6IVvNNR/hihf7qFowP+54w9YJajFV3FPaljZ0LgdB3bSO5xr5/nbbwHA6GD4jmLXxAGOSn
Z6GbvH7+dv04eH3yaBofnpOU4beKgXg+NptpU9tkcKxV3S51rofdtNshj7SXI5r8O3FTuvmm8o1z
LBVu78FBs6PH7IuV8geu7W/389/XXfvwlZgCtjmOyv2x9lRf9/XMnTbLZjnAPLVfwl2wSR1zV21p
6h0mx7jx8OHwE3V+urmK3bVI+LM4+J/Ffn0U/lmRfw526XdavvWvfs7sV0W+BatLNSSdQ/Aqrv9L
ywc1kLG8AfQdeR6i/L9m9kRQrSN+iVm6pqgSEVX/pd6AymEMzmmDcc4frMF/Qb2BvfPLG86xhXE9
YyPuwmStUVa5wfs1UGX+WSjBTD5ONgIAjAd65bVZp6dJkDnq0l4ASboLWpJ06i7zR3R4MCZgjkbB
2gT2mRzhXkqnm6YDUq+UzYU+lL6livueyDg9n7ANt9CDt/idH8owPAnCTWSGZ1JihadlDCaXHp2F
mAxrYdqC2tQZh2YqgPK5py+pBuaDAWLTMxWhI9eoeyCGcDvKCi1BbTiPx47CsBCAsSjifhlw28qK
crpGW2AzzG4LAYVU3oivcdW+0cD8boKbwVmUMmqVp6vcnAhSmdQH/JV3zaLqNsIelOc6wVWLdSz0
ed6TgHKpSzOGqYKlZ2KSamg4ZaegfdOCHmDI0r5A0mW8hGeJDBZIJoEquwCna3splRcxvdfm8wjg
MAJuOqBjs9UTaw1h6RoXc/ysoscjANAuIkXp3EphvNy0YGmepFilzxRPTY4VdMCrNBXpFg9hja8B
31+nTpUnBvjfRDjc5A2Z2Uac53SnyEMjOXrcMMsIx+4CexVZWEvWXAyEaJDUhJWrAjhky20Q2u2q
7opq8qfyImV8Wev35YJjYuzT0VMblfibEj9n10ck6Vkl/Gsr0HzdGOcLBeeInZCC4yb0TKNSL0+s
DM8scI/4NNBEGp5W355E4WD4E9wiHHYgwNwanT/9EyXwpbR/ky2yJ2EB9E5NyOCWXuvzgCoag55V
o20kRkqqmcPGuJa2CFtfib1hJFCDUi8qHtVmDVQU+9YptSQ7N5Uw9SS0S3YqzHCFpEL11YwcrXRo
NZ+YpNd8kiwfRHdk1xDBz42lDE/45thUAhxM5tpblOdY3AbgHPnB8E4WxIDZ1AkQWImKAALXCMVz
RaAA8nA4ku3aKkas2uxHoxzpXvaNT9IHGnbKQb/q9Mzjx1MZgmhvTDSQRczRG+moio9pG3iNuOQM
P6wK56Zpqs9ivsLkyBrDBRMbdpg3hJFV6uAF4SjhMQsKlOxFnz3zzkG8T2RxOy5p0XlRYtIqmxRz
2liD1iRvWV7O9Ggl+QLocI17EThUh2m32dM8RQAxXSODD12qYQ1xnJXiGqxvZ8EKHXEJcLogSPFa
kD0wCB6EsL7LynUiYFoQL/MFrnXOsTMRDQYkc3IrFeV5wnj4cbYWODxRGB3m3gRSV0GrY5aE1IIu
rw4gvSyMemf1+isGysdeBNwemiSpWMLbmHQtQpH4QUHfkanZ/aSPhq+QJ+JkebMuItYpXwUDW+ut
5D0Vep6LLjevMWCe11J0UjEtBBJRHuEQvMi6dTdkwgTDYDrvlsbcmU2z5ZBx1S7WDSTNwBNJNXHq
fg2AIgMlDuLZV/AiOEkxqXSJi/2Ida4BPxWKDaDSMGCQwNBqr4kLnjckxbAyt7gSTlIjODMVGtET
yiNgQyZvCjy/godt5e8XcAis+BlHS/Gopx1SGQUYl6H2ij2tWWYEGDJyZLyBZAbNRcvQIhf7wtOV
+hz3x5WOK8NP1ny0sKDmnNbMtHRNTzPWHLVZ6PRNtWarBeUYXuRr3lrL63LRry/PsqaxNetFu4qE
tiSILV9sq/gyC8lvI36JQmbNdGvXdDdBmyy/WhPfljX7LfmRArfmwU1rMlywZsSR3at61pobpzfa
G6OZxU3VZYf08EwkYi4nak7rycBjoiH7yppDp6yJdKTzxJvI0IAArnl1WIjLrayTYQdGhFQ3UOjB
mm8nr0l3Jh6NbbSm38kjoqhsTcTTo5UKsabkiXUg+SD9wgttzdCLhpUKuebqCQmQJlSoEFhCUveK
PEN9aox/5oz8r9QRObj+c6nDe9k1T/8hUqF7+rtIcf3bvwoeiSwocDI4FBADwBx+V/DIlDW8hH+a
CVeJwH/NC5KoAAdEq2YQP2VQJv0UKRrfKIS0HyigH/5E69+IFFEkfix4qKZwIfL/ibCZqQT3977g
sXJjYUCnDWfZwHw2cJq6FE+ySVJPCuItefv1/GZOQjTgk3AwC5TAiQYLYUx0NyrYD6QuuZ7Cbp+a
09UgToc5wK5XRdiR+9GE9B4vJ1bc3Y50Mowcd2+sIxwOSoqqFoXtdKJXve5McFHjBeVzjjZmDEIy
hQ1r8jE3vCGiQH/zA8kLjc+BJi57TSpQTZhMppPEdFQ2PIIzo4dZx8nTZurskTuXu2JTXas6CigG
FDJVRego1UKzdOxsNYQ/0hTBXWZJLhorvIVt62rx+Kz3OJED5tOaZLzgH4qdQY/v9XpqeXt0qjfT
6Wt2IiIp7vVQBfJCTnQwKlRxDbSclmmvPmjuUJrbdgIEM6sDNJdhep7L4DlHUCWWWJ/xHzzEohU7
uZr6aTrtECQWG2kaG7cZCLIjBvt7KKrE/EnFfcVejpScDMCg7171QF6ObTo/xWAW9uQDMhrW5Nwm
5hDfvildyq0BVI9EFaorfFZlyyI2jule0uoBoTKOEfL0mm5Dsg+UACNmHm2UZP8qItiMifSMCL10
aC20llHunc6iObkpYVgbEzuhG2TC7HSU9jZYi8hj6oT+X0SuVogtPmmxpOVqjd2VDGDlFitp5Jbi
KvtsM/EUox1A3DFNH8oG0xfhhfo9yv78ErZhfR7pcrwz2Z4OtRWgN5+z8oQkgwawoqomB+qRag3y
mA59s2SyveRi8DyZsWC6BOrUu0IWL9LSkrwoGqsbKj918ANT1h8FSus31UTjn6/YaTS5AEUgUc+5
TEDaCqceVkx123BchFvdzQvf+uhBxjpgQH8QWwDXQt0fmxV5Hazwa4PRHTpyCHzGisam8DyqKyy7
zkXCnlZ8NhxtEmBCO13R2sUK2dZX3PaiphKQLRDcxgrjLvuVyy3HV8YfoG6Q3eUK7yZudLi1yJHZ
6SXhztEK+RZMcN8t3O9pBYATM+KuYqo/Rlz/W8xFWhSfLebU2b9bxvmrd8s4RFZRUhiuIjhfe2d/
nVvlb5i3xVVQonFMXTs2P5dx6xvac/6JBRa1yS/LOMRqINJ0O+G5rjbzf7eMG39fxsHImuvZmFsw
MbX/uowDeAyJNwnUs3SpjHm36GWuPA8RIJozojOUPCcKWZC3ZrCmWPbR1ayGKo1XFcSF3LOKB3ps
k2SWeoi/VLfVYMOII8o1c1LILh7KJ2leEKtq8ROyR9pOSgRrptUJN4dNVQcJ5S55Eetot8oZag0m
mRXmvJCoapG5DJE6INYpZd8QcuSrTZe5kd7t+6Ky0GjGd4OkX6BYpneTN07J0HpY/LgGrj2IOTOd
pLxYMJBypNrhuaFEykrieDrEpBYpGmStLk9WwlkbBdu2J+cV56h8LotddtqrS7khqKaAvpOVoKHq
NyUIn/oEAHYuGF43v+ITg92mcbwSOEdneXE6yepdVYR4jDGwbel15U6DPsVJK+TnSom3bzEBpEnD
tEdNnnhys7z2ZrBBGbYq133JgAVSlX6LoLchykpOpAEVK9SPZlBeO0avKdg7POirXPtQwLpdNAKu
+hB+UWQQnU54qLmmiGZZtUXd501lcp0hKO+64qJqxH1E/CjJGOh6tfxi4Cft14RScYqbwu8EydyY
enUiUT0jZMJvbgQHcdUyDDHTepA7aLAVubmQJmrRx6TJQtlrlTIsLoSlmys/l0gkRZEs3gPlRxKv
D+kLLgSidDldx3L/wma7MWSORqPJP8f9+IoLi4EBW42dD9O2m6OjWgSmh1lx3tRd9DYKOhQOc37Q
Reu6W6YLDAWPSlOdQBV5iIfEou/RKp4Rqt9jeULmGs6PWVSnkGAqUugUPIgDB3hNxLysNRdEwWyN
xmQaatTXc8zHIkkBEkFonoFGJKIhWjADa24fdcTNprrldfosbiElSUmpEmzU3Q4dqTZ5RW+Cwewx
DWGXaij4GhJXEDKgxGfLc4QyegmBOKFynZeNOYJHSObQl4X2AczvtuS1cQoTeBgMMpoI7YJHHDq6
RILLNKoBTnnhfA6E+6YTKXQUiY5IcqMFUUhGFQTdFsk2bzOHUZjuRmo4eleeAFChS0qCVr/KPiI9
fWuj7qzK1aehJQ45wx2ezskRz/y+oiqwcRDuC+K+1lbP4CRs+U1ERyHphtGvJ6Jcugi/FBq0pyI1
Hxaj9PJM24ktDeJUqa4WQV/bDyZBd7J2YwjR1QTwQbTGeyYo8a6KrN0y1fsgNKt9ULb3OsnLqFqu
BF3fRYp5JiBrjmhEVOpyzPNmm5Y8mwttK7eSih58TXg50AJLCRgK+9hvksiC52UVNm+P/tgO7S6S
k/4yMIfVgZBtOLHs9Y4Wy48V/X9bm8hg8J+3Nvc1+8+Rao4W/3/Db/+kq/CHf+1uyjfqWbzS0p+Z
Le92N/WbzJ7GxvczPuHn7qbK30SRZoIIclylabsKB/48pKjSNyK4DAPZrf6DivqvAls4Pb2bgWuk
zEpYvOGdm2S1qOqKhXl/REE+l7TZUgBZIwdaTOODEaaOMnyl2JZ/bJLvBgkajFZrPY1JioVi+G9a
alIPU82M0vFc03iDO0K2VE9b+pM8xvdRyiGEq9Eg7LkrzxgCHeq0ujFkpLsVPAtnJDvQSxspxYik
geMqLQJAcT/RRqjW6IfmfmyrysnNiEVeqQLMOdlVxQUducrOSzHmlTAK0ppqGQkiWVmOQnOBrHhz
X+eTYyX4dApiqVxkSFtFSYtNoA8bWdU6tyd8ASDqxBKExss0Ti21t+ArKfeRmpUOFuorLJyXQj4d
BUE74hwasBfHiU1m7o4UreMY5BCwLemG1xwMVjgMrrwuIv0AjVNYNqPa31lm8yqHxmOYzw/NamRO
0RaCJEcN2QR73cjjDXqgrW4Fjd+iXnaUprkp9XAbm2roZFG0Zxr8XIxRuhlysaIiJqwhK6eKzhU8
sgwr6Ubqlkcpz9eDSXKmmpw50AsjcwAdubqVDOmmaemT455AGTdfGnXvc1De4l0W7I6jBDeqgA4l
5NSJZO1KmKG05x12DMN6hEjoiTDP+pW02vZqavNouwg8ELK2iY97+M2ccXSIunYKeZElssixd1Jo
SJC35ZGYtpnKZoykeJNK2TmpaMlGUUZ/ydXTMKR33Emqbw18t9FI70XQtcGtMI5xut7CkrikYTi7
ytLexjosk5CELFvpsqt27HeY66BjKeILs3i08ON8m8Wx5k/KciZPtG/bKBkI82q+S5n8XR4zCohJ
2paZtaPnLFFNjH6eahc5caeTUeoHQ1kKYL3Fy5JU95GBmjnXy2v2cTB+tZFuxx5al4GBRgk2BNCT
1cUjBiBFHSOCwqL6qUjKsNksptDNjqbjVwIImuL4m+WGdDh1rAtXNMaNZI5r2nwznWSZBp0D5JkY
4NxVle+jaO1iTUIOjJGbROVquAV/STeXxq2IYj5et+dJit00kXcKTmRpSI/dalM36yeq0UspFV5N
i5+pZocpeRqvZ3mg1dB2tEdHtxxTaSfkWk7mxXAwG4o7geaBFqcE0LdDvIYhjQ96YrTeFFanYSwG
TltNVMA4hdX2UCUki3Ttdhy71ciCd8xKnCERyRAsT1OdV1Yp0nP2xH0mCLslo2dNGzfC4DTnGAfi
7/pIomsyJnQte+mStEp/KrtXYMojJHDBLvTqfmw8kEm7SG2ILRS2qGZplIqPi0amAhOH1p6zx0y9
GsZ2O2PuqcDSZaBzk6Jx5A2W8chSO2zNijcq6naQYcNLEfXWUg04jZJuI0op3+eg4giSiI4sRzcQ
mobkksrvpeJsLseHpkxIH5zVWzK3zdNKIB31ej35h6baBNtSzrFjvttgzv9YLt9H5HxUZrGKrtYq
CjkN960ocbL5Zblu21ZRg1mfz0fo87bqByfTVXm6S9ArPRV39Gp3IIrsYE8t1buJ/5XgbxXG/LqI
c3nLYN+R8cbqH6fBTdBrg6D3y/lgPFXBzkInZU2PAmbEzz/n764ji5KIT0DUVQ53v35Mq2PPigkp
PJfiQ0R7KMterXC3ivg/v86vux9rEF/nOtsER0bePBilX69Tw0jQeikS0XDvG/2sUnDNq3efX+PH
WPPjl/b+w3y4SB+JYisTaHMOTvMWDpM3bMXvpmsCujrNecbsy8YjkWcjb2+OppvZx+E03ty2XuBd
JCejvaVvdehc/kO33PA/7/bz+5PXL/Pj/a1RbYaCGxCv84f7ywha5lAiSueaHR6DC9ETT6U7RlWg
F5yeGf7Jg+RPzrHejFsME/meY9pFxf0SQvSH2uB/heRqUP/nQhJb/n/s1yLuyr9Xkutf/lVJiszj
dTrenP9w+6/5NH/1SaRvOtUb/RMUACwPlIs/+yT6N/paMs3pnzP8n4Wkon8DLE9GjqbTENcg/Pyb
bjcC5F+eo1WVLPMamaAc1BX6twoJ3peSbT9rGrG6wpF8roTqYzfEsMOKTAe3Tlm3SY0ZN7yqOEmU
X9Dygcsc4+Qda3j3M4j6LOl2SwOMtWLQ6wArKgmwmgPw7eZIc6F9JmT7liTcx0qsT+de2S2Gbh6q
PGs83GJ2UCk3odVwws4TN+yyy+mHhaNWXnSJTrOBO3T1nFmiAAvTxHmHg/9OnIw3KDTTJhmrq5wD
pCHlEhDrpbZ7wVio2+p7ta96N5YqEIEAS5OwIqcLhmlRpz2p740/rnhTNVCw6/b5SfSDfaqtGNRl
RIngBpP6WP2gpDK6hphK/3/FpzL9KK97rAoVoGNJxUFWycy/R4scwQaqSDuDkhZ7w6kRpA6Y2pkz
J+d9ggTMKqi8SpPOhJh87wzjlQkyXf2YI63SHTMQ5C2WoGAeiUm3eorkubwyJgzsUi4/EsmDwdVq
ZNAydE5a2ip60LYntVg813KE35PoPlxKeIMkhmG5Kl/UKdV5wUjNHef0WsSiTUE32+0EwmYS1ftC
LW+ZIJdn1TKVB7Cxs0PusEdy2ZkS4jnNymMrAcFvok1mGSfgD+85L0lYMZR5V+oJQcmquJN6jF0R
n9tTOpg3Af1ZW8wWxeF+7hhUxCdDbODo4OuzTSkQ1slAfkaWy3VmZsMmrwjisnRjr+YxjQmgivFt
2gpy5uHX0XVPIoFnkecLsV1S6lDsQ1i2TUAA4lU4zBdB3WAabpQz8E846OUtONYLLTF2Qbb46dAD
OllaiprwujPzs8kafHmSZ1iyg6MysmnHyo4SjYz5PLnDP34NE5LJgHmbC8S2WU27JcHkGkffoRnj
qybv7+NO2koE52DliCpHrzE3Lricp2HUqD3A+2LTPej4xfb85KBV+uSVsBh7aLg3YQ41j/KYE4FM
dPHC6HrRHuUGxUQh0pTos9MlDC4xzlW7WevCgyIALejH50Igpqe9bnqsR1ZtXYRR4lbMZYtqOWl0
6Va0khF6XeK3cQPPiLKiROMSt+lj3uOwhOu9qbrZsJW6cqMqjB1JIJOvnscnK5BKT8wJN9KXI6zD
s0g07wii3petQFt+og+jPSuVqONzS66WMDobyZqqG3gGmnSb1aLkiTL9LEKXnTgVjoFo+UleHHtw
xXZkFc9DAFtdGaHhkhFsK0O2zzL+M6YBZG109tjkOzPsD/AF9/yXizdNinJCrH1npyZF/UaKKbf1
hWz7y0iUNJkzRPiQxLJXaAkKOk18WyCFUYc/tNa4Ga2BYplbUMzHzixO814VHOxZriL1Ttcp2yas
7mdjlXDknCpGVT+Ycn9pSjW+nmnEMt8o93Hf7Ma2wZ0/AO02VRD64Y4O+IXMjN6Zl+FUG0YECVrh
BwWqAaupttgg/dhM78jjOoRie2MUlWgT437ZRarLYfY0YvSdiv1dmqtXTcxvkVfDi5rzqhHVQdDh
2ZTl/S6cpX4lFmwzud7XlnzJQ3JS9nhM6Q+fkQK8GQz6WxB37hnVuAtn2c3QipSo416wpL3AKN2u
R2GnzupWbACgw6zPl3E7MoADO3XA4+132XLRDWlnG3kNkaQBvc0ja3J8zdvsJhCLRyI4ztRa23WN
+tqSCopwZycp0e3Qxlea2V5j48rQagAU0sArDuZzChBEyglZWPJyByD8MHcFw1KZN0waTyPA5zFk
kSlTrqwsBK3NMUEqa0ZDuugTO7YpquoMbvI+Nsy3H1vy/2qTtbj+59rEy/7jlg004L+XJusf/ixN
wAWRIAxvV1E51f86iZe+EZ1HdUBUKMr0VZX4szSBMaQbKgAf+QcSaB38/JzEr4RBmRwvDb4rBDo6
cf9CeqjKvxb61CYm/z+cmkRKkzUD+UONW4fBpAnSAA2YvWpccaAD+hmBthxI97Y5F5YVGspB/l5T
q86xtKyGNCMYaHMWUD3CUJxg0etB7HB+FKGRwgszYACZTM0B52z+j70z2Y7cyLLtv9QcWjD0GNTE
4S3pzj7YxASLZJDo+8YAfP3bRqUkRihSWqo31aRWVVYynO4OAtfOOXefRbWuFApfimDTBr01VJsm
9MegUZjTFN7poMCnWNwxYrX7xYeJyom33DoLhAkXXiqHlWjfQlDtk+mBMgM2a9P6tq1iOLRa4u+F
Hr2W8Fcn0odaMVxUOltKuBpipbep2M42z1PYGcdcJjtSeEtQQXYFNfcU9sZZ70Ddj2G/6mOUb6PG
YdNeggMlFvPi4PjvwZHAi5nseetX05tTOW+u56frTiFmO1iz/mQ+lkZVntVDXlED7D0bI70UClDL
r/nql8VlxhOMhRo30GKnqu4nxHwGGLHLBH2dNuWc3MW2UZVfFyFYtMUu3pxcbCZV5Fnl9c6i2tNt
5Y1kI3WPfe/hdtik6eSyrFOI4ZtBmy7dWAKepy40oTZ0VP2hliE+YEZA91W7aErNKJCcg+n0XwvV
P9qYFKQM5CEW1U3q6fO9l7MhfDV1eNB1P5EhzDmu+8dYq98XlTwMwfhtupS8ZTUxUlhLPu2KBJhj
k6T+oW7m+NrMjC8iUcG7GVPM8OLVEmXm06JT9VGsfH+4G5w8usBRqs8WvWgppNeyfW1XG8mdXACx
QwDxgPJBM2SESO4V5ZAVeHZpyJ6mazPiwVI79bS2q56jvVZdRWlIk0WHP+Lod65GDkSmIJcHRNvc
ObOGko+YXEaYTg+1nXxzzeIYElNi8m4Ij8EKWLna8EzPEyw7y3xiLvqK9Af0JXJ3s2+xfBane0OP
bhuXpsNpWMDsUNDSLN52LrP1BPCgzLOjE7onMVDj4M20Gyzlu66GqHEgRUm4dgzqLLJZCU9fCVc+
2oYN3nG6yeP+OI/aHejMrz1HeQRMVjwH7RxYz4Vuhl+mMj2fZcG3FRr3UYEjFbfhXTi5NGvxCdVG
RG9gjaaWeURlDespdOUXR4cslEd5CgUYuc9N9JfO8m9ky24chSTUNgDMdkc1Z9BayXspwuS67cSB
dvWA7bOzCFT14LDqrdkv0dzfKyk1Ku2L0bIv42TZm21BsjJBjO3mR5uI4S6NqPzIEjxGbnOUozQa
4Rh6BVbhNHLESNrHtivOTJ+tetM4MDHe097CCjFUlKAx5aFu7STggtVXtZbfkHF7qc3C37sZJITF
8XZ0hJibnIlnE/ZVtyEyVGwrHwfTgrKZ1kV6oJMlmDpgxgbhM3XH5S7F4JVZ41UFB2JFclrfDsyz
kQ7GWWDp6XwE3JOuzZlanMF/5TCo7DTni+FYJ9NqUrA8s6Bwge6nSt3i2phii0i/NfyS2o4YzmXd
QdlqSNwKO98XwCEpFgXEUPRO4HC9DUt0K3TrxS1wVSPDO1HKHu6iSNO2eAs3wjVbcnKZCGbDfTES
YBiizMlrOjVtidAeisQg2+vN2ywZ3tt+CW/Thmhk0oq7MhkhYmFiv9axduFU4wiFgHtEkjzIeLxs
/Xhf2N47xw656eGfruJaD7KiqUWQdLaG/90txUMRaW7E8E8suCcyviE3dm577Z2v6MSt4hQvS/W1
WhJ/Q/zVpHp+eQxHOMXu2L04vdYEy9BegVm7iAEgm4CQJ4DIQpGRzbI9yxdjk0VWvhl6+xoQ8mnw
qWlzFFc5BbDsAVrWNZJBrWIv2xJaK+zLOxMscxISBwPTnCpec0Zwnt9mefQVyrmZ7wtbXkPnuuJ6
4EMA+lwAf15sEkR9lOS49+VuUIRohdspQUYL+op0ENKWPn0pDQ6EoKUdENO1T9uax/8ywaeCDeIg
GSsite8QoEkUpbrUITqoVgaZ1PsSkHWriNYuaOuI7i7uRNCubcW9Bn7NRkedHhbFxNYyeSg/KNmK
l10qcnarGNq+omlTicLKm07RD23xgoI2LAxF3/53KvsAOeoou/99Ktvlb2X5k4mMH/ptIjPEL55N
5NAitQKl+btlEINGd/Y5iLTYUHuUt/jHRMaYhC3+20j2h+1o+tiOBv8W/wOxFP35n0xk4mPh7Q/V
US2D2HRPwWkyyJpb6p/7Ti0q5841psHzL42iBa5mi6Umk6iCEqZWxgYQhaILv3KLa6/JNBKrKFTC
YiFqwU7DsS39jDqf7CXjvjRT5jQaoBhmy+JCrM18UqGS5VASkt4Mo3/NEfA9J9QREGygrsjgJGvg
EiV0yTU7PWKZrKT/p9b2WpK/2C2lw25aHaNUXmeGsvLYn4haZ+/qFHpTR7gyAaQlPtCIJGU/XPgX
Bg1VCXINFpadU8I672dBOLHUxEtakKNuRvvQeu5jbbloXPKVvpoTMZccRBLv7cmH2NKHLHMzI7y1
s7fOGJZgR/VKYaiay4V7Ke5GGRij2Dd9dT5m1AbKXievYGotuSC3POimx7slN7ruquWh6MaTtwBa
lilLlG1mtaThTORtg0PtEG3bDHKbaCN3k0rx7GXYKB1GWWOBsBPV8FRM4VcioLSyVZfTzCCkFaG9
LTqj5nZRHiQJw5WfdIhXGEVrXVrjqiq8agfBz1zTTVgEju/jBM3XhZ0dugh0C2GEb3MxeisdX4we
oJBZDHPFjOZnglLUDAjx3hvamRiHA1HCI4TNjFon1I8RhO3el4M8VlS1E/ykPXFy+iPQxrdCK+Uj
3+d5b39dCudkJV0AUPcqb9IzygNuJXj+oCVv1UGN8RuAM0Y5UDME8Sxa1TncPrC3feaD042AMeWd
x1HfHmOO4R7uGhks/2SQ3TijAxrVh26aA59LrW8snQoI+uv92zALB3gHswBY2VTUNY72bO142lv5
Oh+maCfmKmbML1vj6Ob58OBVjrenjkN//Pd2+HE7VAe6/347PJEYf2vf5j/fEdXP/X5H1GmYARnH
oe4jUcG97ZN8TlKbjTWUQPtXZf23OyLyOSq5+xFMdPnXfjug2gQTPdC4bFkbjnLj/sntkFW7P4nn
JlFFX3is76kk5A/ieVHj0c/kyC8Kcxm3NUdMwr3uk+tFm8odHoze+ULDHmeTndGIjdF410MffUGc
zIKZIGRQWxmFxvPJOTKkvpoy+1IwdcKYadMdAFfGGA4SM91NTJF7PSppa6O1zqZ1M4jHlMCfLr5q
5Vi/iJ6chAkpe5NCytwuHAtkwr0vjNozAgbMoSZNSzQulTQvLVoPiZMqJpk0zzPdTLTHPiMkPkKm
Vm0n06n/qHFShU41zU7DgFiGPjM+EH3+Sv4sOS9r+E9C2giDdENldETBJVzQUVkuVfVRjsf8S58U
CYQLn8M3Ru8tKn/GBlLjUz9lp/IL5bJPpJXpWKkeOlVU5Rr12u/ouKPESnDs5MF0MVFuZQ1KrYT+
Fibxt4r6K+IMDW0e8sKnQ4VOF+NgMbVRnBrPFQjM26g5tS6aZ/aENt6s+BV3XbcwdcMkZW8IqJit
SrhUHVdoIfKpgq7R8RUXilWrUDsCZJD7StV5hcmwkVV6U9Pz5ajCL0tVf3Gn2jdV/q1VpWC90SEj
t/quVYVh9jhcoUHyxNEdmHpwH+OShKOqGcvpGwvpHevsiKij277oqpKs050jsMp1RVfZ5IT+yhvc
o6TFLK/9C+J4aydli66aU+i9MY2lDIM251+2+xx2s2xkYFWPFi0UpTlyFKtclaflLjVqSUKhWqKq
1WZVstYXy5Xfu892rR1AdvXboUOwV8aKgcIuldXi4rk4eC+zMmE4ZdyUypaJ+eY4dn6x8WsaZdzo
ysJpNHHIvepU4+2MeDwxXk+tTB+h7J9FGUGVsoRmZQ5luETgx+HW4xsNykBalJWU4CnBbDYpT5j2
hbKbYBqj6M/seXLHNnmMkx/33vk+zqu6vrQwIzJEQwiClLzGnPRGWPwzwmKKwAin+bxHcKyU8rgg
QYZdf4QrdzCUNpkjUgKge0m76ODH0c5RKqaDnCmRNetBo53FIeFSnQ3InhVZvkyPLjXk0BJZlL55
PtRFHi0EU3OoToNSUOtsus6LcTeF9PgNDq3Qck+72kEgvfIs2TcRdVUWmmw7m+c1Iq1ErNWVajsA
SA6j/lEqPbezlm2CwItKU6xmJN8W6ddO6nN07T1kooF3iDqcIhNbyMUR3bmsNr52Skf2IuO2q7oH
amXPwyk9UZCxjqP5pgTfypQRP2R5vHVk8hAhUVMjvC+cxMNeIFisVOzE7U+m0rUBg19bCN2WY1wX
SvmO9Iby3PYw+vqjrrRxT6dawkcuZ1hi42DEKVNKerkUjwPSujugIyC1G9OCAY34bubOV0LBO6lx
ykOczxHpy3bYd0q076CEsM+1WbrwMfkQ9t0Pkd9Qen/+If17ygWYlR9AP+uyaZ38nCLCo+WTJFXe
AaUH53EcX1qYCqFyFwjonKTyGxJlPCgHQmtzuJT+rqn8C/qJ0sADyFoo14Iczn0ihiNbPQ8mxgUU
hdtFfYUmhkeN8VHR4GVihFDJ8TBhjJhCXOjZREabuGiLdWIoDyVRboqFrdIof6UVNMAqx6Xxiq81
Fszs05DRY8pkmDMZUte6w65xHf2swb6JsXFs1vBG0k+BYd3Bs9kkyfKS5u7tovyfUjlBOpZQTQJb
Ux5RSKu1hWkkamfnYiJZyk1Ke8faSOUwsanM33L0linvyVUu1IwdJZQvJQSUSx2rylWeFRdFHRjK
x3Iifd9hbHUYXA1G14zhFWJ8lcoBm7DCYM+yzFvRQpk/9E0Mz8C6yhQ6GQ/NSB0O58W0s63qUuKy
Jcpu85xxr+G/9YvHorJzveQC48XnoxGXmjLsAGNf0012mykVShelokDKbDUKTs6mc+o+nD8MT1zA
QRmC9oc3GOISGmWYrAplHMaNwyoyq6SJN/LXuRxZQUJzbXlLVGHtqVXeuVHpw3210ST7sdwsGqKQ
MUL9Jsw3rcaheEFW3dBklG55whAs9ogj14CTJ1L0SHh7FM9kPeU9j5jRH89SDiirRpvfS4rb4B3m
pI4pjTfpnaXbe/I2dp4/jFVk0BDitGs39ojvxZ2rrQpWxsBVRkdJ09pl2Yj+MRUuKzYU1mjbwZP2
dSfL5Sz3FsijMrc8iBGFJTa1hDi3CO0ozfZsrJMresu31kRzhLHcF014EwGlHhojWrEwExi5B1ZR
NI90I6eBG8lNKwiAjdm0G0Bs4tD2L2M6BILUM873aZQzDxl42ZAtweavErO7q3V9Xntu/Myd9V43
230o40vdnt7C1DwHBG/T/pxsuJAq9HXzsV7sczcpTmGSmwGJR+zZbKvVxdk48IhuWfFdO214mep0
+WbVDSlm9lqL5VBHztGekr1ol1WU1Qcw6dAC9Iz1UaRlJzWvfVncEuBib2ye19S43JW5LFlQyM71
RB50XSPSKQJGISzd5kA31U7L4kPkNudR3T84qs+iFGecJxHcvG3m1a+qzjnNouspZFKY7XqzhPGm
JRtvN/1bEftHrSyDjotumobzwc9fHVNnxdsvqb1LblrVGmskYODTeWUWzj6e9NtOrd31JZ3s2PLU
u0Ybjon0EZILCDkKDn637VOxLwbjcfSsIE/FtKWjmxwrO2Mh1yP57oa7e/aYgxiKhI0picfvZ4Ny
CfKDVqf3vh/uTG+5ookOMFAv7mZJL0taP1QUQK3NApFRI3wXthWlbKkcNqTbL6StX4SR+XXSe3Dp
aa1W2lgiTw4+S3ZbspmcRZe3eib6WpN34/7eHx2DiyWqpM0Sg4soN9diQ2rNu6wEGXwLcSj3WHHs
9evcwrFAhQ+0yNx27GCtQvp4V22nQyKYnSdbpvOtz52GE/F0nCaPxjtZPUz2cl1rzpNhpOG2TppH
fWR80Z1hm3VjHpQd79oLKSBVt57GA/VWIRVGtJ5Qep2danRV2p6XS1Dy57WIWFl3WLxp2uJ9FAAj
m5kMpsX/BetqLUZIsslU7+ANHKRrgIvoh+PCojOndetxUojfVAch304+CvZsXYgsuchkFsD3xtWM
FwKRYUv98WQCaMyjM4kc63f5E+dHa6/+3B2TgL4PsmALJt188mIEvdq6FnJKjr5Ja7qoD1Gt31H5
DujBRkCUwy6iu0cvsmMT6eiAVruK7OJ98EhN0GsB8ty7y9h4SHqKkEdwgLlU4Ib+cRbNjT81ZHJq
9yIV0UXhpui81nxeTul9k/tP1mTesI1VndtmWm6GyIHF2ltPS+Ef/E5oQUqceleO/MMaDUgVxvq6
xpnapzmrg11Z83SMrEI3byeRGhwj2lazUEFny6Du0HS0jSGSEIH304nvJ9HI7x0+BVhSK7ZQP3nG
+xCvfzhAGYmuT4ZRJpdpXQNYOnVQPnzr9q9f5Idc4n9eBCS4w9IxQUh1ivtEccrCqTVJwiaw0w9a
edKBKqhyCHn31y/DSfRzIu/Xl3EV0hCZzIUg8v3LhDiZnAJ0BnfjXVZfNPMf4zZVu4nAYNU5bLIC
/f2/3/kzDp1T5Jel5EIjtssC3++n7598Fz/5/V1aYfmE+KBs70e6bOTS2A7rrrjErinsK9v/G0SY
cmv/0A7/811/+nx++P0tJ6NZiVvpJUXcGk3PYtvSgwK5+y1P13/9Vn7yUmp9mz0JOkSgzf/wVeQe
rVM0nGaXAICp1+6xblStG7gZGsL/Jo2qfu0f3tZ3X4u6xD9dXbpICmJqeU4ONfBZmebc1a+5p87j
9p+/qc/f/w9vqnTZPBu8X1+IuoKSdHq85TmiHsX131xrP/m7dFnPR3zk6Wiydv/9mzJtbGMevOVl
Z25DKgunjR2+/vXb+dnl9uklfrzcls5mVrL18rL0ntPwydL+D5czVYYQU3y8fPtDu/n0vaRNbvcW
quEl/i9xylU+/x9uXiyloYaj/rC5+gEm+/QKpVYy3zuC2lf3WboXrG6u9P5v7l0/u5K5iF3btkwW
F1R69PPV5bP2VoLxpryPwW8OPOBi9jUadVWvF/NvruSfvBbavspWw5wS6E/fvxaiKCJbapeXsTpT
U5YWxPPGbVYVM9bNx5f/by5H/CUPjFXbF2Sh/s+Sp/q53yVP8xeiM7rahQbsQir3k+RpsT9N6Jci
UfM/2K//SJ4smFlUd7NabZK857r8Q/UEFqbrwuAvgX+VUA307X8Qy/n+1qB2z1R7l+8JHniUef24
zNAPsyRtYMsremEi5Jn5pup2f3Nr+Fhg+3RTJUWk2y6WlkNBhUPQ/4dLkYCumaZZV1+ZkjUvxb3p
WOyITaM0r2K9bbA8KmfKrpcqcbwLZAD3EVPEyK493Z6DWC8mA1RCHXRTdWhg5CcQwhwzoX9GzKuB
eOo851ehra3zSjvMnb/Xmuq219lxmWOSxI17MyXdPpwbonfw4UmBi7VtNWdaLS81L3vJ5+xZA5wz
1PUhzdNH0iciWJIYabLbeEbOANnxpzq17+3g7moKXtY5Js0uaawh0FgxQYKU+2ZEmxtc8svevjG7
gLf3GDn6QffZvjFFfdZM5Vve+TFRBYvYSvEWUrVFugloUqVP1Px07ZY932PYu3LtlcqulgZ+lKu/
qCYm06JLTFjlHaHgs9AwvrQThgYaCzlEcKbxLF87xzqbrbbcNml9KuNJ0qnkmoA/QjsIq5awYklK
w6r6TTSbpyJCy+078zqX7Dov4/CopSYAC5fngwHpyTP6dxqGEYsSo1q5TXVVVta5K1sLj56Td541
6d7RIfLUPUbWlAIxSmqDzMPowXKrlweBXGfyda6qQbuxpUYAxMjvZOFTuuhlT+gHSByyPvhQVi7y
XoqAkM5Zp9EaoIuGeiMvOkb9KyzSLQypICmkEVhT0wV+Xj6Ey2gFYeOVZCY4G3pDu+5Bj9Fc9Qpy
HjrmzGnatV69rojXXpq8ewUScGShzja9f0cC691KZKA3yVvS2DIQHRwigy5yIsFBFRVXo9G9iDTV
g1YVErGReKDUpFhbY79NPBXfMlk0sroecBq6FCyr4YrYwZcxgk+m5T3rw3G7EVZ8G019s65QhIIy
JFxiUUYwYvotypDyvfTWYLGZwAbQOX98yHS07WR23tPU/2qLTJVIshplThntj1R0nEAdtUGUJnXA
feVLNDe3pWWT68yorstddx1XseRiRcfl+E4eraH9U/J5uO7ylDkha3JYlmNavllCOtux1b9kUf6l
S+ilnDTYHWPUnwpXe+8170nzZhIH8PNApxLXnkKiMBsX+oKx6U3gc/XHgpW0Wmqnaj4Nn03N5s6O
JOwwh7KN2s+zLxkPooO9TOmVY8q7piE8vdRvBfG7JKtzql3rb6JvOMa7SUSAw2P/UMJOaJP0wbL6
de6AJuyc+9LfTLs5RjovKiCEmnbTDqmvzFXK39ZhAYhgpHdCc9EZWr9mjspte7Vw/UZmzfIaoEC4
D9jP4EPdLkC0oBkghqJcuY+xZ78l+sTTMUd+txaxLejtGOP5HAf/GSgpCeeEetjhKRoskuCLedOW
YpPW4qYS5gFW2808u2tHi+6NzHnqPJvAtX7uy+iKjaeruYhPS9dvFyo56N3+NoysK8Ruus5oINwU
BOmzBgJR11JZ7tnbth4vXKVMNhn9MYTv4sSWq8onH5h62irUtMu5b8n7+9kmNLq3jjZ1o5ketO7N
HrgSR8fdmlbqFkHI5jxpuFDi26fDrGkbfZzdezcap13TtEaQRuT8ba/u64vMNB+LyqI3daGSfCwj
gDkp9y20e6uGUWYv5q6fqzbwcqxozyzuMzqG2l4+Spnfd432RMzOvNYHe7nigdds27x5bgxxiFvz
2xR6l80CiDn3o3VZIInZVCWuk2aEIZvmybbgbHtnFd58ior4Nomil9RotUDiRp23y+zir/fs1ZX6
HFh9/FQafIsyvoOTnq59Uzsbxu5xENVy62lmsQ3VrmTN77caE549gZ9xDxi03Fl3Q43mAMHvDl1q
Xs8zhLuopcqdv/LuIfS7YW31brHnr9lbN3m/tpxx3I+ilzuy0Ig9cPYAkukxx3ngHlGfJfyxJ/Ze
wlraY99fAT+66SxQc47YpaPy5LXwNYHFSL5M3JEueGzFdBvZrXNgj/lRkfcANi3hxV8/dn84yaiH
LuujbAI5xDtcusK/n/+cfKjZEG+Gq8qTG0dcpt6dw29tE5CgKeOvX+v7KULt8BFu4TwulGsK+1qd
Dj7Nzl1XTb0hO3nlhZswu29mKqXu//9eQv0Kn14CdkueyyGXVzV/mDOp4Hj8atV/M5//9H34ZGtw
oZmx1NT1+UW6GFZVWkp5ZbZ3DTRd7UIbD3/9Pv78tfBRfXqJH859/VB5EYWc8srybotmuxQQZeRl
6T6n89+80g8HgF+/lE+vpH6TT59YHo924fS8mQaOsygdVsbPhuIkKbMpzhbopn/9xtQv/v2QJzw8
fU42OjA4OhK/f7k+SunVxLAj9PEoVGuOcxfF53Px+PEy/541BBfb7wLP+pmS4F+JFhfPxdv//s/x
OXv7yTmDn/n9nGH8omILxM3UCVNXeOHfoxUmUGJS2DbcB5Xk5//1W7QCvLA69boGcQj4GJ/OGab3
i8PAzv4vKGMTDsY/OmeYP9DXCZu5RDQgI3vsFCOe/bjnS4pMmHpT2pfZmEfnWoThcTtNWUl3hZFk
O2lZ1LS55H/BwqwJV+YHq2UqU7WY+yxkkCxmg6tX6j4Eu5zOeEWpxEBX8LhCHD2bKVumcDgzKl41
Tr4nd2EXfsp12sZIRHOn3vqL92anI08FYhhryL0LEak4QnaV5ylwFu2D0qJ4LT3gFkMRXHLFcukU
1UWKdJeDeVmYJqQR3TSK/6IrEkxnMPqUwGH6RVz4nf/mhgO4J++SpswDN+fbhNZIDbiMpigzZVid
N2BnWsWfAaf0mMOv9ADTFABqogRSDSc2mikVvUaAsUGzOJhevUn18MkEc0NRH+7ESBl41sPA6RTI
AtTsCmED6F9bu7RW+eeNYudkrUGkLL9ociRzN41ODZidFtxOT2wcbgT+T18FSyUlbRj1WaEYPQVe
mQ20R+eugRZDwmyhAz1Te5k1lprpzmcLyB+vja9nxQCK+/QwKCpQo/hA/kzZvSIGESmhoguIkCGb
pwyoEOAc2gTNdtliPsKHqONXSs4Jk9TQiEox71ixOKPawNwVAIvQ3o21VAyjpG3v6zC2Nmb7PijK
kZPBOwoj4EkRiRW0j3dNMZE44F42ipJEKymIBMBJniIoaaCUWIu4zuE6AAcEZzdWQaqoS3ZU0uen
SEwzbp0HmslVjCaaU33WIZYnC3yTHVm4Lst1w7wwtuJJ4iLQ6Ru/gy6hZUxmxJW7FP1+3meKDtV+
cKIARk2KHEUJbhSwo7dNgUrNMXQp1r+3LripmRV/eLqtCsknTveCL28cJ9vmQFCosFrPKTpfSxVh
4/07+2JWuTa63Mm4jYQ1KdjxXJwabEW+KcNlNm5CfjhTn/hCrg6+LfvqZZ9sfQ2INJBmbNCyjuP9
POqXC38M17OXurtM8/BpGYyxh40z00zNwAJPaTb8zJLU2mUasePlTnqF4TiSD7QbWhAzMZO9M5Pp
wEHBXlGlmpx53rTs3NGWm4qoCidvCb11HLd0u756hC+aEQoKN6mTOeB8uL5/Tfw0Wnd5etE4NZ3c
4kF69nzbCi17KgXcCaMh/Wxi34uwrTce5MJV65jZplRmkkWWairxfUyBceMp+nJhgBBzS+gbQlKI
WVjWZoooF8KeO2UGG7M+R5yhaeG+5Mz+RtK9tIO2EyZbv6PZHkoHRC8S9JnmmfaZiHKPsl1y0wZn
8a+Gy3nULpmloBc6Kwt6m9rHzddJ0daYpHkRLP1Cr58wHtOiCLd+x39XttLblQuAkSyjGbIqCJl3
WqrvRkKztA2r7zd06LW0QlYE410u5UXCX1QgwfKkfnsdS961rtGAEFXnYqbBr4BBV/nEntKlZePP
p5gsdonD4habPVUtdZdhU8bztihpgbITenNTwjmVZ5+znIklWeu7xM6e9LHdDVp3u2TjCNyBRQvq
rjGcs1M3tOR4B2jJidvuwrreO0P3HplhjB5eDWsWJ/iD5WhiUBFd3BVdmh/9eLwq+URXlUWEv6iI
JUTs5dhp/zA7JdyaGkK89zZVBpmmqjjrM7ywSEw7LIZfh7h/JwTBc/u/TwiHon5rk+f8J1MCP/fb
lCCQHHnKw4D6NXbOpP7blCBgEUDIcjkuqBTk5ykBCdMkmYk8yA9Sa8BZ4rcMpvGLw4aghy7PU4lK
AeufqJHU6303RTJtoIvbkBKgm5BL9/0fThJuTKRk0pr5NJl1LbYiA1Jwql14Uu86hfY2Ykyv95z/
zUR3lz0l75nkxohVvmHwyW5CgwyfxxrKvhUjGRKE/ld2eAHG++Ez8KrbLMyKqzkDYNQsjrGFyUDc
wtK7EyGx97j2OJPTTs28rAjWwwCzjz1s8HrSJcQh7OMydAW+Y94jCGZZOQcTHZtBmkbtRU2olPOm
f2RhIztntaNcd7Wct62N3tU3rNbngKECOFQkdXIS69Y4n2V2cvSqPjynSTzbZhrTDc9Aw0N9c3gY
ZKwDTr4brz8W8htUIAIfLhGliTNz41EcqlvaU875rnam8syNhzvh0JodFla1LhNE08iftYs2dV5l
iRTQVK7YAdx9X9L0qysT1oqsUWCqh0AUa9IQX9qih/fQxnTjmMSs4/StjxbjCWGMsuCcUN/o5M3a
7XKiCkSqCSv6pX/OfpXYOFLXzqx60o82BPhdAqNqFbWDc2xd99rLo/QWrfQg4/lOq+2SWwW8ft2r
rl2nSBEpWiiIukUooULnXTJXrCxdEtyfM+0o4kGh59vYpoSUBG2omxl8+1n0u6jQZh59C8/JFrOD
ZloDePppppAWtlYkGBXYt9MhMXi+Ri6PpgGNYBUPrgOL9MadRmd4wrCXsX8/lv5lwh5Ws6oWD3yE
z4cQXvqQJII4AUQ/Cj87GpW/pkJ1ubUYCab1v+ebj/i4ilP/97vXbVVWxfOf713qp367dxnqhEOd
KKFvoOJMSH/cuwwAf8y3nmOYXCHIHX+ccDx2cAwWnGlkwXTDy//j3uX9wv0GDp7FLZGzK/sv/8BJ
gVj03b0LFQSLg00fw8OxMT33o+Dp04GbSCAIVJLCl4ZJInlre0sbmKYzvLbsYo0W/Dq9CLO9FvaI
ccK/D3sml7CNm7Vtuy99kd+6hfRXYGTWAzgraCrJy6Dph25sjoBHFA0VKgmS2RoyXk+1mPiKVh/t
OqSX86JpDoxYAcDWS7PXDkSgTmC0V6KF7zyEJIDHGea123n7EqTrIhmVKCDppVMFlbZcZc4Qqur6
G8Psn3yahCGKl9f86QncSe1Oi5M2CEdgW02SbKMQMm76mCfzVxkpQclOb7qWjFSLNi8K+7zQyTaS
4t3NVWWc9NpS25y0kgvrfLHri7Eczr0u/Fb78jyBYW3MTnaNsI88X4YnicC3igztSbb2pvMM8dzO
FcAY6G9L196z4/Mtcqk9lrXZQIHLv0yu9m3AgA4gxu2zzDvNeQTojfcQ6tkJnthzl1bddgyzZAPm
hhp2o7F3pR0eQmBwq9YDAV+Hl90gv6KYsAboMox7za63UN/9oijh/bLvyeZvE3J+NZg6bbnsBynA
rS/+fer420HaSCvxTu89iC5eel0WOnUx5XT0uuUoO49i27B+TGLbDEajScG+IZR1TPJZ1j/aC3Fi
YOCrviveK689cViOjnEWXfixFa9Lcl+yA+kremPfhazadk10Z+TtQa9jFfft/TPpDMC2nfhbGbm3
UTjvaHSZmMSKs1kNXYOpvU1MYQvTmMNUxn+2L9WYZo2et6nU6Ban/VX5Mcwx1TnHSo14PilARw19
FLjEa5c5sBAwapkLnbGJg16NivwXWUhuNnXFPVpX4yRFYreC+TJlzrRmsfPV4FkzgXZqFO0r+q1L
ptNBjakN86qlBteF+ptZjbKQOr0gY7rFPWDMVQOvweRrMAFntgW/hvx3xmxsZfIsVcNy3M4X7KHu
dKbonrDtChvDnV/BLrYPMZWPZKj9woMkW7o3hipqYSu5LbRrvfabG0otinwn2I3sTZ0HMKtIgxG+
ZxEpSRvGZVwRZtMb98wtp/vOaV/6jENmXfHYiogpxtm1qPODRzQ1YKxa15MbpKY7rpNch+9I3TJF
8xZvrt40LunR/8feeW3HbUTb9lfOD8ADOZzHzoHNbubwgkFRJHIqpAK+/k60ji2Klq2h++xHm2qC
QAOFXXuvNZchY7wI0lyGvol9OHXGOQ2JDPB/tmgKuTLsAeOAzgtePrsghlVvuOOLZosTM9uMlIu8
CtdhomxzNpCIcJgEIeRW/E2c4d51yamRbjkbzHFnlM2DVolFaJGorjP37DI2TkZEXnpUJfMm0QHH
OeveQ3tbZnwh981kVJHtpGFll9luIwXqY5I7iyGrmUF4jxlj3FktwouuhMg5VpG3kpndzoik2XiV
emk03mvd81JH9z1IBxaeCSm0HA4Ekm97YYAs00mk0fue7xabv9Ju2lq8oj8/xtJd1LF5q0YBA4tB
4Ctz2GZZ+dJMeApVDP6V1LypIryxWv+tsmvuzi7bNl7gzmun22Cjl5DsrY1pZCdfHbt9yLYyjpAM
uxGBRWZ76J18LxGGUleRdhW4Twg18SO7G+hH6FvVtee0p8juHlS93PomUeKd6iyTOGX9k7mCC7e4
NiCIz6NRoN5nvhzEmymeoYy6S98eaRqT/KA3V77e7phrz2AKTVO9YTGO+sq2xdLAZ1EUdYc/MB9Z
hY2VZzV7NYe+jH5vTq1G/o/6hTxdfdbo7bMRwZjqoVNvNSc4TeDqMgiutNG98Fy8/iM6aPgVPS47
kIsFHoCkDOJlBq1iawRWSzaRPBmpskrS4aR77juJN6ucqPbabpY1/ZFVFFX5vKcuGpry1DjunYxa
cJqWBQ80sxi5xXr6mBAZtgjK7j2u2z1S2fu0zbdxU1yEHtJ3JnXX7agv9Ei8W8GwbFutvAwl2Xnx
eJdoOjTMLrlnBV7WuXUlFNIxAtV7Apn9ICu577MQEnmbOeRXuPNGC/c6quFQWsegD/bs81nGzWHr
V14MQtZH3bmx6zq5J+6nTxaakmsruN793EXFmapUclZCQkefkXNQhF8xkwPQ62Cu10J78cbxqInM
WFIuBBjltZUUGKJ9o3p3wOjMvSY5NBGVZzvInEI0eihi/VRk+rWZgP/qChOZVv0Kn37RqN6OzsKx
tuV21Fm/hAPvJ7fyOzko96UsbglHSAgNMhYoBsiTHPpjl2AzMEf3ZqRzgS0xbq9EE0dozZ14Y06e
ANvHfTPPNNSov4i/1H9s0J8bsISxqDjlcLjRE5q2Xh/Kk7pCBDIABj5qN9ns0Vp1J0z1s2zuvdxe
s/3ZRcti3myiC2vdL8JNsQrpfm3iQ7j+r8A9F7jTXvZfClwAg4voLfgJxGf64J81Lptwttl025HM
nIU/32tczQE9aE0SPtqvNlvA7zUu1S//XMch+Rd68Pv+HFghbSBPZdCM1ui3ID6M836ocaf9Ocpl
RIQGRTOtAPXT/jyK4xDkfmMcEGzSILKSqiG/prWtZKJI9yVYjm50pjarWuoYbID/37QFad9hDgKt
jZ2XJMznRkPiq1o9x06qaadeq5HqxOdtVz3twGhBj7vAmLZlWHH0W+O8WdNqlQgab9rDZb7h75LB
VqkMkiTWbiLHSyktgzGtAeEEdn/gZSOsK8iE687O0zcfq8iiyKMWYp/ptvFajSnpvIo3w3VTDc3W
THWgfOMYJuPSV4f2mewYsnKcKlT3euv5e1FVNIZz/JfLUHrVXFQkoeAyj/ZWM5gXvj+WFMKe7720
dR56M7PyexqiJk98koftic3wCxrMZywRr7GNsYmWCq9923orGzg8XqE1dBgq8ytKA/bBGECqALbD
qFqrJlHa594ObLa2ahRNQ3GNzWxPHhrGqAcNvczCI3LhVfLu2tRGDvgEqciFkujZJtGEcwlJmlWq
LKu1OdXJgkgY3oG5nEb/KE8FFZXX+Qe+XMDVDe/TvvYXbpPt3daja+8L5wBZctwmJlF6EbB9uP7h
mjoim4mAVc6gmUyYFDQOB1INW+w31wyVtduNGxodRyOO7PXgk0ykkFk9IweC0DJTPpqh6S/AC3VM
C+mOavA+WlDjDa1y5AiymashkXQeuT0LgapyGSulflSDJLlResu4zm07f4tVU+yyKsofGLYLbJLV
1xwB17fV87+m4qRH/OdVa5sPP1mwps/8tWBZUE9RNrIe4CpkkfmwYLl/wJBUWS5UA0/A1Mv7c+zo
0IUEieHYDrt2D/jE9035ZOpm7oh2HRzh7zMuPgee2lMc6/Q3sC03GK/w93186xlhirmkcxoCxu1w
VRQpJrAiQwR2Nejd2CEk8kJ/tJdm2KkhtJSOHEyLbZYGPUUf8GibQ2SkexaKajhCreI2xNPbWwJu
k7QrYqqtNDSIREGWRcPKTCPyIhQ/7vSF4ntF/jwKuzVPTtt6Il84atmZewY9fS0BN1Zx/eKMjRhH
qlDfITFUStF5NQq6kN1TXXqHsFIxQkm8K4RgmndVQUyLC3qmaouEGMEkRhNY9d0+You80t0ov3TS
pL0moqP/ouaWVQIHC4MvPBpylWLpuYjspECDVviXscJuClBUuGFkzGPp9sZwpeFE3NZt0R8o/Huc
212zEH75XvQuyZfYO8SLG4F3SBtTb+ehb7HW0OW/ZcyX8bjm1qs7pt66C9Me6R7BADB91ikBmNcE
VuJNMgKst60qTRw1kCssyjtIYSobOBhqq4QohJVZavhH6hp4GNMdYn7GrtlUVPTxTJv2HZ4X6s/G
WI6ncBypCRO91b8QOWhhnsMOPICZeDQY5RHSqusnIniCxehm7bFtk1cuab6tPFu70epITTHSgA03
+8ibQQwNLwfSaBbBYEWXFrTbtefhj45Hz71kr2NtsipHSjQQ4RMCzHiFWZteABOq79usaFc19Sk2
ukhnKqMRMWqH7GwHz0cPKSv7CiUf1XZlMdKKjHLRtGqxZ7Tb7alld/6AKXZwFXdVWYN8780w3bhl
FuxkEcGVBYKqHBgUqbxkaxIPioF8xKahs1oNbr4ug1Zbm1DaZtISSC9G3fN3qVDse/SID1Dq9Atd
ccsjf76/UqBWHupCn3iSQj0OYwjdnuiXbRDloJ1gn6GTK4frUOD+7uq+Wg5Ry6ymG/1VXdV1sPiv
HvxWD1Kg/fPKOgGnL9qo/p/jl4ispL93PicBxV+LLEFbjk7d7k2irvNy+efUBsYQvEcVmbjH+sbg
5Psiy0rq8Rk6m6zAFI0fFlnzD7gZfAwtxv/Vkr/T+fxUE1KTTiMgOp/8PrCtU1/0w8ZC0O6sDdsJ
kJ/isNT3kRn+Qltk2p96qwzvaanyi8hIYULFSf14jAxgm1emg7zE+b6lnKLxgPFQrJxMMioiOpbB
71CvxwkcaCslfVKtca0bHbxFQSHj2QdHOF69zQO/OrRCcat51hp2dbBtRZVLs25pkqilBm+67tVl
UfZquUnCLFvinFPXUlbjWuAGRgWCrA/pRrWsix66vw0bNu/sU+zkwbpMMnXREi2xjpQgxQFIPIGy
zjPcSze5GMN3MlS6lfHNe+fWqrL0vnnyvJT/WmqlCfk6PBv34BZi4isrWV01BKyKqCLyXdGYaMjw
0Sg1tuGhAM6MZTXBRG901Rrj0kXf2trMaZTLNuzurcS4JV3iRuCoDvLu3rZoZbo2k+ckMi8QXy8D
s7rAub7VgiDZaqKFxiTtfY+i3VXpmDGyX6uRVEFfRLgehx2M3qcyjnH1p3RnJiySiOx44+XhRSvV
L6Q5DXRdiBwx0dbM3FQj97dIF4PnLQco07PGg3cW0KBZNVLSgjX8cV8N5b7zlbXMkk2jRMGa/Cax
iAw0IiNNsz46ZBR7S9+AhBGE5Xocxdan5RBaVbqO2XAvAiXZirEAcwBaMK8lLP8wuyE2aB8aCJ+V
QbVfhy6poVeQXsEOeSVLblXSOZYIjAnCRUOedf5WlhXNZ9grWkxbOKEORubWxbMgtm4scwC6KU2Q
B3lOhLLvkfrtg3BTh+ZQ2Z3CoA2+QoJVvUjVN4I5v9IId9eQr7O94WWT4JdZ31WZu7yxpRlZDPKY
MzqasvPYwqzpEL/SfSTaTrlsNOeuoX5OQ9+mcSAQVZLLaWgXY+ZedXm+8mLSx4W/nLygmd2TeJLq
a7dv6BsaXHgrdza12j1oI93s0goWyC2eR7s7FCr+94g8EytVTyO/tNMAK0/wTFNbt6Xyotfam6LI
bWGOFwZJjJ5zD4SqcMcdRm93ZcXBUjjWXTVqCDDll44tEortBuJ3cmHpwynwsU4YaKBRnHhPJK8h
WaIrKnrtAgQeiWrmsUKDQpzbPByRW1hjtXJC5daV9Z2ZdAg2wDJYIbLpDlUGyhWExx0gkCLZ0ttg
ytdp96US3tJvvVPKYjbm/coJynfdkbvKU3YStQ5yLXvHZm2dIoKdEYRNWJEGFrw1m2uzj3ec394i
p8RoFYzERgqzvGBeoxslSh5TJhupZPoTBY/zWBMKKgjGGfw7xqLJtaRIm0kJNJV4ETGDuxIuKmUC
KEwirpDsTdp/0L96HguapNQRBPTBZElF59fztrSnJ4wuDV1Cr+mWbuW7X6BOBjRp7Xul1u1lV9uX
fkgUqJ+WHVwYj4i9EMlNNyCEpkKAj6lb142qkq5T9dUi6Ep3pmnxHmv9TVYmkDN6xuNdWQerxDMf
bRuaio3DplXGhTP5SFxYHgcfRthSjjRIE7v4YgYxhDWwqjxyAOtN6xYgG53eeEjWwRBcwE8bybjx
r7Azf2mlN499ohNjAkZ9Rb3xbb5lo3yu2wRPQ7zp4ubdEf0xtcaYUVHI9rBPn1DVreBtPBe0OIHB
go3V2D36ZM4x9MiJnwZuUfskFRKbBDRjGVf6V6Yxcl1W5Ebn3ROsWdAUDbCZqH2uG3NVCr7mpAcz
6jwwr7+32vzB0ghC8WR8I9PhIvf6TVMx4Ff6+CEIh23U84hKeej8jLGxn7N+2tdNMx6t2n6SoXVZ
xObcNbuHntGd1tMTcyBBdSYYU0k8Fd/GMieoiWKwnnmxvTZjHAYS+wFyrGgb1JLegJGjL7PsG23k
W6tTkP9B7txWXbRrIOLOqTqJlwr3lV8QtxXlJyAhzaaIgwdrqBDxqWJj0Z9kuSE3SoJz4eyz0LmA
I7QRSbDTGuvJKxkBjsW8dBNQmO6Gio5y2c/ormNkcpWF1UebFsANuwT/RW2SHdd6EY1IyDzd25nt
cFVjPWIqXu9iVdkIy372AeqQSTszm+7GB0vEDHZcIWkrYIOGJ9WU777aWwBt8mfVnMRZY3TwrJSJ
WHWb5Q254Hmx6YKu2rheNoApIUhZ10HLRM82gkcVCxhD96Kh+6xqjP7N/oSqnLEGjCDyasUjkvpg
pajuUZ0E8X1eVfuanjfNAJmtLNt+jVL8T5UaKI99aXO/jJMtl4THmQEW9KukbbvQjSyEoDnohz6s
/fcP9dlPHNVTf/SDwJkSxGPypDNiRirroon9sQTREovortxXLuMYRsl94n0xrW+90Vf5v8Fb8f9x
CCq2j5XUwF1sJy2HUCvwJ86xLY+4Zv79NH5sA5+N25yGrdJLhHbG1PzHY+h6OzBljoKjCprZdY5j
A9PhVlG+lfX/eCoM4/92tRi262cvrel89rcHRQwTLemCY8vOpmJaW8M1Uao79sJ9B2KlBu1i/Zfv
+y3LcDIj//NW4vAmXt++/n0HMX3qzx2Ejmt06injNXWxajj86MMOAn0E7RjiYjSbuPTvOwjnDxvD
KphxT7Pxh06Kiz/7yvYfqKIMB0G3gbFzau78xg5C//twwqWJpKNWdYCbQl2Y2jgf9hCGokPTqZLk
qKlmI3ZeE0ERjsDmKIAaE6dfZrbIhjlhLRUtimTR6hkQz2wjt1vCLNZ5frbJzeLGvQ8HfFIM5G7p
bou9KqFLPvq4E0CIIvgFu6vPwZoe0YBBbIqzZlPqFiGyfXZdJMNRKmnH1Ft/8dmQzS2R7Et1POU2
8XGOL+6ZHq6x8IzMSOX9qPZf7dK5JrOKX0BHYhNI5ioAQDZm7V1hiXjvCggwWZxNuDrVxurRJIQQ
ZicaIuO8oXacku6ObuFfka+Yz+wJZh7YI4kiwoViRw2UJcRy84ZFVyVnfUG6dxczbSqKqlt6lhlv
4FenS084VKuFby+zKnxsacsvcjAr6wC922xEmbYywjwlUMeg5untJtywQAYqw0bY0DP66wPvMSXd
EI4+TW1ja11rWrpHsB9cO40jH+xOBLOCIpDMmcg6Rq4OvVWLtEuSyHG2mvoJSimSsxr/nF05zRr7
Xr0Ki4w1vss4tB672KuqZpPrxrhADU3aHqSXWYOxkdeQJvIr8t+NvVsKKtjMG5Bb1OCkop3pKLa2
9UiSSVb6hJYanET7olHpLlqS6JwqZkoFhBmBKQhXiuoQ+fBkqVqpVgYHzYMUKydEuCGSt7RoH5Ac
XBSqGiwyp1+nTcLo1LIOwlMOYKq4kbJoYZWEF4Ww9nXxpCvJRdxH02Q3uzWCEAJa6L6aZXXSA+cy
zyTCjLBxkpMVD1DQkOEbFJJWGI8HwB8UGbQUkxLAo2GyyUiGcNtmPoF8fpFDUNXdZTYGr6Pso5mv
Mj8uvQk5jqp4ZrGvmuOCeLVUfA2QSpK51BvK2VAuW62ZUtbv8JbKBQkd1iLqOvh8A+IUjA2XKBaz
Bf7pYoPVgtRHIJYy4l+iOZ+Fmrd0gI3PExUZXmrB8XVH8uSHMOoWqlRJj2IPnEBKnw1lAtFabfYw
sch4ttjURlN6kUqMkT3lGflDcYMKiRp6yjry89qZVYgrCQ/AXIBgalYTjpT5wVfwYBOMK503U35S
PAUpTYlKQ6cvNZWMpXZKWyo0du75lMDkTuX/lMmUq6LBqwFCDTRSUFDURLFTJLt8Cm86L5v/Nfmn
lsy/vT/yr8VrlP+kCTV98K9XiP4HWiuDILNvejl+9NcrxPxDPdMD4Cyrpv7hFXKmFfDeoQlvE1ho
/pgvQpv/L77Bb7w+6AL9WG0gvbMYAjKBcG3eYp72qahx2H25mR4oR40brG0icjrN8Q3aGfoVK0XR
g7TH0uKVOIt9gD6Ja29SAOnOFIqOYQZlUHAWCXmI7BdtrYkH/ywishS3oZVLcQ1X01zDJUXBr7vj
OqgpU2vTM9cwtgXrNUp/ilC57ErFWwlsAHRw1NegwhlQ6bJcFZNboEfZR1sFB0FT8G+NyVXQJrp4
Ls9Og8lzMGLc2/W5s4tjEAA9xgQ43FCdsCq0evsFGII66yYXQzr5GVKMDS4Gh2FyOmTMyELP7C7d
yQWRCXbr3uSMEAO2nGFyS4hEQhuYdEAD5mF4k+NMn9wVo9Ev9EbWp7jOjYkjnz51kxtD0x4ik9RY
1t7LCALmgjrhKgbHOcPPdRjUGIABAUNA61/rqIcUC1zWbNJm5k5OEGfyhEAziHb52ScyOUaSgU5X
fbaRsIXuZ+7kLWETO+328ZsAFgB0jwUFeYkxbwCtVnT2ZwkKjqtxcqzktZlcSUwsxeRm8SZfC5tQ
PpSMY7SijsVfNTcIypjFkxlGTLaY8eyQkdJEY3T2zcQhGXHgvkr/hrW1XHdnmjQ3dr7NRdetsxpH
i28r7iEyGdXQt/IJTeXD+UFjT3WlteFTGrL5C3P7JRCZNesRRC+hbDwlWhOQHVG+qygH540SXKQ+
bFM3Bs+nJhOFJXsPR4tGTYDoBhvRPCMVk2XeRX6SJxTJnb0VHYIz3SJDoQO+FsaYQPQsW5s0JNee
cOeatAgqMYeejIGoRewCEFZvadKJrtfNQwcVdkf9jY/JSI2TdeZtCHVACc+IwJjrNWOOkp7Fhag8
OpbcaMeugAYgKqva2yYvcqUo1gX8CRznY7tmjPacds6iUSUZEvitdr0kQC/tAm1lmb57iUNvpWTe
V6LjgcNnV0Xb3vmKcahLR29nulJeDko0bHWb9Z1FfKNY7D4y3ie3KqkqS9d9a+jKRKlD99i5GMKC
N1Qcris5LG2qLc756A75hZVlz2On7C1CSbPQDeZRa/mH3C3rRUYA/aoNgxvqvwBMSLoVcbdJKr4k
N3R25ZQHrcSOP9MT9yVoe55AOzrKrkCglaOoVJouY6hezTU73ZJ+unSFeMmES82VaNhn3m0nYmnJ
VmKERpxUc7WrCQPVVWjCCGYIZHAY7Xk9SdkazPiwsVCoyvTOTREEm+0dUjKXm9Qr7KMPR23nu+N7
WWnX1thuHbzmBr1m2h0GQzTaU0qCLLB7CW1jbYtuWQcB3n/LPdVJfu0W+lcv4RnOUuOt8YZrU4Ee
TOLGYaBJrCTmvOQ7zuIWUxyigoC86W5Uyxn0/ddxGG776X7Ukngr2vAEafiYgevAHYgattg4GdBl
Gqrz1FKvslxeDtUw18dhm/tw/wByhqOyhmOwAXw6z0oAILVcKZYqWYmiV9ttiVorNwo+tSR0lkNZ
QLdV3WWuFmumqvEsboOT3mCb6oKNVN1FVigXXTeshjR6qVpQRYmE/Ze9s7Gc+0JbkMw+95v0TaRv
hd9ey8bhjlQ3tHQh8OWPVuUs6pFRn8kxGkHfWT/iUrmpG3tlkpNmBfLalN5tGiNQ81L0pEWvrjOE
Aig1uAN9hcGfuqJn8T5U0SUr3Ioog3kdgrp0MfQFdbg1tGGDt/lR1ZrdaLk3tl0+umF9PWUWthlq
g/KtUrHWkyoJuTNa4bpY1QjmCCRZhvAKAoO4IgwVRWdc6372rkHs1gVNdTwlpapuFK/buLWyUsP0
Jobq3VjaneAvdaARzGzQlr7ClFBtVzyKl7XnrjSj3qHI44DVkj6dnMu8XhQV/SzT1F/7tnjkV5kr
CXx8qM2SIAU05uQ2zZlnv9R5Pc9dZY+VYzsqzrIY4P52AKlCbBQzOo/V3AsH2rq2s9ab7iFr8+cG
s+lQOgTnwWFAszEvGrHJXTLEZUYP1vLWzIkfe6E+FCK+LhRtPYknI7/l2nnLIG82TmNxdzrrzuqu
8iLdlwR4d0p7k0bOxpX+0Z+iIkxIo75GxBzJU3kLEwLRIk6PLQ8Ygj73KiYjCj/gU2kzUhBqO0fR
eAfW8aoW9TGvrWusk+qMufJNS/p2V1Jfi3HS5KUXqRUw5axUeKzBQUwL1Vg8Dkmz14W1LimFWxSE
sdGjfJmKHgIMy/xOlMNO04u9opvhUfFVn4yiKL2pka7MR73ZwQckYBStLNZiRYm/hoF9FzeZs9XR
8LCJbJ5MC/sgWHhoxssk0r7aGcnZTfWYiHBL++vIegt/VSRrDQm/NZJwpaVOMh9V7Sm06nLlGclt
JhrG/TJZI/g/xYkbY2QEr1igHdVdZ+MnNgJRBVAyHcGOqENQsaRKDPoUYEGER36SgQ0HXe5kPnwt
lXKpwCZv0C8wCkeQ66OjjTsH1Sat/VDJ5woVQtK08yzlJYH7edMp7teus1a0LtdIKVaAUpZ5gWQL
558kVWZEBJzvhybYi8a6LYgoxyJLRAXMpCZKyCLrlR2JUdzrBDOytxNasU2V5jAq/VMtytfWFcsg
xqbgp7RmTRB/2Aec32PgnStEehlk3aFF8Uih+7HB0PRCMN7KlSNU0wgVc5Fco93+xZxyEpN8aBH+
30HsCbVnUtqeuxwfuhiRkqk23DflKN0vol/37ZMsME4yXPrVRPRnBa/BqPHPI32StRQ+SQWjz5F0
gFkmqmAH0NW4Lez7uH2OCnv+YUPw68bktxPjaaI5YmoaHZofr57uwir00yI4dcpz0+4rcvDS138/
xM/OiGqZYpnDGKb96RAAoSVa9zI8QXWK+3U7DMuUqIMsWEcIP/TmF3iUT93c6YwA8LFpYTKNl+hz
N7fL7Vof1CY6RUjmI4Os4Wl8+4tzmvq1n+6HHw4y/fzD/VD7SkOyJgcBwDprxEXshYt/v2q/Oo3p
5x+O0DVj0wls3idRHuwebVBx6zvRLw7yqZf7t2v16aspkyEpu6yOTlIhvcaaexFJXExAnCey1Oz6
qLf1L474s9NC/DKplIHmIXb98bSSyM2iPNaik1Nd0fKf47BwfrOffz4rlEW2adPVB2Dz6dL5lqHY
bidiPC8h7UUEBMW8T+/+/fv52aXDOUsjDqWSo3ufDoIi33GiiCa+KJ9yoiHYKcYTaJiAtXZvduQC
+lf/fsTpnvp8z3084qcvK8SNKUptiE+qVAjteQD78YvFYCKTfDjEBA20NAdyIVFUJoKMabv/8aar
CzNMQqllp/hCbOGczdsDItGldRVeW3MYcCuYTqt/P6sfDzl567iCH67jp0MizstkU3bxqbPrmU4r
SPdYFIrNvx/l59eO8YjKm9OyrU/flj3SH28yNT5hNpjr2t51m19cu+nqf/52TG262xgnEWjz6cYu
az3SBggAJwaks8HVqTafIzNAYhD/4lx+dsU+Hsn48UtiR1wIzbHjk2a9he6V5d9U4y+Wt58fguCd
CcNskxPy4yEiLYGDTuzmKc+PFrhvibhDb+1fvFR/9ghxs/11lE9ffSI65uroU05R8poqG99QllMi
R9LOk+akkDVq/eI7+ttp6chYkbafxVGaaX4qFRDPOYR5Femp6daVQHi9rMbr37zRPh2CXtrHJygH
/2fYYZWe+hFPixLQl7V+cdn+di+fD4FUn9mbhnrq01nEUqI5Yad1qtNXZdySGvKLA/ztVuYAqHQt
nhMab7o1vdA/vHpYOp1eIzDkRJ2XtdYcGRFs+lnuvZ2v1X9d2alL+c9d2f2b+Em84PSZPxuyGEJs
SkDejw6Um7O++q+GrPoH4G8NlAJqJioc/ftMb1IF4vQBcnYeBH6c6ZlIr5HyqUw7YIbTrf2dmd4Z
MPx9qcOQ4kGeo9SmWuQOZBf94/3haGWgauHYXDo1opmEaFZsl6GeLuh5epBi3BcmUP2qKi28usMY
m8ouq9128BZOpMdPka61/jH0i7baUm2UGQDDmLFEqVitcyqBaPanvC8vSyOJbhU6VR5EWVozcT3W
wAbC+NlAgHI15LCHyPJC0B0gLPAHdk5owHVzDFfNWc5aWfgftqavZCS/ao2T1k+oCGKGiJJYUTku
jNauo3ql5zLSdtlZzBeMOKPhv/oxIMxJ7+cZAemDkwZQdo29EJM2UEmGatlXvgbtxdaW/aQhVBNb
3I9d2GqbBAT8uDTOysNB90a5TM+KxNLxFbLxzFKpsfeO9qEd6pDsLr2wbyI8hAxInBKV46R31Mow
aW4SIyXf2DbL9ChxAOvryuG/h6AuHsfe5EVZkv0a06MOC2dbpXC4lv89omcNr8XC/M+P6C28XCKM
/j55nz7251MKtYAqiVGVOU1G7B9CQI0/zmqSs82Bt9B3+DOPLNUBme3f7BHfx+7eH/x/NOmgWCzk
u1DUfmNu4qjTe+aHZ5QGBEmjKnmiPKewV358RhWGl3ZV1dkpR3uKLPzcQx7aSKWhbJy7y1J2pEWm
TvladfReizFcMwO/MfEXkUH+ZejwQ5VtQJ8941GOcpRQkKta07lUG62C7dmmAAQAHoOO7WjHDQjt
kMHRaAouFcVP5h2vd/RkxbEemq+KnUxjz/4rd3+xDAs0c2RyMLCI9pIU8BlE84PC4FWoBYRVnvfL
sEHc1vj8DDrIV6VgPCNaMSVGwVZMhjWV3hdFaquwb+jOyWDj4AXJxwR9ZxL6oKv6p95V7tJmwAyQ
aDeG1TwG2PPWHmp82FCGfQwopZbs85pZayWCtSp4gaVbrGHedzMSRK+iSD8WJgmo4ajfoF+uZmEb
XTGn2WWq9WY22Zqw0pfajPamPiRzQcKMdPW9IDRY1bxNporH1oi2hZxSx5LgsajtRy/+YvSki5jG
a+15r0Kvj2KMHqxCviYmElJAGOOC9NmTwh8LlqvfZGGkMDUBsjwqhIsOSXRDvPUlqs7L0ah8rA6U
Z4OeIrok0mobA/Sd4XShS62ap6kfv69YkGckhDvzQGr7OLSDday09qoKUnworbp0a3ln18oOs4eY
+ls7t0Aey6DjWA6mNx8SeHeizPX1AC4V5Swg3slNXA6pu06cUCxiNeuWdudDmG4ZY2kpP3UGnUSp
/t53HWLF2pOttke1wHmjKF61FmbO0BseDq4vrL0ByLYGshhuBxRSqthmiiXmQleI1bEMf94X3R66
JxDxEZxxI77Eiri2O+sEp2IbxDjEbT1Gt1eg5zQ33kRVS0b7rokrRtrBfV00b+xK4fGOCAGs1jYZ
tXnhym3HxzwmGizQyx3l4YPSsudN6/5O8Wh18dF0OaLFXhpdcjMo+rCkOYTxQyves5p4jKgoD+bg
HROT+VgzSH3mFj2S6a5fSlcWR6fPAp4V4dIpjGh8J96mb9p2lhhCvjR+GS/UuvQXhmD0biTxQ5sQ
Ih3dGc2k1IbWseRZW5hm187dBu0Fs/F8ZvWi3EhN98mUIDus7A8mOWCLLI6MxagoV0jlw+WQV8hC
9ewyyvV8xmQHyrZhIHkNxmkc8JLISp3utRvT2BGWlahoNpVAXBdOvTQGSZwgXX7XLO5V23mnoOZd
45jvYlSfvNq7QGJ2WZJSr4OdmpGOFi5twuhnQ1Zdh239ksJfBHW9dYsRUaKHhVpDa869F89ckiOF
O7zrtXgOlHbfF81VWioHsiyTFXChxUhCNynvuKjULkHwPE2q2mRKaQqhIDbNe0n+7SyFardIpfMS
UchjYVNndaEkbBwlZMjetXcA8ONZzZAX1rH5yKqLemUQACJT+7WBtDnToFMuWJD3BCNJhr4tKtax
2zU+sEVdBNd2KF9gDIC3MBMsNVWdLsug0ea1CdiSrkIF+GTSMN40VoWlnjSfVIKoqhKUIgjJBQ9d
wSPh2ocUxcyykP5lkRL/Zba+nDtKcIOYg1Gnd+P55saQgzu388kmOaTXkNkug0CrVkHjpo+iB4Lo
992Fojr6vE2nB9uKHxzbYH7d9cn/Y+88muNG1iz6VybeHoqEBxazmALKV9EbiRsESZHwHkiYXz8H
VOi1pHbR+95MTDQfrYDMz9x77oZj1UA8HL2MRclG3Ig3cigOHOg3k1HKXU2H7XMBXFeGJJN8GaAj
JdtGABkYK+vA7yxmS05xQJNuwKvOTm0kr2OTYHMtQchL3hh79EZdF2HG50p5a1qJA4ywf2mJjly5
VcPurdAiAsFq1PKz8k4Fy30RNfEWMtM1VsQXAOHhqs7QMhm5o7DgIB+YIJsCQaS7xBWDlnXywOsc
lKr5NFpsodnCR5hG/JIz26wKsUli0W3Ybrz0Lvb9igdpCIoN42lClfknX3HdEZaqo87toD9u0L3x
NyW2b6/rw84NDVIbI4MkuNJEL2XIe5Yh1wN3IsIVp+QP0yasjAA7ZvgKUDIvYrSE/0aOXXyqlHnw
kU+dJ0UvETfbAz5n6JpKat1jE942jODN0rxKwuptVPlyrZEg0WZbMDQ4Oay+OCHarBHgzGfufyi6
hC5jutl3WcVya9J6tLKi/FxnSbZv5/qeLXztZ4X+qEzGJW7gr0OdbYgru+eyF0fQkkh+HXffovfE
rXvnzumO9CRg8Kj38eGVpFEa6MtMGI/Uk0TjASUBuyN9zbZf47FUfLjqMFnLat5MpXOjBnm9hlNp
EBU5FuuqQlsksz7Yi2Z6thQehi6S2gYIz91Y2HgKA+UAzPsZBqEfYm9YjUm1LWs4ChSxV2WKFLR0
RbjG2fJK9qixQbzxxRAxW77auhK99VAaFgzCbNzNof6eiMHmjAW0gBExWjtjQR6mjcq/s9p0JRiK
rxkbdis1nlwAb+oXq5UXrgH3Z8Zbs2oUTu1o0kMftfngWUryLArtnMaAM7o4SDwyHI6xhK+PCHE7
zcQ79Drpe71Id0mIMzl2kDGLDsdzrQWFVyYNSRSuw+ZHGVeEnDUbSXXtlbmUfsnqr0zp7yfFegS9
oq5IajO9vFbuoma4b1y01UUMmXHITghOQKX1jJso2olCIzSgs+waE0AHXJU8gVy49wYBA2GGykpf
MgfySulhjPM+6cCgxhAoo0ZEgULlxAtJasGgEeGK1HDUuM+XXANBwEFticFDv/42VJL0JOvdEsCd
SKRDTEY6Alaid3vJS9Ay7VUSoOByk4PlNV9baW/hzTV+QdhCUJCI5s5M6kcrfQzznLy2EZq8Q0hD
ouSI/l8QnJ0oDIyVYyiQLvvkUJmN6lXkdl9ocQnOAw+4QwhEqJhsoYbkTm2cYlURFGHnIGk0iL+G
OzyO1Fzob2ZcAuzz1nVH0sRkghPKl/SJesmhcJZECphCR4eICsfBp5MuqRW8d++ElYEkQp+2DlN9
I2T/uZILk7VRAcKSfsGzcNatuFsXJv1Rn1a31pKVYdrI18slPwMc4XlcEjUayzioTvcKZgfEFaEb
9ZK+kffifs7iwzhld9qSzzFgsCht8SLlvBhq0dIQ0jv4JbEeFfEexZLzIaa24zgk+6OzkjeX2jiS
VrSqiAeZ8+YwL3khYTPviVL7DHDB78gUqZZwkZYqz045+qIleCRyBxuvEWEkNakkgnQSHKc1Z/D4
Rc+p+ZYQkxhKV4+oJSDdJEqL54C0k6TrLw3ST8jhVP0QLhCxxtyUer1jQYvoUV2PZo5xty5vR7JU
KoPEJbJVasai3ZK1wgAT1wxOB1JY4kaeGmh9PWkUCAakdmgTdfLqj/SWrJitz9NHpkutgIC5JsMJ
58LkWF5vIlD5twf96EFVmrI/70GP7Kfa33egyyd970DVxT1q4P9UKVZ+NyfS0aBacPUsJqy/9aC6
9clgPuTYKOrQ1C2zoP9Kv5kgLRJyG6A4UG8M4f+oB/15vLuMiYCJOGwRBDs/nX7m5xZUDfSO9ZJt
XiAs0Zt7zY2yvPCKKVepLZWeUOSEofm5dVICSokJqrdUlddCIZ9N6FlOh4HqzutsgVWOR6ut93nZ
IDC2pW7SsLUMdfDGHAY9G0BTZ+WcXpd5+lih97bU6IkCsSPdRL8AU0sJXbCPnxc5a1hHL6UdcRBx
Q+BVdxHQCfq2DqZSkaQeVpvJH/T2NlKDz8smPTqWIpknP4vycHwgDZdDO+5nFA9NWpU+ejNq67JH
qns2lMnaTVGyi5d4dy0g6F0ske/BEv6uJfNTuMTBdxaVjloVuHCIqSnJjK8TZQffAvAxafJiiZXP
loD52cjvYxLntTPpYucSucGo2/x5lmD6IAvuVJLq81LA5pbbZL5WybEfWAxhO1sbBQKw878v4rcX
kQn3n7+I5+evb83zH7yJfNYPbyI62SX6TUOmyhv3g4RWfIJ8C0SD+AQNfwQf+g2Wga7GdRwwPkzz
mdD+9iriwuCdQZLLlBeq0z9j9Bu/uKx5Fx0m+YR0AcWkSXZ+3cErgt2U1qkhCrV8Y080UF27KMSn
BrRb9lilINDGzvXneDrYMAuwNodnFPVLifpmKLL2BpdFgD7A27Wz4wh0dzUzsinY30HqosaPY0yN
jHOIvcoehItUJIgxBxvoR9WeNrdz+ouup+NQ5RcrQyuVpIRREYAdh9GT5Wa+IofwodF6sSuC9Bjm
Q+DZwVKvdmq56fv4okSFsQpV7Uuf2YVfx8a4ontp/UGxkER1wbsc2jdGwxaqUBwZTpmA5G3i2zKN
rseweMbU8aCgAVu5Vig91CzzOlXMg2kppt9bEX8B5FGo2ssXx0xeI7tB6o8YrRn4FfumTddtpV4p
GfY3lEaUzUc6et47nNN+G2t4BNjMFvpIYHrWeYNDUZkhWNsyvYWb2A6vQZtA11B7nJmRk21m8H1+
JpI7RHJXnCdM3URX8ytl9okgrds2D/w8V6/bYmg2SWbkvuLOxyhzD1E3HqsyEp6NGQ5RrtyHarWo
L0Es8u6Xq7I3lY0St47vRmK+b9MSil9p9mQw2eTHVp1+YLafbNx0/KrIaTqEMkJYXWCcaPPE2eoM
zmh29ZNVq/vacCqg4UFwPSmLGafu3A16UwHiMEdGp8SWV/RFdF1aCrpS4hBie1Mm9RMOvnnbhjoV
SBUtkcCoF6rK2NicTAzl5bSzimDThTW5U3ZB8GOYv3YEKXqqbYcrwCL5OivG0R/z4Cmzh70VooSI
02ry+aKTDxGFhrAYfXiA6zhQu/Wi/DhoWn2TBmCVbU2OfjLidMBgaV6I1tB3jTblXtjPr30j9FXV
9i6+GQLCk7RYUKqljYBIk/48OWdiAFzfGa23ppLkNbnqRTFAd9U7HmW8OSP23DjbVCFtu6pYt0Wk
P0kbX3+ctzxDjp3tunZEbhgOt8oUtPsgml5RMBWrIec6I8kCun8veYxdG6QhsQq1kRk7JTe/4AB/
QU68tZFrrbWxPSs5YaghYANmYwUi8vplchEX24ONRLJoXeuaRIeOInamImBuacKdG5spX+nDWzZF
jyPy9w3a2NLL+l5Q84+bSe/0K0ZTX4YCgS16eHUVtB0WZ3N6QFTWeVYAMn5k7OgMbuqXJdhHYI04
tnrETxkXb4wED68+nTfaOBBaCB5qJ8J1bRZ3GPYvG6tiCkbQal8W73FXE4UW7QvNOUoH2jTxxgC5
tlqaHyIlOosEvVo5JUz/st7Y541xI0qmvypfdwMc8ujo6eCBEN+TtaatrZQf3A137WAchSLerc7e
QMRdjibahSCfDqUyPWuoolc1rlokdrQ68SStA47cjTOGY9B7id11j0VYy3IzRpUxE1DXlLf60LcP
5TgOX8ZAwyhtiVY2O1iN5lOYluaha+ELXGXwMJx9VyvGUxBaGngtpHHb3E07H6DYoxoZ1tocmT6A
qM7WweLlMuiI18Pi7xp47tbm4vniKfzSwx2YAZPDPySrfPGH2YtTbIhJo3YxjzlwDccCHxK5PkuQ
d36VWWF63y+es7yKOZ5S5Ok9hrSwsa8bixgTZTA3E3u1HemHmWdX9o3udl/zST7Ui7+Nt3jrYHib
3R7yJhY4l/F1n06mV1XiGVwquVbFABEpv1HhRXhdF7S7OlOIsv0w1wnNm3BWMSxEI1iEg5rui1KT
HFzFs13KiAEpQj/bik9xmrxozsBpML6MtrYpAEKsZsdEQ2rwHmaM92wlvRPjqZClDyRiWTAU8zbu
460inUv89IyypuTd0iNyjbo93Slhalm8VonHWKkOWJtM1kw48uE2n3WodAGnX5Pn4abQcc9PIIFX
iRazyWPbNxForEuhevlQDivNqm/ixHT9rLFPAZuHshWxVw/UkiwI7upIuzAiNWexoWzMpiGZ0C4e
sNTDjKwvFGuZEQjrMXHkazJY0RZB+HGADbmSY4fEdH5kFE9jG19OZpl7WmcdqoDFSp9Um9hdhK/O
E3CXeKsLhjCWUgKmJOumgCDkmZPEp4Gi0rRvbTfVV6pmvFnSbTbDzGGrA2VI4IDiCQHGUEwjHWxz
MDo0832M8DFu7D2BnZzPpMmkEqKuEt+iEEeEjX615r9100mWykOq808tnHrd9GXHcSM3uRq+Ja67
M4dyXyp8NKicdwazX6tWPebav8DI/3xz9arUeH9eT56e2/btjxQAfNYP9SRWAdo3KjZEjD/tFuEC
Lf8ZQ60FF/0HBQDZsgyu0esg5KL303+sJ91PqEUsviLBT/R/MCb/wXoRjc6v60Us5pphmipSEWEY
7i8SEdm7I5AOa7ic6JTsdSQDOBO9DQ8XIXW0zrSF15wCAJgwO6QPaq/CzkC4EHf7ao7FapTWnJ5a
MvrmdYL1kVJsqIoS1VyB3ewV7A/jHSajwbxmvIsHCFDabrTU0H13Ra52t1PbMnUBDQBnMJjmmfe4
wueCi0FZluy1hQGq4nAceFHmkly2ld2zf1jjJWvmNUj5nCvP+cB1pQBSRMpEvJGhYd5nKqTojY07
C6ECXsXCMnASUybtRn3qk/dBd8ZNiGJfrMMQl/F6QXTuonQMD0rgZC9xUFi+y7mooKyf5FrJQLzJ
nMGni7iOZRQ+XVpH80WacNfmOSd8UUwMUM06NLbmFL1bg2Ks8sJ5J7nKWHV5CFKy4mOVkuCUlH2z
HSECH6Owao/OEpITxlwgBFdQNjUKDaTNfFZTu7Txc9IPVg2XJA0zuAx1isXOacA4xcFQPKvOQjOb
y/BQNUp2ZUwwIPE6uFunKt5Seza3mIxCjAHS2LJAQ9DeFkvxYidrw+yzq1QwwGR+T4IJmwVA9QOO
tZJ5p6O/Ra1S7uiQeSwkm8kcINGagbO9EpbyUqVBuLPmrPdIS2IV0TTv9hAE20qLcWPniaSqb0Lo
Kp3GJKzM2wO678TXlCg58zPTBpRWeUgHiU0oYY1lm2wx7GG6dt0Ayq1b5uu2j0wsIXlKvJSB16cH
Ql7MDT+mo3/OChjZYU3B0TSsjhjnLxbobOLEppDpSz3ZqplVX5PBSkxFOHTXNgOx1TypNfnBE/mo
cNYo4YU7rlv8VUz7x2o9qna/avOW6e5YpDsVuLeHkCTf/duGf2vDEQD+xbFZtv/zf0X4lr390VSM
T/3v2Yl6iiwJw+CUtJk78aHv6inV+YSyFbE7IjxOUPUH9RTgNA5VVBzfoWq/9eLah7CKYxVdrI1C
9h+Rdpm8/STMsJFhCTRTOp0/Z7hYPv6DuC6BWsT02E0u+nw9m/YqiLZG/fjDH+bqm8zjf4o+vypZ
iLb/+x/iPv/gu5C0Y1LxGyjhTf4GP36XOiBmz5zN5KIrkzjzS7Cz1DUN3UoAw2md6NhJSrLKTnbo
FOCLosTL5uAoiZO7IXngOoudrWZG8WkQgiw8VQFq5SD4yNRYeCKM9gOYhl5G51gySO7Vk5iH6xY8
Sz2XxxHTIZqwg0iIqcglm76ELR9jB46XoDenhTP7VWVZCuaeeXTSEaCRZf17jF5rxQljcWQFvetC
mgJeYCvuahopjw+DMufbYBhxKyp0WYmrsXXqZ26NtCvID9KMh0B37a2dmfqTlivtSmEms41FGlnr
qK+rDE9UnT6WpUo+rJOKaRe6VQAkTS9wn0ndubCmdiK6qufYGi0niladXunOw6zVFsngWrZtlBmg
rVoOZOl6IBaEXTPzzrspWInRVC4dKFFnvj4gdrgC6RIwXC4FN+lZPkEciCsWoRxMh3hHekB66CFI
Old8v1Z/MqfQbo/aVFINE+PNKr4xx6tIRXtZh5N7dBvLPhBCHX4Rlmo8ShsTtJPBYTa6grYJnAaK
CbJPSbBwuJEtFiWte1+Wjr6yUJ2tlV4YvlaNGNqIkGCWH057qZns0foeoQF/8xMr2fa5JThxnCQQ
fMQsK7eO9wpp0GuUikxPMznckCgOXmgCTgHZ9waqproimCz2nQlFRVnl0E5Tw5eliiIwfnRyk931
nEvfqpm5NB1j1xZpISq8MT5Ycx+tbSLgtl2XqV7BNvyC/TMNxVS3W0uXO8BtZF+PWnsdYqXmhsnP
cZGdZdMWG+Y710Zp7p2oTwhPyXa8Makf6uKqdYdbaGvyPpSj804MO9Cr1LeG0Xov4943CT5Ig1q9
E0q/oePdwIdI1y4rrtQhmmLEhNla1de27d6KuHmbkumBIa3f6PLggi2Cyki41Lw1RnGeHOnTYe0Q
Xp5mtnFhI1+E2RPJqGyyQeX+IYmkn14LWMxh+RqIXvUHK9O5xUN+CFN+Ma34JZstY82usz2QxreA
reaTlmuw/rWzVfXYy9MvFf98bafTIzn2OpDWJtScXS9metV2DfVKo52rV3qAo1RtC7FPMMb76kS4
m21f8TvemD2xUmM8h2QvQi0zpIjP9KoptFftusuK9jzU3THURh7mTt1mNaINhik8Zfl0dHmJRGmj
z2/80XFOTqWfjLF8BNHvpbQqvRZeF3V1AntLDop7ynt5HbkkP2qklwTMJMJwXKGSUldJhJ+lb8rS
CxtxkSrpE0bcJxCLh7hNj2XmHJJevZ4H1c80MuCz7EwH7dVZPR1n26YWo0hwmKfUqb3rXdPHFhGv
iCWAYTUgXMLSWs9Fceickq43sFcKgBR/CrPCN0c93dZutQ1agr3nSak3f33y/kHOGSYqgWbaFGgT
YPL8cr5Hk8oEyMoYV9aptpaZO61tOaWM8mR26nLc+LYMNmEZ5VRN85ta1e11XafizpkdBHXjeNM3
yUmM4LNd+1GM3baOrPciTfB1V+TLh0kgULKITTkv1twg9srAbL2BghQyOXBi2+l2sixfGnvuPVAt
DxqDkzU51zqKGgI3MlIhaq8d92qVkjYZFFg8m61myKtMQ/qW21+nLL/t7eTQM4ed2+yAe/dkVyV5
N5q77Yap9Nsp3mlg1bxW4hMKFDIFjGQbMnv2W9HeGBMY8yqyDiJyea9R0J6CjuV90oz3SSwNJrB9
zbOgXRoxdtHaskhbi9OzrJD9tck+HcytidOSqJWapj9lTOc0NLwOHLEO62NYnZgWwhYvtMs4G45Z
n+Me0JoVP+XMvdYycmguSfe4IdSaSMlCZr5VKLGnVxR7TXOFpEX6OftY6r/k3pgWAOUYP7sCl7rk
YRp5QB0CTdO0/prWYqtWyCYN9Qs7Yj/XLc9yjd3AOaS35dfStU+iFpK4NOVroFrzqgKfZ/XABdIs
V/eQzTnLulNsW581kW2EoL93iMKcck31knZKQVSHl/psqn4Rkb1mVKhrNFzeDyXClSN7oYZR/JDv
//pRXRSgPypEKUTge7MIJCFLhx72S4mQzM0AkjqPLwLQhXpyYPT+Nz6CnxeAfEndpk0k7M9kzo2w
9ZcFoG4R6+e4YXiRAQhVrEvmOru4umnA2yOv8GKrBne5/uvfigb0p9/r9991+b1/KLD6Ku0qQ1eU
s5iKWxIJCR/m/+FW/Ex3h32fJR8yI/PRCvS97At0qiNbiKwYSk+gX/DAuX4uFfsUd4bwUEwQSzSo
L04EOg8D0b3l5AOCl+loZ8YXK0jHg5oRBcbTVJTrfraLtVMpta9W0vFQ3kz7frT1l7JIug2iOH0d
x/FrxrO6roUV+ZzAE6sRHPe01Le9kc0EtzLeC6W2z0P9KkI6S7LSjkvprm2ajQW/f6WZyU4XkbJO
oOivsqEgjWvuhVfnFpmgA3gCOx5vtKggJ5B8HHgUFtLb6chD/1636OnaKt43hrIj5vdunJNH+EMH
sysJwE0p1uJARzHbofi1enOfzgmxPrVfTIHm6xlzfz1IOWXFo1wGrHGSn51o3BbNsJbBzBMMX6gL
SeKity4TULPVnDh+kwXnqna80LR3aklyghOOt2jxKeAq5a7vEAfreie82e62ColJ6ErKZyusz43I
r2ssAk2HeblVD9jMMb+Z+s4mLNavVPW+mKLdGLAokE1/UVnckUll7unr3nCF916A5bw2jW1YGSd7
yLy/edz+7hlfCvEfnrbBoMTQEF2ek1NxhfB5Ux/rh2E7782ddXK4erxXbVgROnsunoa/C35Zpiy/
vcLfH3V22Kz/tcX8/PM3xyPgFCkynHPlA649aV61waylHpVHeyPW4v5S8U6Pck22m3zm/2QX00ms
DvEmuNBR5vzNT/NzY/Pth9FZgmKPtmijfvVhT2JgKAtf9yISV5WerWLx2Mhvre+fsgd/PrN+/z0W
1fsPf224cL0SRVnE5foWNjt3uv7rf84//B0wIyKOYI7GiOvnr49mfoY4Ay6iVK5q0CGNSc357YT6
1/W0GI7+vH0/P+Op+IMlOp/0vXH/6xjIj6gHC3clJkvBZ31fojufgKOTBAH03F366h+W6PanxQ8F
SAS8uGHQDP+ToSdErJ9eN5boSGaYyuKUX34KvuDPTweMKmilipgvgZE+1Dpb3oyrZVVUNef9nG+c
2gL3UO7NSeFScR/ykgNS9CO7Dde6SxzjrJfdnqi1dS2doPVtOyfeO6Yavs9Kl1wKTVyHSoHzlvWP
6xdZorxoZCozg1SX2Cj7I0LK/EiTWnKl2iVhKl+ypsSSOlX21u2w5FA5crqE4MrkaomoitCr1YRW
TYRXlYRYIX/tV2LJtRINW1WCrqLYOQALBN3XvjYzLoIlEStM4N8k2hXLkAdNtmRmdewTAmK0ZNWk
bEuL92lJ2IqI2gIrSxDdkr5lauNlRxwXMlZozx8JXUR11UtmVydoOVyivEIBkYP9tbohCM4mRUEh
BGxAkeqRLH5Ue/tSJyasJy5shh6H08wms44kMVWTx0ZWj9ESMWbY8Kky/Tot23Vn5g9pTEhCQyxZ
1wyAGskpU4NFSlm+a0iIJVRxt1/28Hp+Qjq5V/PpISXyTCnlu2hYxAtlsj1N14m8A7e3UpS0W+lZ
uqtbpfL0yPIUwhb9QONGMTl2LzVmu0wCiduTHcCjqBy8zm0Srjya5Jx57tpJ09krRkhPuOheoyk8
FPBmtl2QoFUHtlQ4Gnsafdf3zWWQEZGrUwvgxmhqrJaW1edbIErIKMws3+sAcNrWPINUZK1bQmiM
Crkx4JakyFbTbFRWRs+6uxifQwv8MF9zicykeYKSPiBCxEGnPIsmTLxGAgpXU5qB1n0DlemcGZNB
GhNtv9H6yDplg76rkqK5hSNpXGhdTjy5FjINsN3En5t+h8B49lorM1i+gRNGo7CltkaZzfN/0TM4
shVjr9TtAwO1nei1h0Eimw+jVvhdq6ncPVpyYtjPUpu4jnVkgp4kgBR+ygikWceAtJ3AY1xUo65d
x9qylU/l1jUq6pXwkKctDM1ae+YaMmETT/ElZuzBc4k8mZwcmTHQJubcmWcOxcsEyUmT8ecyVMiD
6dJ1GPHvmWRThlIS0NCYb3841P5g9PbLDWIK9iGE0XJ3oKNbYMI/nxGVPso0U1z1MsvvU+MrYvu/
Ldz/4FvgMEfZh+1MFTSbP3+LqQrHltgl4zJtX/r0aqruCvf08Vv8e0ctasc/v6OW6I4V7tzn5usf
QhOXz/5+WZG3ruoqPukFavIRv/bblJl7B/eZZQj4bsituEe+X1YmH6Et4qLiH9CiZPttyqx/Yhq8
6DKhYnyINv/JZcWd+MtlxRO4XHt0YEi+8PH8Uiq5DCOJ1NGjCyUl09CULKqcedL3lgRMIBsdfUhX
dw2B5ZNioyNPZ3OBttdtcj8labJ2YcuLi4Khqs9UJ2QSxE5ZXuOtKafnXjXUZdKF8bXHjZXJRGNG
CWGSHTxtX8BE1lbreU+2SRO2265SsujW6ZBhNCYH4KpQbIFMK5yTu7zM5D1ZDYnmZUxkUV1CCFl0
7tGmYmA7l13WIqmMoZxhD34oVOBSqynp5EOVuw7oV7OaJ88oZqQKSkvkZcrm/0pPZYVYuk6+IEIn
ONSF3Uf2UhZcYqUMnVXmJPF5btG9e3kwY9FyYivw3FIjR0TkXq4n/Vkodn5hW4W8yfHesiVPNcPD
CSx3vYKUvM9q50nDZzkTLumWM6it3mLN6MQmQbHQnm4UfCCzN3d5vENkML/mmrIk1hpTW3iTqM1G
2zC+SgCdG3qflntH6t3WbPgHaf14VOSXLm5UleQqVldGApmwWCffMq3mbwlXLF/ZfGJtcfifTVUT
bm3RzUCzJB5pt2ivXRzaaMewmq+y1ojucmzVrt5Ww1X5YbYulFCyxmwFGoXww5DNdY4521l82mnW
anej22do8q1lIj4UIs524mNYTuoQg/Maqut4yG1Yim/W4IRv7jJ/B/YbYPiLGMzHy4y+Xab1udLY
PgFX7edIV6vmssYE6Flz923m8O/JtdS1f35y3cTyrWnjr2+/r7CXT/zh0CIqnQLWQZMNCOWHzRhL
MzjdwLpddnGu4N76fmaBgMWzjNQAVDhKVaSo/xWM65/ARDDaYd+AtnRhwP4DVcEHMue3dpbhIHCo
ZQMHX8Ci1PqV3BRpBd19r2tn7GB1ZZ8UjFhYMVxDtKTvuEaSXrq9pqd+ZAUYheKhnzfqNOFAnDrI
1fAYs8u+rBU0dqOyN81CP/epgphba4tjjvL1dtJRNvWkZZ+wf5evJFwOBy0f0ltDHZqjUSZu4XWj
/RZosbErDSfYMBtd5inAYZ8iwXHG/h1BXDMQZu1m21RTB3/OCpb50lLfFT2eb7TWintIe2gliwkX
J7lPcLqt2h+1RFuxxsY0GtnpVZ73wZ3GC33TfxyPIjFTzsrs4+Ccq4hDtPl2ohJBF3K+Gr2QnLby
29k7fRzENETyumlUZxArgOQG6RHLsW1ZcARyM66TeyVZDvZaphzyMATqBhfYcvibyz2Q9r2+N5a7
YUa67DO6Xy1oPKer6GgKE2eRbFzzKCu9eWaEb7E9j9BwIflvWVHUkrntFBe6TsHG2HaKML/75Wzc
zCquop0mGWmWdvLaJVl0qBi44X2Ds7t36iWdk7mQupkas8B7EvFgDuec0KRC+VaR/XsiLKy2Pz8R
Lp6r598fBsvnfD8MaLeXPSHLcPBVZDZSR37fk/Mh6FmUMEKlhtGWMuX7aeB8orDRdCIhXfYbH/Kj
78kBzie2zS4f0aGT8Dr/o9NAX46cH6ZbS7u9YJSMJaDAZR24hOn+OOxp6jY3TIZrl1XVMhDUOnyi
Lgqaypzu1aTeBgurfcAlGVT9i+iDp9ga6bdH49iaQYYRV7l3Ze0LczqbM1BDE8QrloxuJcL40kK9
OwXOlchCzFRqr5FHJbbp6J4H3TyVebl1QnfXJ9plIuAUOMiVvCbEv9VZw61lkgpIO/ymWAUKHBc6
mzTCs70wDhS0LSunNteTtkhPFZikEACEOdhepTkPdqVftVp2aRKEgAC0kIAvZYawcNoGI1q/yXSv
syS8DYfUK9gx+ZMJiTnMSgEL3ngbyjA5z3NfPRcd32cy5XZWmtDTUdbD0t/lSio26JwaH+9JtCaV
S3RQX6tDT7jqWquGYtVrvKRpVGMhM8nJzV5C5v+LU2dVyXbb1w1kx5JtzoivZWMLFrqkUDVFsR7D
zvXqNvIbI1P3rKmPusAhhzYA2+DksjARFQZ31Ospqz13sG5rNbZoyprOU1B40u41Bqe0tS8GdMjl
jBnQbM1sj9LtwqIj1YuCGJ0ueGpD5y4Bf0BOvb4zpuCNpotod2ME42vlfmsm6DdLRNOKwTEdBS1k
+lzcTY6LU3k093mBLtwIqxuSDnawoW0vMkH9hhR8Xhm3AcwkCaNALHHiiYvrHEXuHMXTug4QXIEi
eG3UAoxprULGV2btxq1VBxpqSrOKZhM3ReQrxD5s5CDcFBeFlp9TJKF7q1fMXejgxBwUJ91XjumP
toHpAbHKCstisu0wH9e7pg3L4NZBZn9QrehrqJTV2oENcODcjz2EQ/umDu9agZ4NT+rOUKrOyztr
3Ua9uZaEmjmyKI+F05wJ03wvx6JZGfNAJIb8XLWTjaYrfui1GnOF7uqeDKrPkhSytd3Op74YT3ku
FhN+ghDbwQlRhmz1zHNBDNgUKA/doAoPDMOOop6fOjQubRIbeg5rMybJAkp3uSKzYZvY2imzwHII
t3uaq+BSivTeHQlYy81gH2q1uZUIcKmF63jdkBK/iaOCHVt6jkL8VlkYrYl4PReZu+uW7OLBVr7G
QXyPeJsQaSWMkO6Kr3pcPcjU8Yndm1YNXKJn2Zi4ipUv0lic8J1z1sdawkW10msrNZ6QcB1b1f5q
z+1xMquLWTWOYTwTpFSal2NZaueiybeZqPHz29ZRH6FMNMxkFC26kaEAzRBPT5p9lyprY3KOVRxv
XMn0PIgIDCvYVsTSRu+QZtdg5BVPK5svldLdJKg7PDAMV9H/s3cmy21jbbZ9lYqaw4EDHHQRVXfA
vhNJUb0nCMmS0fc9nr4W5LTTdtpZN2/cYc7+/DNFihSA8zV7r22AKTf1eqF3GDhw/iuKuRknpjyd
D3DpEh5qibAl9p0r0tu2VhudAhK3G8lfXYMW2wIzWUfJ+NEx8f/WeNpNe0O3wJJKCYlNaotD041b
Jw9eAImz0BSCKUznEI0S3tSx8eKUUIGbHnVhWlj3noJvQSQuNzHG15nu1ySJ8CycOWPcr6sUT8QX
Aue/J+60a/z9iTtNuPOs+tWpy899PXXxbOqqpU31NN5N8nW+O3XVD7pjkAI/Hbnv1fnXQ9f6gIlS
CAsblzaFJ3NUfj10LTS/OgNxVF5SWpO97B+U4HBzfz50GWiwuKVJ0FHKMV/68dANS6LFrVHzT4k6
SvfK5xD72AvVt7cGZ4BH39gZu7EpzI+mLztWMEpaRLOuh/gLPr26d3yZ3ThOYIxAl5suW+mpVT9U
eiPwXGDcWpo+55kMlPteY3QJjUTOY02L5lpvYvFO140nTk1r3nK7P3fe+Kz5rmROdzErO1kSlLvW
4iRg/GoxEI7MZd+6i0Ypd+wSGWVUU4pe2VawGYbnqChZfnbgGJGmVCwPOccHRBZzWE6rOAWToKSW
DQvG2UqPQUjbuZs8MS/QxS9JYIpFpKOFcPvjSJTZwmmZaqfFTa5rH3071GcZGQerNAWAgdR4XNsB
oe8ot9BDSIOngXVo7epRS6JVREz9AdjCvvEjLDauZi9kxSNEloAr6MjteT5Gl7bI7wo55ld6yVE5
phgcsM33uBmgN3SyZXQSwwGpdeRbPSSOQ4rIdbTyR6gS7bwSar5o1PJtrMoBjHQfg/RpNnEVrvHq
bwTOlNyyQswfzpxkzH6G8XCF7B/HfMh3AMoMngW5EJsg5X/Jtgeu7WT3qR+9YkG4JvN9YefxJxH5
t2bGY7euQ3lwecyT7HAd5JjqWsPy524yZXWSXuxNPtUslhffNG9lmeBOM6xXM0v3zKAu+WAjLFJt
lEypBSq9zcJZ5vX7lHiPWu3amczSdRxAXtBkA2RFtLOmSO9Ds0LHAe9whUtlaeb1TWqY0IQ6dgi+
aq9kYbXHZjLAWUNl08rIbR2ZyT0CtH5RRs31SJc2M5iJpXDup9oML9/Q3JVD+OK2HRtbv2ymNJ6V
VdoPlMePluvNNdYZcQKYtJ9+DbW9KANhzu54ioFPYPwDygG8YciOQHoOsROdx8GkFMVzlUajWJV9
gHELaxDIt2EP04oFrREeMo302ikKyFfsB4WgzFlNtt9chL07V8pgFXXR0ciTk+7QlzrmmfMb6HZb
IjOx5ErRi4+SRAzf0MAdkXhqZgQhtOZpCDpCPkwWGw4io7Zg9eRWt3ZovZhKf1WazRuc+tuqtrYQ
RA9hG4mt6ltYkmOnImWKvwN65ddYkPyhjYi17T5uFnlqnvjw5Cp0/mNRGkTwqslJc8WZxfqqcKIX
eF9zG9wH9JEIdoKenOsms7GzsLRK6vTBN1mmMnTXZoqaxnslbvK54RMo5aqmObeS5Bn1d7QE1XUt
KvcxVrJhjgkCNT9CG8ceD3FaXzWC7IJGPnVm8kzxDbGfN+206zAPFrHrbP28PlWxupY6PJ08hibk
xlcNm8FZKm04MVG6kNoUrS4EhbO/c5hT7YMpnqp6T6rqW0KriEFsZ8kUZOU4BZo+sq2aKeTKe8+7
KqboqyJWa3JE+O29KRgLBJp27snKYnMsjj431py/uXFKp0gtYwrXMqeYrXEK3GKcF+/DKYSr5itY
dlMwl5giuvL3tC7vPbmrnUK86vc8LzQcMS4CQr6UkLiv99Pp32NaY+D+N8c0kqxPv+iM+aHvzuiJ
bkmANnl18Pj4V986Y/EBbTnCck2yX3qnJ/xxSOO+YS2DjspA9DdJn76d0e++HGb6LKkJ5dGmFfU/
OKMl87sf+2IpqQ5MRwiN1/qi/f5OBFFkBWYvP/TPRROSEUpQKh4XwzoJzBM8ULx3AwxkgskN0+R4
FJAiTzaZAQlNuSL+GftM926l6exqg2FEd58RX4bqsuvSWNnzocEqCLJpIGsibfHOMkqpULGo+rBl
6JV7VCajAR5lHleOO1k2Ugt6SzuYWEe5qxzyUMqhsUZ0XgGpwBauymIWhwaMsx5R86bwSiecpwkQ
I7Po4vLkYfzEeAGZ0FrSP4GximwTa2/dKG8Gi7t/Z0JfnGfa3+63rrJfRoF9v9VidUXeFuxfDdnE
++X99cqncDXZc6mAJfGRvVvCvpan9gewORpVLd6KPxwXf5anzJFQ+YExIGpS/WfeCZrTn6994uiZ
XON4RBoARH76999d+9XIjryB3nf09HQ8FFjocthWNtichdJ7LRqA0W3QWypsbOKFXbtWdjWoCf19
E4Tv2T1qfGVPGEySWjzew5tXLOslSSwNeYJLD3E6CVhjZ8Q9vSWZNg9dg/96MaoeFCDWWoqTbytZ
inzmtIbZXze0wRx7SuatLKNU5k2fPqASQGuK4byeCsyqamsGsChE8UsnxBEo1cpt1NsQQFWZmpgS
ErTrg3phl42fWoANytwch3+yTwv3ILr+fkCxhxOC4gou17rJtxQkTH+8HJ6bGQbzyGK9BQ0Pm7ON
ZKBxR1Sv/fiQWM4ZjF6DuV6fgciKZrCIpvmtlbOXtncl1DJtyhkMmvaxJkBqJrx4nwQq0cTZcK6y
dFh1ZovgtXGQ0rVFPdetsV9ENUEt6CvH5WCUxDCp2hLF+7BAtw0pwm5fFdnvsQwj4yAKjBWbeO37
PMMpUa3wgmwCA4xTIuJDaGv5PCjLe2whTAqK7kDWdDNvA8IDx0y/USjGCqvRVm7kzpMJ/OeWbr4F
U09ws8yOoZZdsJ3NXQu8F9IXHw7frKVUgtW5HJr4RYJHnJU+JFGdcLU4guIiUefk3k66ybLMwcbh
eSAos+5DKuwsWtmDBTxBr68ShfItiic1Nu4E4XkPDeU+QQwOtt1BDxaK6Z15nKHYdeq5KOpd2wDN
LNTywcvI9RojY8924qb2+qXJjhRXAWzgNLx4aXsIDH0RWUEzM5nVYBGH/ZSjfCAJ2vXnau+cCXiE
v1job1ksqo2g8ZwbaXY0RFqvfZ3iUo/uWCXfJwAus7w4KX5OHpCDr03GPFvtOGTxl9x3FiNEfDeN
qj+peZMtLIqPtotv+shg1zmlEU+hUb6NmHuoQuAHqubvUZqLhe6M+Bq77iHlPCTzuX7o3e5eyOpW
VshQ8FGuU985hZUB4JLMMqPG5U1UEcCKbt5YUc4Ilvm/jYlar5sbN0SIlLHGxITjbb1KepuiLi6N
OT4RefWxMOhu+gBooxMGxTJspZhLtblrAzbFIsI+k5n+TlGyHduqZ2ZVjMa8QmP+Im4QIK+CUt7m
lboGz3fu1KCDWa/fsJ63F7avIprplaPny6vAypU5YOlVH8QE4FnpOhXDc+KN/SYavE3TAi9TfNth
lEO9SABrtqrr9ClMabKGydIT96O9d9QBtoYgNUcdy0NgRqukw+DuaohiMJiZM1PpVnE1nISQBFz5
WOrL4kgHdkeYk79DKQVdTvRvUeBcQok11NTZAou4hx0xDp+7loapbTEsuB47Z2xk9IjV5MiwUCm7
cXOD8JhLB5PZLBJQ2LI8gM01ZMZcZv4m8vpn06/TZW1OY1vToQouroQi3yJiyNAEMeRkAsUFBTgB
wePnEpCClwWbYcye0nfCAqgFa2Iu5MAX1BIKg80+ekEEwEX2mtx6mFJn40RtEFp4JXBuDOAcBrAO
mN5Ic3L3SRxu/bq4cf3icz1xIKCYHAbAEKaS3+YTKUIfqKCJBjfxNfHcKyeiBE7RpTUxJkJgE+lE
nbA61m0xkh9jIlJ0E5siaLt7Z6JVNBm+1nYiWKRB9NRPTIuemTVLLXVyeTKD7jX8PIP/oHVv3UTE
sCY2RjrIvW8mT/3ANyocoqq6WsNPk93DMpwYfAjeJNEKHvP7IbJIgtLJw6qyT44mP46l+rkVXAw0
Rbd5yR8MCbC+MOIaZreXFqsisc6gTJee7goYCZ2Cta09Gkp04aNi4/FPYyJJOZCTGrpVtNkI78Vi
J7vwbXXbZBFZdK7db2Vn3Gi5++hbWCjKOHhLOuiOruzoH8kW2FRRe0ci/TgnXmdkAFO2DL//bRDe
jaYaXoffNwjHt/b59VdTPH7qa4cwpW5Tx+N+x0AwWUl/6BA0LJ6ED7EPp0xhVve1TnI+GAzoqN0p
3CelKsO3r3WSw+sZlPXQoCZfqvFPOgQwaz+XSdakPDII/sbxb/Jb/Fgm4ejIdcMNhlOQnvXBYgXk
DjwRa+euH5GjqwMOFUdLD/YYX+xBvgx5rMCkHQViQcza0ENo5WtnV0XOCZlRRryv+YJ9/SpunPtx
opN26ecGFnWhAEMOHOspzpMctq+pzbk6YXMnB2LMOlYPrQOHWT92aoHtEHX+rDCje5Mk7JWemaz1
SKXT2MrNMs14jGLG1cP4go8+/YJKLpq7KKjPpSOPgQ1vX3XsmyTqMTX23tFt613WtTkczmov7BAK
L6rIpM/4zOMixPaIvmfb2P7KMeFVhUa6Sn3lockDFDvGDLfvMcZSNEqsi8yh3CUhx4Rtdc2CE2hV
2DHZjYzK2Ldj8glOVSRMrPbFcDPCgwxaFw1lXsHc7BkqhXrAAk7SfqUK4inFeEpG/F9m51pwdNR4
Z2WBsyg6UVGoupOBP1zYXbuISW9fOAMbxs4ZZ7rg0U604nIsjXseu8hLPQ62G8dqWL7h4c+o7nqz
qsY70XVjOGdkV+DvK2oV6AKiqPLYD144YRC8GDFAhlW+gF5rm+0yqmCmT7TVrjWXDbmTs9Dz1r0q
27k1KbZcQ9xJiwaP1NK3PDSuYrVyZuRQfRwlW1ez4sLx3eauTtOPAbGNrkGAawxLW1bboWlw/cKW
MsN0g4xZWfpRblCEtVfOpC2KBn1PAPnDIM1dkgO8TIzhuRBGcScT4hYTyaaunXV5t6W5XPdh6FIi
upSsgbshxAmjYKHvhyYSM0chrXBQBhrQxL5X2tKmg1RWnaOt1aCl2OaItt1uOzrQRdUsN4kLh2ja
KpgSi3wdIL2YqdZ4TjV3pTdE3ymw08uyuR/j+CE2tM+ZznfGouZRtTPssNEdKYpPXlKee59Hc1/b
lHDjY1VC1lQ5a90+tObAuZZpX++SBjcwmL/HlpzQVBTP9RAsobLtKWkWIsifzKCrF66ODSVSUzri
Mr5l7XPnA5yf5Y2s+NWiPUG+y3ykwaitp4Ih1Axd2VWZW5fRl2tVhy8EzXutDuTLNs1Hw/YuiMRX
lkhPZNed+hyRSmGOGrU1hX9hpocxao+a7q2i9DWicGtaPHRV566zANWIE8sJsTycA+S0toq50MFr
yntXjyMetjkJ9c+JC+7GUKN6rlZwpmIPFUo73KLeymZ9FlszvbRu2Q7AaVWfRtu/ip3+WteUNStW
MEaF8+om6ga5HpeRVeC6SrgA3Sm6s18StPFmhDLnhhK3XMaPVs1AQbjZsQ7If3T0V2ccymWooFlz
u4hoQiHnlEVYgt3UmMWm78xsJOeo1vv4PETOJWLmO0OmgnWwxY2UDII5vem89G79HMXF2RUlvYxl
uIuqU+kqhsJhPWnsc9Dk51G310i9fTLr2yK8yVPxyR10YBHReDdm2UEfvReRih2quGGDpkhZ1pFG
VoEHbDz3K9JOGTUy7X3LcmtcNsxDmTznzETrggUdfLOZ6Vg4IQ1QxK4sD6Ow9rUmdkEjtr5fX0oP
9bnaodMc5bFvlH2W8CmDqFjkta/OjFGRWFnBHPsJSHhLLv498t+PfMlZ+/sjH+Fv/fwf87IZ/zoY
nH7y27EvPhhoKdnRmQ7z/wmw83U8MplXmJnb6FQQxL3rYr4e+9YHlDTs1b6OBikWvh775geMUgYF
PKQAKdR/Nh5hSvPzuW+DDJpcKOzvrOlX+fHcd3Dimp5t5ycSbTK0cWa5KAE+A8pPHwLUZEst5E6p
NAwccWQRn23U28IQn9uMFikjAWfXxdgDEj8C2Kg2G490U4Pvg3yCjI1X2oSrBqJZaIUvnVtyNLZQ
moEM8yir23RpJQaWt3xwzn6R3BklPVrR6aR+R+NhiIY7z6sxWQYPbqjfJuQAnizhKvOsF6zoAstb
qr0IdknsP7gStUpEILlNxzLrG+1NKCU+fU3pbtPC2ZimtQ/zflipoMqVqr8UomO3T5ggUQ3HFjkE
uJm1ARd73hroHazJzWDQZAzZVWUwl/RqfR2pDhsrr/oE+Hhk/+S1S4tHzVwP3DXH/I10hpXfSwMB
IliKsgy2bWx9FJMfpeu7Y+uB87bHKVyZUr7pkw3xtmLRR40PUyxaOMZ4cT0Shg1F8NU0QbuPA1rg
xPCO7O53js1NHcZInGvlNQxj8r6LwmLREKy7kVVQ4VpkV7cRSQU+A95mJAQ7RtnssRLQMVTgAOKI
qPVLyNGQVa9EeX62eDlAtDAoCw5ZX1TPfpPKeUVy5ExaNRkUPMr0KZBeR8uH8hokfixZWQ7Vhv3N
heSI7Fwk4qrow36pFiJfBkZWLZB7aWskgrdynFjiLWhExbgDSuvsijbcMH6CblG4UBapHxCyrOCP
7CEGnTs3W9TsZDCprjK0xEDNggdHVnKd9hq5sBOR3ImL1RhYpAgPj1qWrGTafpTdkG8Tvb20lTLO
xNi98c79stfjt9YqxInlJ9WdGM5hT5nnRv6Vgyj70Orliyix/HMgaFsYeuZHX0msJSMkB0UWwbVL
dSRhznDxCrWELLQKezMvq677KtPoD4epzNJzNKSGab/aud3hONWpKKxVmfebSdg8GHj4dbd8ciRw
eTmkGwnleIkwiiMckUVHY90YfMW2566VxB/v9By8GwExHf5z6waXzL4Ww1vsF9FCRMaFFHlvb47t
ckw4p4mQEA5hEpFJoC61z2s45s62zqzXfuJiAnSvFga93iIT1XUNF50b8cplmbqwyi4HUc64DV0K
iii5JI99OivtZib6gZ8gE32Wdt6wCoX7Oc7dc8yUfiGTWj0RXIVqpZF4nEbyYrRUXY6qWWygZS4U
0S4Y7Oy6UEOY7mpPYT5Og6u6PjBMU6/0rjTeVNWNbjMVl07c2oPCMMNH8vLv6fSlIeVI+P3pdCqf
4R799WSaus6vJxORccwZNF4N66pAr/3nyQT0iBbF0Og9bcOQ5ndiTh0cErRiHCzY898pw99OJv0D
hxyHicnLToKUf8QCF5NT5oelFaJQRCWQ0FCqSIjG01Lru8F9YWLJ6kB5X4FSBRE5xpHDJslx90pf
qPvUquCUKerQfJShvwvc4YlYhXGeIx7WJxUxqpPOYj8fkzJU6GrIMr0AuBUGCKIY9Wf3qD4QI4t3
YXI6aZRhpfGI6yblsoSS8VY3qlsS9Yao2QDZhTMvW6RU7ysSncJiicuE51FcSoCjZeiYO6bADjI3
BnLvKKIoyMEShROhqIdWpuBf51hjCmYEbosJkhLXBp9vTrNWRUdUGE/co2oAYuaDQoobccpBI1WG
inyzuxb6ePBBJ5F5eZBZvBUglfrAHeeGWXIsC3hLWdU2Cw3XxiEnKEPNlXNIRXrJXXtfT7wmDvp0
7jkV1Mgqg/ujdNFyMMHwlXDiAO80p76uTkpELkHnATkbJL1tlnVLn70HfhCzxgkX6EP5OdLrmyBW
b1ALJ8a8jev0rBTReKVL5ppFvvJy03+EdTy3avhRlZuQ5Y3mQM98IiWwFGo5Z7eW2TOWBPSyenKj
mEa3ym16F6sYtUWJ4I4BKqSo2JxB++tn7miZC02k/qn1kN0EOTIaneVA3SvZxew4cxF2sJkpZ7rT
EB6hIdINlCsQtyuE9sFsaHJ5VzkAhujKONZje4WSNwAZmMxBQpUo7q38yXAbFLtCQQU7S9EAzasB
tPp3t+L5r6ytH0suqrqJcc+gHeUp4yAU0z9e2CAYOjVyKrIvVD9fwaLXnoE22PMOvcEf2eD/buwl
Q7LfP/9usvj5V4vL6ae+Pv80KnOApsT4kuJlvKMvv6vMpWoCWCcP+g/K+tfK3P4w/aeTP45iGX7V
d9YW+wMDOuauPMo0dOjyH0VmCptX+uH5N4nZJ3MfC3sDoe+72P2755+0k7CUjTacbHiWZysckksg
cusRjZS2G7oIHIxgGm/XrXpF7ePOWrIkqZba8d5yuvrGV7N4PY4i2JtggZeWUpfLlN06KyL1GE9a
0lYX7sEwSK3TgaHToOMBWjQofKE2UbootrPrtRHAeO2jayFc81MAeHodpshUWXCxJcur/mPi+94u
K3xgQqB2FtQBE87azudDOdw7WjFnPvg8uIm1a0xhr2r0gPuUlRhsx65nPOK4KHvVU6Q3GTV9FCG2
Qx/oB8aGirMmEggr84w4hZqgtDB8y2nO5XWdJotiHL3PlLRPfu+5y9EF7RjluxCV+JStRULc6GCx
RgF59oT3qEYDLbNermSeXhtZoS4Ruivr2vTG3eg1+o5pk7WM9XgvcCJvYbk4C2Apch3FqVy2TBw3
pmhtQp+8aFck7AjdrL0eS7aHeVwRD6UY40wxjGUIN5tNsXMMdQZK7cC3o8CguAScLKh7hThVFYK+
werybeFXu0YLP+Jd6mcJj9EZfWG4FMjvfTDn9bRA9ZdKhzo/nnT6LoL9UIIJnRT8PVL+5F3TP6n7
20nn3yP4VyKU/wSlZ/QN1HgINOagoG5M3bpOLJa6Ud+vNQwEWtjVzoFFJE9D7AVI188ZdgPVqxhP
YUDIMSLw5IVahjXBnTwKYPbwVE6+BZzlrA7TZF9haTAmb0OFyaGlCaRVbKNpVgWPNFFPFpaIFGtE
i0UixCqRY5nwJ+/EOLkoTNc8D264GrFXJGNAOBmGC0dOm6LJggESj5iBO6qQeDFi0jBdfIUjto1E
K1/0ycfhYOhgMLpmGnWHqgw2jJuzC5/cH6zlkSkXEc0ILn2z+STtsZxTuZT+ys36gwPInLsiCaKD
wOPEbmiIs13uEKJhibI/eIS9bf8tRt+LUf3vH8Z4pFcUpJ+C6lP215p0+uFvz2SNwYegHsXKQ5rM
5CL69kzWP+AsYt0xVZiQqKhkvz6T0TqD2ZRIpb791NdpCR5FNFTEo4n/BzHJzxUpNA9WNER1GNOL
ckL8eHAboIzs0C3H01g/FLZLg/2HF/W3tJrpFf70MzLY4VWhwFn4pRwc2BwhP9S8WCLMvM91HhHw
GUp1Bc5hVhmv7T+k4vzlfX6a+mQKELkyMMTJmORZ5aGzXr87bn9R47B++vtP8tM+yRNFChuCT6L1
cDLlneV8xqUxdxQMmS3Ad0BZ7VPebJrgXCNSEcEb9m3PO2sZz3a8TAwqir1peJhcUkYziGZuOjr/
Hmny3/+mP+nX//qdc2F932fogeLWtKN8F/oSY/esyB8aGHUQoE+dSxAPKspg+Gyxdy34n7YZzP/+
F8Dk9tevSghmcCp/fsz3P9WDUKkEZ7g1nJilIGcWThkfIgx19XzIZZHPHfxkzTa0Ed/0FeLz7iLi
zsRbDQe+VZVxXrLRmWl5o7aEY6i7zqkBPscJUnJ917lqhVZFCcVdryfhWo8clBcuWucUqkxpltu8
GWZaW6xEPSzYQqz98dSaUGI8HqRMNVBbrEvUJYl2dscQGdJjxe7NAy7m4aOpY3QB5qKlcCV9cQvn
gtUQAtQwB1N5i8qkWJg6D21MpMEgQLQ0bK6TZQeZo3isQoZJClOZLt2LWl6H4VUIXqNNtewuIXEx
10d9mTm3tTQXKGBnYYtbzwg8uZBBQRqGnRDeEMVPtCUcNpTwjgEjJ/LkF7bFb+9KffoL/HlbvmN8
vr/xf8b4dAHVet1X40ld6xt3Ox7qB31NvO2pmolDvSnm5RJxx3xY6fNduUtW2aJ/UrbRql6ra/Mq
WIVfYpV++wtNN8+fv89fL9mfNG0S9K2VTJdsFm1ht6TdgphS9o/ql+nJb9/nV1fm94+jnx54dpCM
se/zPgQJx7f9a+FBz54z8YF88Pc3wbtL5OeP9P1N8FO37/D5S90hPNnX5+E56nEj4Z6cdRUAg7l3
Yu3092/447P8y1fI9INVtI1wl733j3d9YiYMx6DqnTqMWun40irnv3+DXz0Av3+Dn747NZ24D56m
neBGTrmFnTJHNP6/fIr/7U1+eso6vWMSPcObOO1+LHa1eauZH//+c/zqSPr+c/z0eBw4q2nGDe3E
boFCHSmAeYFF7WAMe3+j/9+t6lXwqcyq7HP9X9Mrf8ryoSTvqf4/P/5j9eWfvbds8Vw///APy5Ts
0+G6eSuHy1tF+O1XZfX0X/7f/sv/eHt/ldshf/vv/3x+ZfOwCKq6DD7V2l8rHI0y5ve96jl+/vRW
/vqnvtVFKmIPJESmaRp/sBa+1UXIy22JcsREev5uof5WF+EbE5Bhpkh3YsamVdG3Wd2kv8V6DXxP
owFGzPCP1CPv4Q1/3r3vxmuWOjY+YC42jGA/3b3t0GGtxI9/qoEZEZgKMbsdLmS7ELfieKdEFOEn
xkEph4B+i+qKJYuuYGe1us+Kr640Exr/qDO39wgXwe9hE1XC1gjm8Evp4cPtYzYboDcv0ok9JB2Z
u+5a94rgMChjufVCZPqN2Y4PPpbXuRaj9NJyAklB5rJpyHf61BAk1iQhc9LVGGs3vNeiq0FClOir
UKkNMIbtJpwDQ7iqI/JVyQOckb/+Glb2lSzda1X2J9+rNpnFmp1V9rUG3GFFhBsiTdmeCVbNluik
zZmlAdBKYuL22HkjfJnrRcPwUYJp7XKxEb5Li1PDIEOlYrN6yfWlHrlrE9noLNMTBny5vCUOns7R
WTS6vmzQKM7w0AQkRQ3bUUC8qlOfEHR1vDecV/xTbOz6yda7s9r6EbpzMM9DWLJySmtpBk5rsyW4
x+iHt1bNtq2wyKpQCJdQ/XtP0GwBbJvHdozpCLExxldsvNapC6zjZET2svIe9MtL0wAwzaK1Eo0c
6Ra2brEF93utQcjAqmVebL4hl53cTMnInYnjYymdixmoL1E/Qu5WHRbuKmszx+ruEk0+hbZzZA5I
i96mcpU3opo5vbXHP3NLZFoK6UW9D9owptAh+0l37/K+PObst70SvG8Vx6TMkdnYKre53hx6v7/U
jrkiK+KxUcJPKFrR6xCMMy9zXEljnLHKrIrPFhHkasN2rJDOFX+mQ0caMfPbhSs/i5xGV5sSt8CE
5Na0xZKEwRHOSHo1pmXPWo+hZczKNPuopya0oGognbJ/lk3H9SUKfMxeSs9fZwfIQa8uV6RT6gkm
omxKh2AAMmwys35tFRnONF+/NbBJe4wp0aAXyK470oojQsgw+foEFA/hQvEbQol0e1JgR/dhzZc0
IheaGSwnZzLRLrWZL5082SBZL50lWe9k0nudd9Sa7L6vnqAh69xzTwldPiR71Lke00+yv5CVDv71
0JXO1gU6PMusql/LloJXbcgGbwoRoob2ERIo+Wfc84wKaLhrRA6+Gw7Lmsjd8a59VxcZ4NLR/Xhu
JG9SV2eNqHj6fSDDbClRJ8FghNaGXqlPJcKlScHEHGdhpc4apTXiJnq9BRV4vAtyaS2T1hXLvNOf
stYIl8yvGDn4XNKEqcGkw3pNHLk+V4Jk4dlOf2PnaKky3z/1/vg6zYmDwrMXEJBXKqqsJoJCPxIF
sExh8wMT8laxZR17SUgKmq5RtR8CNF6+zXoPh8yKBdWWXGdaL4L2UIXFQbPKJyXQiF6MsQJLAhRk
0k8hFKMpi6R5w7crAISDoA9R/KA+cyJnU+qSSbvbvVSmvM8y/TFR2Z1rKNfCWKfFYHS1wpV4b7At
BmuAlxvH7rGbpG/pJIKL/Pigoorj/9WQOLO2LWoD0zjSOa1QlqUefR7Q1OWhdZ8XAXHx8qWsRjbl
iXUyUeGZTabC9vb1mY6ADNgN9nnVFS9qH15sVHz88ZDzhYzw6si6I6G64w6h4TA621+SXb0wJ9UI
YkH8OOycs5qbaeDWs5CYVL62rTw0JwHiE+T7CLDETkWU4jb1IZpUKuyaaiDD5BiDn2Q5GiSMxyw7
ZG8oxqWL1EXxiVXLnCJc1SSzY1GAGzYpY4gPHzYaYpnRc5+VITn4iGiUSU3DOvIToZLhzUAO2rzs
uk1ekTCeDIh9La/41GVQFJWJJ4H85S6wzT3q9k8BdGACr9WEBPJyo6TanaU1ydzN+WvEFpvZJlIX
tssqwOy2VpKTDGQ2sAw5HfIa9W4HAyCJudaqpGHFEKsexuFSFfC4WR6kS1Zn1apy68r5qCV4JP+N
T/1iOprkp7+viCao3i57Lppf4V+nH/2uLHKYEiFY1X5eYU7TfcKKgenBD/timv86LgL/ytQKJ5AK
C/HL4P/PcZEEwPjlxVDd/jNN7bu16IeqiLGTI6eSTeqTuvenxh65TdL3cihPg8IKilsXrwtVRWqH
YD/89BRImkPf8o+mUa6pPIzrAjUakDv1orvyEpXNW8bWctb3/jZs271viRWA1EOEYVRpx12cioOd
isWocZW3skeUqx9UTLMzvUmOIL1WrmcdKl9ZZYNyDTr7zhrSB6OvEVwUbzYZRyWQEgBK2wibh49v
j3R1fWvY/n2J9AAnzTV5gMdmCBatox57ygu2bP3BtEegc2IOc/bOQM6j8ImWcdm9OEF95Tr0vaX+
UffidVvXu9Q1V/j79q0sjq7vH52sXzmIDDw/PzL6ZidYXJW99mBJY+MLcXSGYcYI+xSKEKayWEI5
XxTVuPDV9skJqrPvN1deN8xbUqBk1yz12DyWBEZEzueqdLRlEnbkoTcN2en2MzFN2J3kQxi2W6Vy
FgRoIaof1woHEFkKMzMvyQXDLu/2wQm/OdUiYorQvDOqZDMO1SWx65dU64+KnR7hax1aM9kYY7NL
ymHTFLBjvHxaQWCyYaSNo1j35MXyIQ3YSr6prTTFW9NdRQ3yCjEA+najZz2TFyc35z476xmN/KlR
6oOnJYvRa7cl4QaVpVxCh7QF1b2XCRooR1+aGN1nhY/vJ+LE8F21wANdXAX2/7B3Jr1xI2m3/i/f
Pgqch8W3STJnpWbZkjeELEuc5yFI/vr7hGtol7u6gAbuBe6iVl1dBUlpOZMR73nPeU4hOUja+a6g
bzWkX/3VpfZv37QzjVz2GMRz89kwmgRqwPyV7DvdBl0Xa+321yK1qPe67ADDLMEvAtPkxlpXCq8z
y6nM/dRVgEwIdofT3B9tUWv7uqXRB5DffV4PzalywCX0LRcKvdDNy2yvUzgtOtQRvGQbHwQZztU1
uzd0A+6ZhnY1xIeswtAMAcljGcW+voKEEOgV3d6Ykliqe1pGEkhaB5ro7bB3lofUWtoQGyQrYJPY
zDoOPOOblk193D9BCoIe7yBhZQXoV4+VwUrhmk1xoi+MR2FEb5TZUDNj3ayGvbO6/LrtcxnmFIGx
5H+H8nLxsuGzAMqWXbpxgGu7WGPQYszB8RRv07K+w2L0SY4YlpqpH3A9OzR6JVRrZ431FYNatdFI
xW2avh3D3vKv6f0CfTtn33xB6nWyOHCmCb5KbnjvceN/qRbjybadd14/WIRa64NloaLFbGA/JyUQ
fLuCcs/CBaMcE0NTdCG9j/htyhPQlk/WvHyMrnbKfO9Edodckhi3jMif0tXY+mXRXi9AOXeUh6DJ
jcK51EX0QCd5DE0p77dGMpnhaEHSkHr1TL8ov+W2/CZqdcOdZcd+PK52WT4fI1HsM3qZA3+dXtY6
UZa9+SbV3K/wfL/O1oQ7bi5537oOq7rJ5isLUEad4I5i7IA/rBQJGPuoNp6HlsQSjymmBhBN8dgj
K6bPS4wF3hcWa8W2DB2fINc4fBVjF1L2swRzxB6rij6bVK4GC1mV1aCywIL0bI7CYMpkabN2zWMi
uWJr2bIQXOLvfY6iZ7OAyhM1kcv7y9zB9eK240s+omm+QC/iY9mRZOblmR+lhn98imLllUekzMmB
ybI9punq8NqmEx7fm7kkbkRhAq025lEmGu7d6VOlaadB0qECvBcnHrf1zUgxaZ5oDzIeznaVPOoL
WSD628MK79jGs6QZOrO4SiEjQfrLn7oEr2BaNm5YuA0ZrSTJq10n+zgJRA3EhPSkRlJuSo7WkO4S
Vm+bSvPEXlu5gCwVCc+qL2mjHQ1yF8tdo9LRrj4Xd2mNgv3/RJ7Zv9fXr+V7/2c55v9ndUYh+//u
LvLW8eephr/aXCmt57Uf/vd/BDTdXzTcUtw3DJc7hdoN/aDQeA7ize//ha/611WEWjmLhD/sSstg
v/SjQqNRzQlE3fZIvxMM+m8UGmLVf5KMvys0yktATputEhrNTzKemU0VA8KM57Xw+BAR99kBiM+2
TabiG/NArCHvzc1sW9OLzMozm31/72ieyxiRpkG0UDwVVZ5+H8fOFtAa8+5SuYDKU3GGIPtqR8ZK
K9jwLp2237oZaduG5w6fVOdCmU6yWSaz3TXz1F7DId5mPK+GRG4lOin1tt6pHIwTGemPfF4+SZ50
rpXftDz5XN04+CnKjZ/BE0jV4zEr6KUEClOEs2YB7lGtxEhn75lrPUlHfMkn8S7VA1fV0gezJPmB
+fNbW/J8zTVxPWjYpIB4EMTLodtNvvN1UY9zMqHKI8slZ1IP+3GpPyXq6c8p4NQdzcPfDwZ1RMQd
0KFLnB6dxrxve+dicpSsTNFLdctFD7Mn50yFGrHO2eeSuuGIcyip7MdJHUxa9rHEKr7AieV1XHe8
kWbQidOsFpgcFnXAjUVS7OaBSHnrm23YcQ6WpAvDQR2NgNmywCySDqmMg3Ot6aLGWABiPSKQLgan
D8EjH/KEeEgpzP2IIHJv67i6Z3Ifm2xBfdBTewrtWpiXTh3gtIPi0vX05rSKDm/wXODm4MCHCXZE
tUnDzuQJZIGPOIyRv+Sfqli48cXo1/IzcV6MbwW+L3590xrMpiPJkqdyS5nPR+8nhzmZbpIBCzmK
CUPS8H1g6uw1/UZa1hXkYiG6pZYe7eze0QEup3PQ0zbN6LZUu8aS9aVcjfTJk96nbkhnjhv/Sw6K
PbDpXrqRVmaEohkx6y3eo1/Jo1nae6pgx30B5PnQ6fqTGCM9HIlJbOdorfaThK1SWtjQ3d6obvqK
S6bG79Lsp8ucLDUFMyn4RToDiJgX8221oNh5o2weOYy+9obmnN3cmEgvJe+NnszBai04Sih9F14d
AYzk5C+FrTMLD+Oho8bvYHRO8dA6LVaL2q0ec2OBsKSnCTf35rH2hnAYHIQgtVSOMb/MDkrSGIlM
UbEgwdXLDSIMqB+zm4NS+Wfs1JDnQXlqlpSuw2HRXrE/BG0iP3GHoYNAOXFqGvDCGGP6xpgtcQSh
LL/kmZTsPNooTL2h2hOzz99yvHSHYpQtuzqPntRkPkzKCdQNXNbDjs30xlFOIak8Q0lsUgIwLdc9
2jJ5IBa7hNX4ZJZTt5s1bw4Hg2o44a31ptdzyE32vG7/OY9+NVP87bZAzcaXV8JA/74wMPnCP44j
SK00mbAvcC1PQ4b44TgyyJRCgrGhy3AoaSwPfz+O3F9Itxt0lqhdtGLS/Os4Ahqn8awlcfp/x0gB
fc7DX6yIHIb207qgH+XYls4ib7T6tout7YIG+8Mh/Rf+A17pTxtSE18fx546dtl+/HTcOdLFT+aO
401vZafU/SQ0+k3ueuugR7dyuia0+fc/z/jJrqwWin/+ieoV/WDXM2b65njYjDcZGvXG+x4LoEuC
iECt0gKyq73TNECXdFSWoHd2Tra04EPnyEZNHVyORLIHRByMI+X1qsuysUK9J0RjesmVXRefqP/I
g6bTkI/zD9q0n6uVvlfAJzy9eaJncafU6MLemEbCB7cAPgKELCZs4Oz7pUh3tu2aWHPTeh8tcxWk
CIsbtxvBf61axxmVPggJNmBM7z3UBiBHYNHS6Uq0EX9LFEmXETp0Sx7RWkj8OvIuAhm7iSCu0o96
O6E24l47VtqYbnCcnSmo2YymeOoE5/VUfZlWlbZPDhOcza1O+h2P3d5qvBNev3mTOLXciabrofQu
l3p01wd3oAxg09nQ7x8wGDoHBzdEplftoXUSMdyt3+0RY9nN9U3B1n9AhbyuyhV6fz+sYTma7Vdi
DlcA4C7CosbFTY9zLjGUR9dCy6+X1fnMyePAdVPObdPcdUb6BuDpGzgxeytt6zI31omVQDjlzdVA
PQxbkCMgj1uNxU4VtUD3lysuGFej1xFbWekxjW157iftc4vJzbLqmFru9Qk2TLyJyiW/TsfqtsoH
4KjyOl/zk1ZTqThTQkYjLdzBdvbAYUw8MqnW3vaZ+9QOWJozocU7o2zIJo9y2BeR0cMSbZcrKHIk
Uj3jXJSMm/LGSrz7fiSxpSdgi5Ok2+lNeYqK9HasxIOc0LqpGtkAdNiCH9y45fDNTWgZ1Z3szojl
1h/LEZVdD8Hz4LlY7qCygePHJeRIay+7aafBhRocFnS6FtZ1/QB38LaMWiAucz9thiKf7ucluYe3
fmS3BgPQewYGFcygbh4bTbDdT7uPirUZUcg9oXB2ZGyoLPCyrD7eNfp8qtEJW0vPAp5gR1oNHcBu
wPuEJOMZ3ybpdLGos2vtkiiyvS1c2ojn6Nz39aEjFNuvA3Z9cQ0iOjSkOPKxvVu8mLk9RYEwrQj8
nPnJ6nAF8gkJWtVcVNnFcsgh+By7gvsGAyqsCXHK+/WR5gPursXAVF8/ZJMWIiXxtuaiFYye8eqP
2Wvmepea+qLNnIFgluAUN1EvuZtEk3f459D7fuhZnEJ/M4QlTFmv/37iqa/648TT2XbjqFcLaGhE
CqLwxwBmgi3HOciEpVErqUIwv5143zlrrM2JX+JjUKC1P048S8OKaHOR/M6n+m/FYNv8Nw+RRW5G
pTYdG+0ZvNVP54P64U3RFvDDXfZ3FhqIbslPk+vAUm7FTZPwDO7X9JIXBgzPBUwbtCYaWJDLWLC9
12N6YSHzyIepCEiK4yA2/WbTxwQRPfPgFSPbq2hbQgySkv+F643nBJCOqb/09hAQJE9g2iTbfm5f
Eze7LMP47mbJViIvDoI08qI3pPisNwbWfbywlqGrlF1eWo6HrOkOne+f+yymc8zerQaQYrMjdU1R
s4Ndy+VQlUYyYvq2UixkxmuBfdHQtGd0W3vnRrBcGyawfUcWPPCRmDeW05/QogHFgK4aDHHwzWyb
J9kDkIaGIcKkHrKZ7yrdIhXjNTsgjiTCeXFnUHtGsHqSnFmlVxvieje+WXwDZtfsFwOvTRrnkACW
6BE8E6k1eq60CqxK1WeXnALiMI1pNK+mpggwD+BYm+uF6c7bUv1wSuyhCmNZPA12J05lW4WjV98l
AJI3FYZ4ymQQ9+zh4lfGY5uMe3aOd5ykgiZPqIxLKVFnvA9d4AIQRnU3J8T+Lc9/yTL9HigXMbuo
dpnvzDJYHPNxLdOXvGpDWRBPTD0OAzNNryzdP2et9gG2wTmQeaeEOx2XbdI7dNJE5t04JJ+TjNcf
w7BmYaCgLo11GB0qsprKtLbwy97rLEf0LkIJNNZKeyIwg07Dd8rP0TASLhFltnWVPDMl388dqPTa
a3gcm+M+jl1gpxVIgmEBNiEzvo71oB/qZW7ty3q8oSL8s61H/L334K/1ud1oZfOij+kVDXNXXerT
AB7rHuEkJmnLqFj70/UOj8skyT7QpmzW16Cgrlqqb0jgolvFfXqtZfVLm7UpwExFHUipjWaP6khe
qJwIwurFdGh17dYw+qCxJeYOPTp38Xjsq+ZpFNO+7qtLUtc7y5nJ+Jcp6kA/+azpJKjfImHXp03P
a5u+9xMrlGzey7SBQVZBo62c+gZG02d7cW9rLjlB7k8PXl7sBu3UrtfDdIlEuls0/xjP1Y1uV7fG
FB0Ke70Ro8NmYZngDJOEHilS48xcQ2Mll+UQ1+UNmkaBI5KIYZ5ldcU3rUoM9KhGZSAtjrtSmz6S
fM7DuTTdLdB9Pqp0dc1Ih7L22DDM47EWLf6U0ff3emUfE721wzWyym6DAyPdeJU/7wVEu609m1FQ
u4nc+cLjSgPxLZ4TuCdRnqEKW99Ge7B2kIW/1eb0TB3T2+rKbFv36BexKW+XMeOWlTporoMzbHkc
TWZgj5XRnY24GM48e0ghew2blblFhq/K4WhXHNPQMRrHfoLp7nn7BDFnP8JS47PUVhQLunO3MkHH
M33sFbC3TTuRsTmwjyN615mIAdeiKpfxwde+4yb9TpjncR7rs7SrInnuVsuYbvKhOdQxWeYm435U
W7m1S0lkbFptfdW7+L6PTAD8VOxaVjXuOtGxBxHO2XbnNIQTaG3Gwnlr67rnuuVg18is51w4XpBM
cNh0bXVOZs2bOa88rL6WysDZ9Zcmsl6TrDPCwcOxaq7wqfxkouNPLdkraWw0jSxiNzCYL/l8WcBL
zamf7fJGXKyquxPReC69+suUyo+VG5Cc0Yp7fdY2cWMXQW/Op2RBZsFEAmbvNc0JtKURu3nDJviI
T57QtnzQjOw66v0rkS0vRWJ8rLrGd4ntj3wqEaOBy60nY5nZstvdNoq7+3xWxBEQEDTdzsW5SNyL
lhfU4sy14mQfE9PswPTMTtDSqU3ZQHntuMrdY/sE64W4I7xmhNK1V66542XVaHS3gQ3zW2go0225
qNZwbU0oxiglDa6V1AVDw/qxisTjkIerHX82up5pyMoi9osgArzcl/xwlHtlkzBXn1UKiiTke8h/
0uMiX86NhOglrxpPJX48dimx7t6ksroAA0fPozbAr7DFlz1R4+HV8eWyJXPysBDkJxCNbSzyOUDs
bHyKxrEPR1l9rol2ZAK+nDuuz2PrJ0hZUH7zAYGCrJcIunp4733/iQf0TmvwX5eJwj2aBzOrn+Dh
7EXqzgGw/yN4gtuJDZhv119TDjqQNdq1pQ1n2kSjACtTxCpX74CfdMdYTBwJg4w3hs12I8nzo28v
3maKqwCOYbvv7VQGqdXf5OlIb6a7q4zh01Sy9MmBH5H+4g04WvM210ixoheTeMkjdy9i/qtL8j50
6DmshND3DjPfceAXGvRJcQPjMtt47nCCPwhRwfFP2HueiqrWtkvNIcgjayfSNd4TLToXKJUBGFVW
g3zSzrFuIGJC7BY9u+eh0srjaoB4mqIIJ4nZRkHmUgFkpbfJmDFYg7FkAYwVI414wNnysJYGHwnb
uzW6aWXVx3bGqec37OqfTbtFa3PfVst8mx1t1/TOc53HlC02DrzF9BiVzbNWewfT6h4kY42Zwd4z
ljzQiuRsdPI1Lov96Brvfr6eqCG5g4bCbmfQHipLPcSFzTq0S4J/rt2/XrtRXv7m2v0r46R47f7q
7s2X/nD35llA2QCPBpLkP6lN9E2yvjBti8agH3uByJ9DZlXpHMtVJlSMHb/7MJxfPMZtA2IK4xnu
4/9q+YHV9U9qECqQx6ICkDJNZtz1uTz9+e7t6rFeFJ1d3xgeZzI3NsUcU/tC9YQ05lg/SggUhbkc
q7Iy4LRWyUvpu6dySnceKGEeH9fu2B7BEd+sItpqrOWDInPrqyJ1sSqk3adFs549v+GG0StFXwzb
ackfnS6iDWhY2ebG+PTrzL2bY4BAG3pwG21bEA4G6m5LbctpcE2hzBQit077JEpI7dl8qiptSGgb
8rdrBqlZj5dQ92KsBnWKf9OuufLJMhTUrs6YP+ith/CFJ8kOE8VonSbtadIHCJ7LVhpDzxrdytXO
ptsAYX1z+HMGjULKtz6u1HFiOcAKmMxLlb35bGW2SwRicQTugkskOTLqR8eiYSDH2LKtKwKCWk1g
0raFvALq7Cu/VxVYXfaUtiXp/IKDGuXohr0Gz+MFB+xq7QZnfOzSlhtl3j6B071pQLFsuO5fWYDv
dzxg1Oq2GsNKFA3XI6wOvtqS5O14aRruJvlSF7t1Eij89smuDICmE5Z0ldWR+NRWqR9ckyabJU+/
TfgS4mq9Xo1ywldAp86Ydc/FILhJ1aq4pbka6WbYNHioabQcA7Fij6lzkj59TWVDM2RmWBjOMRuc
uzxauJcBVeRuF29bq/R2UtRvrYG3F3sDxCy5tVqxB41DYU56gxp4Nk1Sh6XVn9uJ90w09rdt6gwb
KDV6oE3LuLV8NPIKqHA27tvWvLh2goHGp9sYTkrNDbcKuUfsu0yQiqj7y5qTkbfhX6I/OPeGY1z8
pqi33TLNgVVaVBLnQDbNeiXabg3EJ3LNxYwXbfu4f5wp29lNWXWJrejL0k7LrhDePu5NJ7QH7ZPV
tl8ys3VDvcjCpR2c0Evju1jqV/qs/Ckz5gn/W+fIJizBrJDsd45xizMF79LVMPY3ad234q6u3WJ9
X2bKkAH1c2Q1n/IobgMCyudeOS6qUQV1B/+lzrV75iywKUvQcaFo1niHDBo2vTz5g9h1mnGuKW9P
6/o0Z/11VRe3U5XnOIIYvYpopI46sj9WR4wIoNK09ukYubRBVNP6YDjrJW4RFPUilTt2KvCZTYef
a+3xVOylkiFBtR0kumRnv/RKpixH/6lCIKNQ69wZgHrLwWbjb3JTW2/H1cCWgkFgscc7HnaYCIYQ
OQJXaApJIEInNfvhClWhBkY+nBnZ7xEE1PL0YcW9vHGU2Joo2dXoqNixSmCyfqxzSVfyrIlOC5EA
yK2Sbg0l4tZKzhUj75yqwVdTKbG3RPWFrfrsWtVHjRpcKlkYIsSntYqvbHqa6TpGOqa0ApOiItvg
T/rqKdYNAdlLqug3i6bdljUDJ/Q5/UaCyDEVK0cDmjP2uPBLZ743JTwdE7CODmCntbTnBeAOJvGd
rwg8pWLxeBZUnhngdaU4PexSATgseCnqUGu6Wx+gj+YQ7lXqoQ3qJ1PMH8i3BxjRXEjAAXl4lvjJ
XKV961FXxKBEsYPWFopQo3hCrTAusyIMuaCG0IEPgGixAisKkUs1hKG4RKkiFNmgivizpvhZeyvw
UyQOxTMaFNnIAXFEr+pH7L+lgI96AEg5vxPOAZ2iM9hIA5Ak9s87TVGTIsVPwjlC3kAxleSU7ZMW
ylKqeEsL4KWUb+cpEpNtQ+kAzZRkRr5xFK3JUtwm/kIhOBnz/VwVDMwNpbeK8jR61cH/zn2iG+Y4
13DyBIZkKIeUCqAHuF801J8jj2PGNWwhsTXvRNI+GLClCPl0GOacETCkctBDoMoNar9Eb+47Baea
2vYSK1wVXq+HEX4VBZgZq8J2P3L/s/PmWirUVQPzKh7me22ptyIylx1twOcaOpbQwWQl6zLuJOSs
3Gd72bvuXYlORFKbtsV/7lPf71M2quN/vk+9jF//4iKlvuaHixS4GwsmHEu47/eef4mY+i+OCZ+Z
XlXQO3+ixYHZ5wMCLwIHCksodb35/SLl/eKrsief/6Sap/87Fwk22Z8vUnAtuKshZVJI7cDO+PNF
qhiw2/HW1W6GrH5GP7LJrZj0P4iRSxPuAcAKkjtJhQtOFaTsat75wdBbp6620XAqRuvU8u2rrsNM
ZXk5cr10WMZDVPbm5tKtImgmiK+D96azBAlpWmXXz1NixZ/t49MGxq2FCPR7aJBc930MHjginiTu
bouuuMc2jnENNM0b3cI8f5unTmcTblGoSC1d+1You3itjOMtDvJZWcljnG3VHTHBPcka61aYzjlC
cdoO30mPUkQEFKA/FmAgF3CQYFXfotKTWA0AXsWKGYn0gqW/Fvc8R4pbX5ElS8WYLExA99HiumGE
B5V+OhSsKlpu8fx32w5MZQ+uMrHba0/xK5skf04N83Go/SYUIC4bluYEkuOnDk5eCpJiRELi6a8f
IvCYmuJkZgnobsCZlZZdesd4KQFqZqv/qOOlBPwIa7MztEeQSCSR+EsY6LsJCkXmNAb7dRlhdfZu
/+wpeid1ARhMbfQmS7v1FOEzidK7lA4r5CsJ1GxZtC7Ac/ahdc1Jc6prb03P01LHRzPr75HAwBzZ
NBasXdkHrlNsMqcQG2xtdMTmqD1CUNdR+QYPVh90Ug49riu3FCl6N77RLPuC9eZmcrIj+z2fh1n3
brRULvqrG98JbPqbNbVx5E8YOBfjo4D44Gw6B9QFj1+ovCCTAmbdHLKbHYeDTYtWVRCGibESJ1xx
GSC9G25rCOEOrUPxUn+gZZrIMPVp7Izrpm7YI3FZ2wwp8D595OKr22KfzZMVTPr4xWmST3nODbEb
6bSkZgfbNfdiaEbGpqhoKPN6wCvpokCkX+la2I9wYk5WJe50r/mwkmU7JvN+ZMEXVLnTBRom6aND
PqdxytM82FsrNm8WPb+h2XsOfLWW1OrssyajJ7sU/YFUWh0kwn3qhtjmZRtXUWP0mHFHkK0t9PdR
0+7LZThpMt23eXafpviWxuJFat1XnBs1+zVWCUs/XXtdPmIpQhOttepie/xybUucQKlbe0dTkwAO
n7DCO661+ptnrGbYD8vnxjTGzaQ3TO3UH9TD2obLPB3zaNXQPbRrWcivCb/rrULTB5WTtiCaaRur
mouPe8bx6l2WmP3GwwxFZ9fO7dqSGUG2LAep/8wziMBL3mL1JD1XLfY3VTEpW7YhpZddtVFnBGlT
AhcxjH2W9F+8rD2XhD30fP2ki/6O1wcIi6PTlz6Wck5fXnAYr5PEYJRfvHaeQTZo9xBivyyD31Ah
w5RFbfp8EvkijnWJ+7WCfTzl7YNFjUzS5PeeU9nMSNz1ydNF/TFy+S5rl9gHoMfbLsLzm5miOJYl
FHuNJhBK9xDU9B4YTO2CLa55Ey9eMXHVcG+otKSdWtZFyIAHlzme72ispJDR1t7Y9GT/nLO/5keU
vfE/n7MP6Xv3l5IFX/XHSasStTonI+XhP9OfsHLa2GDYjNlwOJSa8btBxv/FVUs8xAwIIMDp+Ia/
n7SEbX0dU4uLicKwlNDxe674N7sKkeT/GLz/C7+mhV2UMx3ZhJAuuJE/n7SrmZSJUafajekRbIrK
Nds6+pc6/garmRozmD1gmlNvUqXmvnElG/59R2zTAeo8QmBzgDwXwJ7ZIAXU1cz7Pk+eq87egxq6
Nyvv0ihOdO++cNqTsAMgvQKSHmy3ZxPDGt2IRwKX1SPsCVqWfK0I2hYlQQNJTa03GrFxthcaw0FW
r6CfdBDWhiXaoARqndjcghXlOl/TQ4/VZ5MBwNZj9yAVEdvKB+UDecn47K4gs/2sfaYSiKocYNoC
tbYFrp3rJb0k4LY7X+xW8Nupz26MP9m+8cG2sxJiNiURaEYo9S747oHIAfs7crGVtXcBfHf9RHQS
5HcreYQ0w+Ie6fCDVx9Z50wrMPZJcSCEBy2VnPFhFMu+tuaj8R0r7tzLZryni7Z7KgCPF4pA7mCM
i0GSa6V9pnCqDBptvsSKWi5jV2xtQObDhF9vBm1ugTgHu1Wz7bNPi/6tB4EeR+PTgtgDVw9SEfvL
L7lGbrJg6C8AqJuKpO7b+pOj2OpSg7IucCsMirtOvtqBdbscMpDsnie3DY+psed3Fitqu/yV4J5/
x7nT2aUn28jN6v1gM/Seh5pTabUabTjWHuLR4PqoSMYA+K+ttY59U2pF07bv2fC9FlMrETtsY0Bb
1uZyMzMIWkFJaS2tMJQ6xkxDyP2EZ8eWrHZtvlVJ126QoIzQJJHLCFLzT1IL5dq/gWxiHMvbD/An
DitHZAUMOpjUMbDHdn7vrlQccue8FonhBYPR8D00dmQieS5m66XyZhoB5umBOEaCHZ/ePqu1v2VN
/8Gq430d8FpMbvEpdizeCqZ50Sb6NfLeOHeVSLfEVs2tZat4thmHpp8frKR78XJ72JnCKrZ25L0s
A9NbYzkZoHH5DSsNdpBCzrxz2HdWae8FWubHlyKmDealmDgW41NFuMOaoaqWvF/QbqAVnylO2Wd1
czeZ7NTZ5T01VtrQshjvCxZ/tMAx12nO56hBwLb5N54uP8dre0flYLBYor+S/Utl20SRFlGfheuu
aci3mhXgnd6gRIDfYpUokh7m5EywW5W1ZUl7j085PuZJcl65lJGHONHX9OH4VgdkfmIJT6ase/tn
fvtVDwew8XfnSk+Tcz1yinynPxy//e///HYe8XV/nCwAGcADQBKDhIrLErfJD0YUpjON9/r304Np
7PeTxcKvCefU1lQagKI+C3X9t5MFIwpt9hxUtOsSklc6+U8nyd+dLAQIfp7hLDDkHGEgDBk0QQv+
+WShVZfCLG7Ot3OnsXCaLLmxGouLuyUPCXZAwAM45rFKc/aYtnbWihKThZO6+ZHoQP2c0g96YYJF
IjDN9iFjkXaw57G/lnnUfGuGqNy7BY+npHAX4NRQXIMGaxqMcEwRt31XDjdtllkvQnOGnR4RVQjY
LEF4q6LqOo8b/5sHLQ/10L6JdV2cjDiR+9VzyqfBW2w+gqC5pWGPl6FPXJKLVY2JexT5Trdx7Juj
hu/N7I332h6LZ1srqkNsE/2D9ta/TiQ3tonm0bHQ+XLvZrKjY3dq7iT85GJMB2TCuAknqVs41kVl
TW81aRzrrFP5tczAC/Nxr6+qY9CK/Sy5Tr63ELZRX3U3boJ9wo31OXlIMp+tpxzpMFxZyrny2vMB
rYMQsJj+dnUhPRekztRIEdps1WE0igr7SDoWy9dsMtpya0h/52MPfXGk4icK16437GqrHToQRwoo
gYdB1uurWnkwVxqpdo4l50oa6/4+aqb4K++kNNCqdX2N+mR9d9L5uRPtrorTk3CR2UqdHb+0u+Yg
GhlDn9bHZZ8vHoQFfViu8nomijb4DG9zWYuCi0ac7vpyMNkXTCVGk7z9bLkpBHVffzJZWB4a0QKv
1ajjtQnmQU3onQcvacrjICiSabTWuZ79Vgs5TZjBGELrx6jXSBNNhf9VuFKczGKg3XcubzJPF2E3
TGSzBLh2ik/bdgjnKCVvKer+CPCyuscNpuIJq/MlZg8Yrr6bPc3YHK5cGlMvPYaJF50+v0Cu7nLV
52v9so6zOPPmJUPmVvIGz2z07K2lfKqyDhB6PeOBTefmNpnIsVeQXCkctqyJLugeGO6U+XSh97Pd
hzEJWTeIiVQejIl1pIPoXJgnd5bmHRB9L2Z6c/R3xsp11yrnoc+uc0NezN788yz+9VnMvftvnsXj
MPwVNcfiq358EvMkNUzbpIaSUskfnsQ6HGtSprCqeVLDHPzjSWwqao563MIZ/K1/8vcnsQk1h2cm
mDZENkUh/K8I11Q8/fwkpnMJ/g7FmfjqceLz+n60jE8G2/5W+MsN50W/00RRbXuE23yTmwS0uWNm
s81HzRYCLylTtEQn4/K5Z2JHOFMSWppo9tWsZLUpY/YcEXk4Q7SgWMx+Z+iDf42ruj6QumruDItF
n2MN4kwQyt73KHi+GjkFs2eFwI9leL0rU3hikRpQRTORI2dmpf98Cio1xsYNA21aS677XszyAFo+
jazGHRJgcZxK3L4lZnZNDcdCjckYIvqjzhPaIzbOGJ0yT1NU+y6ZrwkoXjVq4O4gthwzNYTHflEE
qxrMtdH5YhjGva9G9ojZnYyDxEZGvlaN9RHzvcac36qBnw7POw0FoETsY5I4pygD2Iz3mZIK0lUa
Aen0K8tWZxp6wtp431YlMCxKavCM6bwo8QEjexuIcaAGxiGfjkKRK6nCRrOI0C5c0V5YDD9nqUoM
KXkjVUKHtJeva2pcM0DwfzCFpJQocV80W++2Nz0mCjGqZDCzfhDxWAxaXOKejvrX1HuD4jmNQ8jA
OzLq/k7v1vfV42iy3elczTYcjc6lnqhn6ViNvVIxszLoPNh5fszSUBrW52YsLqPgbttazXaaDbK8
y3vkOlv2AKrCK379P+ydV1Mcybbvv8rEfS+ivHm4J+K0xzQgQAL0UtEYlfe+Pv39JWYGQUt3azcR
p0/E7nmYGSGqq7IyV65c62+GAdsty8PFMTLSWa2PmHzINY6mMXp+JTU0y0QVhrYqEMdxYxf45img
QRHtzcxpqaMyAzDusAWWEobZl0ZOZPJQxG+FW+RYIFCZlFNfS6l2mV/6zrtGgMaZ1EmFSk8dz1oJ
3IoNSIXqGKyHIPJoRg+YRFpxGuBiWqF+4rk15U3nW+6i+5Z4xRRC3bHb2Zw3igomkRFsEBv2kAnK
NlYPZAltzGBWSe64cuuMw08dRfPc0+nVqdj4ITGUAxtEvdCrvUvLtZhTdIhWapJAPKPt0qSRA99/
lJCKsejn6jq+o90XBJ9wMtTcSdon9hwe2kliqivTtpFW8JyzPq0qNHhV0KI+DugeEd3MFTqxHYy+
MO7Psl46BEUET7iL7puwuQ4T7S4fuvNQB3+qeMkjQQqlAi8R3OPTtjPkOZqO8C4qzD2doTrXcu0B
a0cwvbm/0kgEupAyuppeBmkcThNjRM2nlieVZHgL2wjDRS5wVLVr3lZZAXrfp+YaRo/h2BarQXWX
Y8MOBcjdnFS6KDt5QsvIo9XuBfFcyqPrtMuuldJHg77VN6UcfscGHn+1OqsnOX6yorO2bjL7W1hK
x4rXHtlOInMKNeamj8pQZsDUz3BeRRlsQr5zWxcDGVV2Ql0X0SYL70F042/qERHnyNOcVZtbGEsn
KHh2+MxMaCXrZ2qU2dKsEFTA/2yLT9uiwS7y623x6tHfJNuaTPzWm20RhXLVAHvDHvakpPvmgCKb
yKELKyAKYKLM9oqUl3Exp7yFKohwEjeExNs/pS9SSdwDOcDQH/rDJpOhCNHCn2RThGSKKKUBksdQ
gl32p20R9TdNjrmNsxb/wIryqvbVM2SEI1IJEy0P6hB8V0NA69y2OYTfq0yyRDXnSusc1UZkTnMq
ewsvHK5sKaMDGjIdUyXAMNBM5mGT33tqz5Qli8dWzzSzRpppUvOtskf9YkA+ZGmWJhxHfQD10Vu4
1KjaNLfacs1G3kwMT/UXvaXc1W71Q0bzaJV3Kes6VDDFyapoDlbyYlD6L+DzzC8Fx31wJR1qpXGK
2hzHmEnsCLehxskng0OwRIpybvfRIvQaaaWEmAqG2LFACg4elFTt2fOEKledhu3KrFzQkPmIWJUG
wTpyU+XMVek99E3Kn/lOurKQ4pjkfP0YxKgcWDKYPQe8zwjJHJitQBBqHfUmcEmZT6lAXdUlexpq
2Zs61pDc9Vj4Wd0a4P3Ci8yoppGZHbcSTbnSRLePDXBYjj6GCmWD6mkDELH0TSBRtvQ1H6tLpyxX
UBnsQ6MYz8suGmaa6VyDKbnPyuwUAz8L0Rn/CDncc6N2r7wWu4WONKBFv6XM9UO5cdZGhSyYWkkm
wiC6BVgjuwm7+AgNlNs+rJHLcKQfvWf7GMc7iyBuvxup85in+MQpGDNOw7S22bUYFjoaQGF8zz8J
sBIBQVQF39U0O7eH8BuwmASlB0p0cUqjDbH7bp5kANXHqro22+rWNkHEo9w2jzxMlwcPpi78jW8Z
ZaRFIoPL6G3Tm1Vyf5Xx6uMnmHTQyvU8HRXoUlDIpp7enOcCVy0LhDUJ272e1zfIpD+gE6cvXE15
yAUq2xf47NRV4dKB2PZSq12YAsU9FpXH1yNQQXMHZbYnuHcgkN+5rh1KAgvuYRMw1eyMhQBQfAAw
rgMc1wSC3EH9Zq6EVTRrzOoHcucmdysapjYqWblAoSOPheKPCw8McgcoYNaIizvfpBX4dRdjbo5j
2qQD2u61YNx9uz/TAL2rgN99QPBmZEMoDhaNSvuDrGztcM1Kry9zgZ83AdJHiXltOckZDAe2BC0c
Zi6g+0gB+yRA+Gl9YwlUftazb2Zh7swryymnmYOlUh3i/xTla1VtlpWUfK2A+UeFd1InqN0pEAAC
dThXIQQgvkcFWHAEyr4/S2J1PLLl+NaHT2CYnMhNubMOw8I6UZ3kNIB7EAsSAjA9FZxXhAaQoCh4
PmQFGAvBYQN/QYXHAHLjNhbEBltQHEy4DrplXDdldaYKEoQPA3vWC2KE4SNrVwqyBNsdoLemXnp6
gomhOfZTNMwuOtO9RhuInnMO6WeEfzEKIgZI1p4cJZ7l8DTcsXwsBHFDHWMBx1NXCPhjTi7oHQ7D
Om1hfKgwP+oOOWVNkEHasNJnUVuaqwimiAFjRIc5Evg+fEJBJolhlciwS0ZTu3KFEkIpiCdFTVc2
gotiwElRXPDsnpZ+UQVdRYG3YjrNshZEliK1XQQT2y8lQCsXrkvrV1RXBfkFxmYg6DCulXyJ4cf0
ViAd+TBmAkGdkev+yIRL03rxMAFpaQgCfTw1U8xmYkG+GWV/PQo6jkE2NpPK+Ic3uldFzoliUKjF
aoLG0/vhQ5lTAcqoPcmC6kO/hFRe0H86OumrGkaQJTDLYzF+GQRZCGU+sIGOd9nDFmwEnwhekeMk
7ULPyyPYzqTRiu/Rx4CGpHUmPX0T8iSszJuEMinK2RvyzQDPA2hMNnwmkqGvKvym0YICSYFlrrf6
ooQBhfTUcQAjKkT5bTUyiSgwmAE9VHk5WMr9CI/K8IjZvRBuohpcKOUjtJh1DfNqhKFhCSpWNaCk
rCm3mY1nd0QTowejhyvXyoLFJXv1Qm+ZBDLxSNC8KLPYM0NQv/rBuoKiu6bRiTk3gTLQzGyOz9yK
xd1PahhkCvZak75yzkoHiLcKyyxm3pKywxK2BDq6VenMQ+aHL9lS9h6zpTx4G/bOcp4FfoOdOQAh
WdPMM9sGH0jtSV2WVXkTRMqlkTbxFI+Nr4pV34YRleySuIBHCFMDFRuFCKLAD7Pv6Mz0y9IpF9zf
XRkWGInZ2UOFWRhaHviDpb42nqZRaMzcvDhnz1t3Oj/rcv+4drCPqFuM9XIpQ9OoeXCF9YRsFQ+a
n56FoVOBnnLBdyECq+QmWBJv8BdO5rQzDw8M3FjRqWKVFVPXNk59S2aV5QFUMTwOs8ZbDSimzy3i
pET23knp5ZDhRh5I4XfkYu8N8mb6b8kS7fcleQTvwG0vFQN9i6ItLCQyrEO8NdmKU+C09G4sELrj
MDUlpToTcgnekPyI5Cibotd0hsN9TNLuncgIIWIjnP+wpRSChe7cdkLgTCoS0F6puYl8w5jknnQj
F437pbTTNdG8cty13vpLP9ANVFoBqx7KQAGK0yyOMx8IRCDTH8J9uB0hCDiF/6x9/tmqzP/7ZH8M
0srf5NENqPfHj4V+8VuveTQGamCaWAaaSnR9yohf82gF3270BW0ImfhpO28K/Zp5gJQ8UC3ZkF/J
qK95tHEAL5QMiKyclU9p6k8K/R/LS3wxjQTkVUU7wQYN/nMe7bmFXOC90pwifkswCprv1Cz9SRRR
YpXbeDaUseDwBdMhc9cBhYWZoXTVtEzb86TKDi28QTGfUNEHbgvO28ExfI/1YCEamiEVAADpoYX3
hFJVi3ibBOHZ7dR1NtLudWXTmyaVMBWVr4mN39VKv3EKnM1s3yHvEepcjjQuYl2S5kXn0zRENcxC
XHOCr9c3cO/f8yH72voBlpM1pQ/XNDG3rg/TPr2uHenaTYdj37RoUATrNvJPaHF+rzI7Ecbi56Vm
IP/r2fOEB4O7HZhLepJHjZLdJoM8zPVQgzNbQyop4m5F3vd1UPNy7tXdQtdhj6shCqx6RzIUSfZD
4aNsZsfmSVXHV106RlPbM+ZGZF9gz/3AIfacHivqKrB1Ke+H9dztqPbnLYZD6T0Filu3QAM+S+9p
GsEZj0pv3qQd0dpKzml2rKhXTfTQ+x6rCAvlsZ3POrSgCYPZfac4UHWQiUmGspvkqjbOBj0h5S0I
jXSKTuoKKyLdPUk92ifsSIsBDQW57CilOStPNS6Gsf2BEO8jbgFXGqg55PhuEm9ELk20JHhJjgxG
ressZ6rKYQEXojC/kPyufaf/EYdONnMB+Wd4PE+bMkRNSFavdc+40OvBpf8eXeme+qNRzfZwCMSv
G02zAL90k0jNqsp86o2GuWjqJphxUAo5bMW3SFVEC8wq8K00ZCpC1GcAFhgTGVsjc4wWspXTirXl
ZVH7GSbKOa3OnLcGQLebqgDUGp0MqhjthRlUiEVU+XHgJsXRmETerAzRVDS68cKKjWWXGoum0Iup
PrrAAiJOQSQn9DnGKpyxI5KB0HKY2iOTeKh4h4mae/OuHC8zr+RbU3vhue3ClZvL0daOgg5otaVy
qqoK15t5MRDitonu66y/sVPMiywzv5OVrITn4aJQS+myk4MV3kIY1kr+Ska3eSZZaCHIcrY0B3mp
yLgpVLLkrJDCGiZaaz8mYXECCw5v7yrMAQnWh6Y3DAiUgwH0ElzsCwM9CnDpzMZkYmr1XcVBciqX
GM3rIxj1pDfVYz2NSMuQKfMOY9XxtVkUddeqHZXtvJQqP/jGMLj1mVpbSD6YgaEtTOy20ysLtfwM
7agcfBcuJJU/VezEOmeTDMzzoQj8c63ovdugyedVzBSa6L7unuZVBaeXfMqmbS4bHl1EsjC/kCW0
uYz+ixxLaFIXAdJLFj5Qk8aOxxmHp6o4RMfQpRIU9HUwxW8tRmh30ODmxHAIzL5YUkpVb6KOw88a
MF9DnIl9DHNN6172GuTaI3MogRPgGesIYWHdKOZBoFrelVxbcXWruq0H8VADqTcr5MR0v0dG4Otr
WS0TiXN43+T/QVw9d7gN2si/2y6zuEnSbRsmv/f3hukc0HFRkOOl6fEstvC6YaryAboIsMAslQbL
TxumfaCzxSKlqz6VnUQX53XDxN2JXg2bJo2apx75n2yY5jsvbCHho9PagXCm0moX3Z+fN0ylNZgW
eFqfjYZ/hHPgRG8zjvmspRGA56I1oIyGbrzW8zhaGJq+khtlGeT1md9Ih9RoETdX0SuQwJEqR12V
b6JGv3UrmFxpve5H5cRz9NXog9uIpGyY+pZ3iy7PF4iV0dxMkg2qguYUpChHq5iZObIO6NXAc4gj
Ngk7qdPrTPOPG2qyJ6kGC8RnoyDpBRtrQWF1ojsT/qPmKpzOs7O8NOA1OeFNp7SCdU4yb4BWVBtw
VBGqrmeoBTyYWYYYBeUHFE0tcxq0kXIIQ/Wkrq1DzU2uNFA2gz6uK925i93qilpAhgCft8zMBnsm
gQNtzTMjs47iGoNPxze+apI0G7P6e+ebi6olkJYY6k06xz4HA4NODXy5LjoNO+rXkuJifAzLIrQ4
lSqldO0INlpGBV82whM6EmAtAQhRcmHvN3AoSKJRWfimkyyk0Pnes4cabXOiI9FwmhdfQCMtkiiA
1YOInOEsGq2nFNcizIJ6kVYqG02BTBdLN63uXnOUXJgN6FmHWjz19uQuGMC8STIufQDFJkofng4t
Q1dEzRe5d/tZFZnJt0I/xPsa/6TaxmKPwlZ76skoLXfUzRIDD9KhaS99oHH8N9KGJgIMdZF+a7gN
F9n3aRRIWDN02dIIQEuXtjLN5AF2GO8hDHFlCGU7nmWDDWp00C4CG/575z7oBbtiYJpXemZeSJRu
p8j8nTiYPyBbavnoWFBg4VR+IRnuoQHFCcUoKLx9EV5hoHUPhhDr2gRCR/QQpuU3zyEDo2HaoY8Q
mavcVTrQVeySHMm9KSfthabDnAksd0ruGCGJ09BdF9LH0VLW21WkavE8bXqY1whN4CGcz3QTlVY2
75ssS+aOkscnGAf5pFhVgIcESWPaK+jvVHjAS7ZF+bUfMsoqTr6G3PK1GKMLN2/sqS6HlIICCV5P
jy9A0lA1jcvsWEayiJpMtGjs6iYwrROUvy7SNgumVuAkU0kZx2WShg0I+xLlgyFlZmrq9zwtLu2W
F2903mwwxlO5cfFlkJQZJsHIMNsXDWaynUZFVnHdQ4uMj7Yl52gEYxY9rc9pSQ0SNGRUTfKOLCws
0DyWxmEDjbOaIjTkQQTlt2uE4UH/zeSIQvSAALQSwwDkcLBEljeZD9EFrg2YfyDq6o0b8MabujWv
vL69imLIQb19DqyZQoKHNHanos6LL9k3sBgp7CRrLuTy/aE1jzA2IBMU+VJjwIwHM7LhvQ5HNOrm
WY73YYTW6EyV9Ee1r9axLK17uYY+YA/pnC7aBlrgashrvIJNSGWyRbcJHIM1GUrYkGrRXSZWl9GB
q5Wli4elcE7kflpsVrqGGcif/1BjUqXBiN1JpIs6dSxdFI38WCVMCd1MAgzFra95WZxWMQw0aCmP
eY4RpNQtqhCvBkmN9TkJsLowFSqf8lieuApOk6nO22bEj4uUh6ZgCF+zTm91FCIXmUQM9gLbQUi5
1OGieisXiY9VpgybwkTPzCE06hG6IeiNTjHtXI+1f1YJqwXa7ijlBNoloqYdpCrM6it5ibPqVT4S
KzPlUvEKKoEjnTg5szYe1puYFx+pPNysC2QTfYDmq2SOyhTcazGPQ4QiSoNJHVXubWuOt2VdXPiV
7q28WKKRqjRCgjya6HVzmdtKMisj3q8m0fjVym7aYYs+8ZLyDrwJoQIpa985I9AtvcKH9KdXV6g3
f4vU+rosEK6Oo+Zad2iYKmqnzGRZBeZXhS3Cjb4xHTC3pn8K5gb57cOyCi9TU1uOOWLubqTcdlEP
f4I+rYEZytR2InWi5SaJnfqtNb901dHo3nTBse5rX1KSd6Bi30IKrYGW8GrSemmm2amaY5+Zx0q1
kkPzUSHQw1R2ztvAZGnrkruSDPQeLHMM5rFFmTzQ9VnmdCdVHl+0VDGtPib8BsN8HJRLwDLHfkY5
BYGta6tGBEMu6qOiPm1NSoUGsnGe5Z0jLhfM4swJliq+LFOortfKMC4hcIcnqUT4H6Vy7WC2vYA+
Gy20ug8no6JB5cht3pYr3OW8I0OY2lSYfgBWyDynQEeBJjD1x0dczfx1l9ag3uB7GtZ1CPB/iayo
YA8W43Cq+HIw9SveM61qc+XZ9KcRcMmIX0duPTpnilaiFTNShXSrWj9sUfCPKYLZm0YfaI700Mv9
HCMjNo8QDJe3SAxlrebGIdHoyOTAHdk65NEalwmp1LFKsXIiRFt4E72SVn6hnwIf9lapLz9qg/wI
ffSOLQdCM6KcgyzNEtuaqbjBajX3WGlKNov6+L4PYAQZng+gAEpK7VInTj3zxu+TdolTcDjvqHkV
KAqC0MV9pJVIuS3z2GOw8ztEbhTdvUBcYiVJnYraGYfrHLGPoEmUKaohXxl+dnElfoSYedRCZljk
yM6XlbkMbVrjBniqBcd9jlKlLLRtEadWiu4mrbFs6eNLQx9mZmx8TRx4VEWI1esYHXa6uSgDKL2s
E/jW/UKp8yvEDO8Jruc1Dq1TeD30nMziQpHKBQFOWXY6TW9HgQvsQ7u2oEOlZq0KeeAzSpqAf10f
OXRs2OdlDz6cuB/PfHPET8es5kmPEnFuoosbZOpmRPoVajQ4wAAstGKbpyS5N2WZn/RWbE2zRJor
KNFiigKzKly0nXpRFu0xK3dlqaYMh8wXPS+hlhOvO4WtNlJOArc+duPsmmrhDaoC7BGpdV2p/Trj
9INlAsDAEPtNvAq9b5Qj0qkCeGYMjkq9XPeet8g7lYZNYMMMy9mjJfNrk7frsUc3OA3uYt04KiKF
gqI2nCAL1qyGcqDl1JvrRMHd3UwIhJK/lI0AET1DX0UZ5AB5PG5KTUObEDK6ieph2CXJuebK48yr
bWkidYjbtL4OkVScJjtd1SZGkg7TvILkgm/uqqIRBlQnvLM6chi7b86tHPKpU7bZEkf56iQpUJ8s
tO4YWQRbgDrwTXalpZN0ITmnW7O4jJgO65VZS0eASZOl6WeHDtkW7INcC83JiBBz8B9w3MtxjFPQ
r49jtwhSbKld8juvRzHkyjnuoCuuwA+FO8op7e+jmHoAOkA2ZPTqZAFQ+xsDAP4NiLIOxUVwStFW
faPYgamKgsmJzbGJtr1APf8BSJk2P0etnzAANCFNzn0ApS0V7Q5u4i00ri4B5MZq2J+BJ5YmOerI
llte1SpOSaFKRWxU0uwqaJWYIkaSXFZCYFmSlWbVjC4WqvCXgUihw1zo2qlm6fKccgnqTFYI0x3U
ay0EnH2UnJ2mQ3xZiDtHQubZYfufwimzpk7jZlc6atClTNmhRh+6DXzUiTxMvjohHg2dBdSToWpz
D8eqWaUoX+Fmxqs4RkAtdLQl9huHGnrUXoEwdS8kqk0hVh0L2WpKgd/BP3crB0XrVEhbFxwJ1r6Q
u2aHQYYiSnu637F6Fii2i6Zy7ayQraIh1qnASJ9ANAJOEwtgTZ4KzWiwNhlqlWxreKalTXLS0KmP
wOV0AqBTg9RxBGTHALsjN/o8sjx5roLqiUD30NHCa01ZZwL2IwsAEOe7BAM8/7sBNqg3nX4CkPDa
K6JrIRI0x04C5VcQRbWAFmkCZKSlSB2YHrrjIwAkyQTwJCBJfWoemeiq0pkilXcEbqkWCCbf7WSE
N8dbXnSI53t+mUnuqQ7sCWLpSnNpg+oAolyAUcjDtSeIiqEFW6OUXgCfQuiIBo87nhoZr7TO+1kB
1CoCcqVq5fUIBEtycw4Svn8UAc4yBUqL5hT+agK5xQ53aKDjTz8FFkcHvAuFSPByiQ7EwjzJBAIs
E1gwTjC3uTd+wX8RPT7QYpLAjaFAgVuEwJKZdhHZZ2zSoXYnq6YxHFrUZOdYaBxDiBnpuSqlN4sN
um++ZTxKVbTA/AHGkTQsnmg+LjZ1tFXjI6x/S3QFQUOoiXKiWZzdY6FJ5soKnBvDDpaDEc3tAsMe
FBrYiAyjnbZ2iYqEFyFBQuo/+ORZARJq8yx0FtTnqaNGWO9BYnEPpaEqiP94KXYs8KnMTNW8/CJO
U2RiAv2wtzHYyKNEvkp9FxKKjlRyliJEifcbvUIzIYh3qJzL6UQb3MdhUFcBNgCHkWFclbULrCKt
p4guT2GOn3IaidncDRPbmUZGqsE8lOxSPyPnA6sCNHyK8Lm5QHTwso0E+rI2TuSgw+oYZYipLBlH
JWD8I2XIjgs9Vg6LjFzcqx1ECG8qxT2TOm8BprtfUKVHPLMMoimFg2U10CSkETizi/jOj42FneUs
dZZJnls9A5t8z/3qqLe6/DCSLHsWB4py5ne5RnkazgH5PdweaOmUKN3TtpDQynfAUg7YoMWYGFCh
pa/vIko5KKDbUGim/D6M9qRRVXdFLsteWWX6cvBcZyZLULbzIj2GMmbNB6/RjlBvHI+KUJGWelbI
8wxQrinRIB2j4QiB35tcSrRzNSTlIPqh3QhVfuqjlCLRj/B6z6WZnN8WVuj9qFJkVXyW8RcrDB/H
cCQDAq0OiuJp2/hf0P17ucWtnqx/813ET8+zIK2vsvkTI+eNq+u/9Jde96jtF/ojk1ehlfDTjvx0
Y0839NvrxBvsaJsHbGTZXtnukFUwdMSJ+UAPijPoGM8/lhS6ihYfoOLg8viuN2P0q1H4/QN+9L/9
eJ1f3/zbDMOg0flvPD8P+M/jWwckFybkJweEPR/Kr+8fn+KxatHNfB6ffRgEEpP3ZDDlfan8z2eC
caABpCTDMn85FKj9OQpKwns6CPLzFH1mPP+9vP5oOTgHKohSyvFkquLDUP80H1TBmbNJEfXnZPh/
eDl8mAliFf8ba0I85ttFgX2DTYKsPc953vf7QVDpmViCxvc/HxI+jAGvjmW8c1zUxFlEtZlTPz+8
TEB8Ysc/h4znr9q3ecAYPL+c3RYDkOinkPA8D97vDeJAR7hQFHVvB2H3sGiL/qFKxw/4zNaIQBfR
FjFDf9Zh2r+Z8KGN+ud7g0AdiQYlvu5Pn/fbJK1UzcbghUL/voaE98WLPx8E+0Dsf46mYYUtPh+W
g3qgaLptQG/Y10F4nqI7xATMCyxqMJYqRkJ8PuwNOjuorrE37OvmoO6eND+pyHJWB0+wdTmQNMPy
tNBzAQ4nPvs6H54zuR3mg6CnIldDyen5QcWjftguBSSQTs7rUO1lyqDsnjKoB9QMbQMY5fOsIBT+
NBSKcYBYsQH5aL+HQn4OX7vMCgCnAGt41JdT0/tZIU6VNvB3W9nPNFrUqXdOIcHjUtJWcC16NxE4
RMD1Fjab+xojhcnNbgk0CiKUDGD7ab/Km1RSBkXGGmdf8yYh6b3zIAhNTV3/OAX0AwWxTcwMXvbR
Pd0htN3TJsIi+HKD0PhuGYBlV5gg9HUo5IjPno6BsvtJCm15WSUaWC9Vtg/xUJwyHBNm976mjtrO
qaOG06MtIzILx/b5824+EBYRpQClKUwl9zNJ2L3AZB5QP6N4or/M+Q8zAWFdfsaRel+rbC9b9i7p
gXPAEQGPEiQGnz4ssJ8yJWYCnBQF1cO93Rs+I0eirkAKYL2UGrecqQEGI6AstJX3cznsHBPIEnRa
D3TvnyeC/D5nFhhtfqxDT9rTQTB2jwkcmTEL0eRfFRbIllHjVGSsz/d0EF6C1S4xQUcAVVU1+zUw
fsgW7AMsXSjKEjfEZ19Lji/dkV2GgtdtwjDQwMM8fT4sCsRiFToQurO34fE5ZO0yCJQcLbRoDfml
svB+PrBHQN4gLog63F6GR2HXvNv5QeOUQGAgQ37ZKN/PBFJoyrJYj+7rFvHSGdhlIkDgEVmzZb2U
VT7skxoVR8vUcCnY04nwUgrdZRCsA4BujgkD4Dl1/rAa2EiRliM4Qifis6/R8YOI9p+X4SmrYEnB
wfn5SbelDPwQRVNBrtrjoXhplewwKyjG05ARXGuYaOLDdvBzHk0RBjlYnab9vi6N3WMkeQHolL9X
xoeOhMieEHbCjmRvg+TuRRbzwLQgMmryS7Xt/UZBqxbaM/W4ve3ZCxHNHXdLdgoNiUbOzs/L4UOQ
ZBCQTaCLua9500stdIeYQENGdagvMAhP0e9jeFQ5bZAz0Lza15jwnNDtMggarRh6Tohhb58J5E04
oslQ4fZ1o1R3Xw42hpZPw/DStN8SEyhIcq5UnwdpX8Oj8KHYOTI4mFTRpXyJDGSK7zdKagzspC/1
7v0DcQg5lx0HwWDhq7BbEa59+nxIpKm10JkEzrO3M+F5te4WGRxbNiB5PI+BWP8/zQQigwbUh/Lr
3g7C7u0Im94csF8mwvPK/7AcRGIp/gH8JT77GiS157R2l/lAZ8YgJ6AQ+3cQ/Gk+kDhhhiPTxNvX
nEF7PvbuMgjUWqi06EIT/OmzZadQHXoWjrPfR6qXxtFuQ0HFHb7I63z4sDRIn5BuZ3Hs66Iwdg6S
VOXxk8JUyng5V24ZBJFBKuCk9zSH1HfPGXTRjRT1xV9jWEwHZzVG4Tl07OlQfBBv/uOSC/MBzJJJ
ff4XQ0EtFvwrIVJ5DiB7Oyt2Xho0sUUPgsblrwpxygENboXi/L4im/Td8wdT1OaR+XutO304aMOS
oOQCiGpfN02hw7RjOg1zCi8NEQffpZCkDPzAwql2b9fBzk8vcMBYFXKeeAV+vh8EFZ0s4I60sPc0
Lr4kdLskC6L0SJlB1N2ePrzvn5NH1oHuUIfe2+TxgyLpH28OiIvSnRKB/xfcgKfutYiJLzyE/Ttb
C02BnYOBruHaCVPwFxn0EwoOE2vBJ+K79nAQdi8wII2ny6BazV/Beuhb4/MAgeL5u/ZvED54qf/5
chDtSgXkM/2Gp88HbBOkKXBNNrX4f30m/Asj9Tf3eOoH8cMTNRk1+23k5F/9hVfe7sefv6GbPpFu
f/qbV0P++Pzlz6RU8f//tXlIgnQWVHUZ3Nfq03R/89PX6f/0TS+///KIH7/8py97fa7XP1xhu7sp
73GyfuJiv9zo6SaB2/zfMf962Lwny4qS8Oufie/+v//n55t9Ewt+f3XEux9fL/SPLaPgZP/zqP/u
xZPNQ1a+XujNxdlhdr74RNiYvV7nzbWZqTtfe7qJNy2vpHq91pvrM993vz6an9WHV0pVgrD6CRdP
63Lz1zSr6m1fQdK081fMHuO/TrNy6/iTK+98/Xn81ywrmTyv13oz/uxyO19/UeKQse3iRPSdL76M
H9P09TpvbvwzluuqSe6y+KH+eHkB89/51g+T/LEMNvHrpf65e0Es2v3y6bBl0AUwfedLHz+WW8Zc
AAZ2v3SQelsCgfIZa/VkE22JYQKbvPNtn2yq6nHbmHzGAj3Jqr/+O/Ue48dtI/MZS3S9eSAAv47D
m4n4GUt0vSmDbUPzGUtUXBtpxy23LiibO7/W9WP6kN0H26KXQKl9wvXL+8eH1wv9M+4C/bX7xTPu
/fU6b679Gct0nW0dk89YpVwax9THYcudf8ZKPd3k22bLZ6zT08d28zF3NHCoe32WHXLHs3JDCHi9
0JvX+RlL9Dze3G9zqRVd3Z3n4TlqlNuSO9Gj3/niFwGpYxU8bBkZYf238/UvN/clR4K03rKXap+x
Si836V+TR3wXtn3BZyzV5y8o0035sDWQCcjxJwxT+tcsePS2PcRnrFrxEAtWwH1Q3W/7js9YvuI7
jrJN0WzbrUTH9FNG6aQJqr/O7oIq3/Ycn7GYxXOsN/Xjtut/xnrm+vXmr8mmvNtsyxlEG+0zRorv
mGJutCVYizbqZ31D2YyvF/snpop2x+5f4G+2ngkFT3r3i1PD2Do0n7KYgyoKhqx5vc83A/MpazmL
N9uyB1Hw3n1gSEy2GcuKeu3uF683iFDGm6Z6vdibofmUpfs7t/inatUOGcRvPXd3vjg5flBvSdoE
tGDngb/6nc3Zzrfe/NYUZtfLf+Ppm21rVbAAdx6Z30go73rjt83dluAryt3/n7veVpb9u33xsVj7
qu647dd+rkWLv3EfP27K//p/AAAA//8=</cx:binary>
              </cx:geoCache>
            </cx:geography>
          </cx:layoutPr>
          <cx:valueColors>
            <cx:minColor>
              <a:schemeClr val="accent5">
                <a:lumMod val="20000"/>
                <a:lumOff val="80000"/>
              </a:schemeClr>
            </cx:minColor>
            <cx:maxColor>
              <a:schemeClr val="accent5">
                <a:lumMod val="50000"/>
              </a:schemeClr>
            </cx:maxColor>
          </cx:valueColors>
        </cx:series>
      </cx:plotAreaRegion>
    </cx:plotArea>
    <cx:legend pos="t"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00000000-C98B-4385-AD51-80447D686467}">
          <cx:tx>
            <cx:txData>
              <cx:f>_xlchart.v5.14</cx:f>
              <cx:v>Sum of Amount</cx:v>
            </cx:txData>
          </cx:tx>
          <cx:spPr>
            <a:ln>
              <a:solidFill>
                <a:schemeClr val="accent1"/>
              </a:solidFill>
            </a:ln>
          </cx:spPr>
          <cx:dataId val="0"/>
          <cx:layoutPr>
            <cx:geography cultureLanguage="en-US" cultureRegion="IN" attribution="Powered by Bing">
              <cx:geoCache provider="{E9337A44-BEBE-4D9F-B70C-5C5E7DAFC167}">
                <cx:binary>5H1rc9u2tvZfyeTzoUsAJC57dvdMSUqyfJEdx0mafuEotkKCJHgD77/+XbKd1KLlbPqd6sPRUdvp
JNSCFvEA646Ff991/7pLNuvyXaeSVP/rrvv9fVhV+b9++03fhRu11idK3pWZzr5XJ3eZ+i37/l3e
bX67L9etTIPfsIms3+7CdVltuvf/+TeMFmyyi+xuXcks/VBvyv5mo+uk0r94tvfRu/W9kqkndVXK
uwr9/t5dJ/J7VqZy/X73Gf79/cdqnUqdrGv9zs3qtOrfv9uklaz62z7f/P5+Zyj8/t1v4198wd27
BF6gqu+BmLATapmM2JSYDx8YIMnS4OmxgTA6MU1sEcL4j59drRVQvo2rB57W9/flRmt4wYf/7x1j
521gXv6YNB9323nZohEAML+//5TKanP/DlisNvr9O6mzh4krezfbvvSnjw+z9Nsunv/59+gvYN5G
f/MM8vEk/7dHu6j+F8Svk/XdpjwA2vyECyaQxcUj2mQP2swiyMTi8bOL+XS+9uM9op+A9YjiyHD+
I4GtdL8+ANDshJsWx5ySRxzZGGh8ghm2GIX9/ihMHnf1GzjaD/F4gAkYj0mODOSP6/TdRS31u6tv
UufZAcC2TzDHFAmLP+5qNAbbPKHUNBHCYhft/w/W9qP+2kAT0H+N9MhWwWqdH2Kf8xMsYB+Dmn5F
oMM+58IybT7a6FP52Y/3DvUEkHe+f2TI/pHkMt0cYFvzEyrAMEO29SjDwQDbMc2QOGHwsW1m7W7r
6RztR3dEPwHfEcWRIfxRbsryELtXnNjUJKCmrVd2r3kCD01Ouf3wBRDsz5X1dL724zyin4DziOLI
cL6RzabU8v4Qm5mcCG7ahIAe/gHl7mZmJ4QxEyM20tFvYmo/zi+HmAD1S6IjQ/tiHR8CaHFiggPF
TPGaQ41PBLIR5Yzu7uap/OzHeId6Arw73z8yZM83ZXoAfWzDDiVgSllPe3hsZoM+NhEXiGDwtp7L
6an87Ed2h3oCsjvfPzJkvU3ybpVBOO6fh9dCJ8y2GMMA4cPnhctsnWDY2uAyj0zpNzG1H+OXQ0wA
+iXRkaH9h1rfZ4cJgxEIfZhgd41MamyCSY0xyO7HANnI4JrO0H6YR/QTMB5RHBnAbpbU+jCGNTYF
JuA7PVpbL6LaGKLanFBh2buiejpH+xEe0U9AeERxZAg7dXUIYU3Ac0L4QRnv940hbWGDooaQ12gL
T2ZoP7675BPg3SU4MnQvs7TalJv+n9fGhJ5QRhkjJnvcwXsyFdSmFiXjCPZbeNqP8YsRJsD8gubI
kD6t1bcsua/+eaQtULmcIsvC4A/tuMTYOkEUERNCII+bfFdUv4Wl/UC/GGEC0C9ojgxoSESvIQqy
PkSumZ8gQTHCEOd4+LzQypCn4Fu9bY1c4zcxtR/rl0NMAPsl0bGhDQL8IbKpq0OYYfzBIRZQPPCK
lsYniFjcZmhUXOC+ka9XMN83yhTY99EdGfKrTbM+SOZZnGCKGSfmk+m9R3GbkKqEpMZok0/naD/a
I/oJOI8ojgzhWfLOy0rwoP95nU34CcOC2vipukBAzHpXdYNSF9s6E8hvbD8jI/xNrO1H++UQEwB/
SXRkmG+T6c4Gqp8OATo94Tbeul32ozR/ATo6sUxsgi032tlv42o/3nvGmAD4HqojQ3wOFXXpYdBm
BFHbRmg/2tvsM7fhHzQKoUznaD/SI/oJKI8ojgzh2024VgewzsDxQgzqgmz8CsIYakeIBbsZ4X1C
fDpf+3Ee0U/AeURxZDiDrNoa4WU9HEBh0xPBAEoT0VctcQiHQ/3Y2Cp7G1f7kd4zxgS091AdGeKL
ZJMeIlEJwVFs2ki8jKiAvyU4gnLvUQprMif7Ad4ln4DtLsGRwbpU+aaU6+QA2xiDWY25va3QfviM
nStkQ0WRDUobslvbz8jufgtn+5F+McIEsF/QHBveaX8YA4ybGDYyeyr/G5vbaBtOE5RyPgqeLCfy
8wrCz6mnoPv8+0eGLKigd5dwhuQQ8LITi0O5AVR4PmrkF+UGYH1hjixhjTbxm5jaj/HLISYA/ZLo
yNA+hyNfhwh70xOoCIIibesVvxk8KQrPIFU5rhuaytB+lHffZwLCuwRHhu52+TpQGLYu7+VBHGbI
VkFJAeLkqfDvhW5mUKtvmXD+ajeP9XbG9sP9yjgTcH+F8sgWwMVa680BzG3woy2o0efi0Us2zTHw
UFRE4bHF6Wh/T+doP+Ij+glIjyiODOHbOlmXBygNhGIE2NTbKMjTsUnQyDvhbpDgWIAdhmzA/nnl
53SO9iM8op+A8IjiyBC+yPS7P9Jgk2wOoaitEwiGYcJ/KOoXB27gtBWchLYYlHfv8a7eyNx+xPcN
MgH2fWRHhv3l+h7qEg7gVENsjEJSA7OnjOV4d4P8NimkqS000tzTOdqP9Yh+AswjiiND+GO4Pkgd
AmhoOCNHCSevFZ7gE8LBeoNTtLvyezpH+xEe0U9AeERxZAhfrkt5ABMMulhAeNuGDfyUkB5Lbkhl
2GCaUyZGsZLJDO3Hd5d8Ary7BEeIbp4dpKD7IVoCEpo/GdljGQ0WmKAW4xgOXj18dvfxdtqncvY6
0jsjTAR7h+bY8N6k99ndYbxpcQKhLyEYe4p0jwHHBE7jMEqIGDlVl29h6hWsXwwxBewXREeG9i2I
bmg69M8bYNsKYIiQgfh+Sk7uCYVuWxggOM+xu63fwNJ+pMcDTMB5THJkKF8nNbTF+udBhhMbglAG
JWNP1QYvQDZPIEQibAiI74I8naP9GI/oJ0A8ojgyhC835R00x3IP0EqMmFRQ6FbwqIJfGGEQKONI
gPf82O5gtJmn87Uf5xH9BJxHFEeGM0R1t/UkEBI7hNMM7QogEAIHJV8DG51sA2JQ5zvazm9kaz/W
+waZAPg+siND/TIDk+yf39xwOtoSJkjnHwVE4CjvhEAhSGJbGKq60SgEOpmh/Ujvkk/AeJfgyNB9
XMDOuvx2mF1tnVgY2s1Ai8BHEf6i5gBSlYJDUSAcnX347KrqN7O3H/P9w0zAfj/hka0BOGp4iHoE
iG1DJ6mfynvrVu1s8G2OAyoEBTjYu6BP5Wc/1jvUEyDe+f6RIXtVriG38c8Lb0KgbAwOY3D6Wicx
aBdpQ88DOi4Ym87RfnRH9BPwHVEcGcIf13cltPxMD3I+g0OUGzrGQRfIR9k83sFwJh6qieAfODe/
J331Nt72471njAmY76E6Mtxva+h0oQ7SJRBC3xzqSiwwz36guiO3wTCDDnMIcTwyzN7C0360X4ww
AesXNEeGNJgg7zy5CQ6hoqH6F0GUDCqAx7qZwUl5yGDxH8WEuxr6TTzth/rlEBOwfkl0hGDPQWnf
SX2X/Zjzf6YrO4OzGAw86P12OOSzwFBHNicjY2w75T85mmJJvA73y2EmQv6S8AhhP8vWRX2oXCZs
cgsDwA+fF+VkCIqNoJpUiP1NQWEFvIG51/EfDzIR/THZsWEvdSz7rJ6yt952FcO2AR2BLY1/9Gwf
O9+w6Sn0A7ahGOWHrHm6iuENPL2C93iEKWCPaY4M6c9gptcHiZ1CI0Fo6kvM19piPJQTwhEfao6q
Fd7A0n6cxwNMgHlMcmQof9w2KDtEj0FIYBOModvNUyhtbLOBN0bhND3I8XHN0WSO9mM8eqMJEI8o
jg1hiJcd4vw0NMGwiKDQfv+1FmUP9jq1oHJwJK8nc/QKwrv0UxDepTg6hJP1wWKiEDfbtqHb71tD
G0lLQHP2Fx0vsqkcvYbwDv0khHcojgzhr1lyCIcablhgcLwSaktGDjUIZ3jAEPSf2926UxnZD+sO
9QRQd75/bJDW39b/vBENZSYITuPA4ffXSn2hMSi0XudQDjxCdiI/ryD7nHoKss+//78A2V+zuPPC
27vN/vgxt3uCIW+/oQ7SypRCSnK/EAZrmSJQwoD7vpwk9PD7ebPe49GcfTztR/U57c47Pr7iryfl
MLfOvX4j3c9r/rx1tZ49XBD47FK6Xz99eH2423BE+nSWac+E/ewfsbz//T2UaBLQgWDh/rx7cDvQ
zkmov68L/LE0dik3UPr/+3u4b3AbrobWr5YNfjBl2yMX7ebpEeQv4BGGrmLERva28WsKveBDuMUQ
Gg3CRThwaZ0J3buhLyw80ln98AhCo9tm3+LJVqP050WO11nSB1n6c2ae/vwurdV1JtNKw8Db+Fr+
+L0tvzZcpGTCsXzIpUFtC1yxtvXQ8rv1zfakLkzE/xjcIHHZJdlV3dN4uIxwbkcraLwS4VlVqeSa
yaKpXJXYKzsvruuQ31lB2M5KrG4blGSOQuqiwOXXpM/OEp3eSCW9ysCZQyL/ktv2Zd5lsZuydhGQ
JvBKHV+EZvtliNKNkLpzsgbr1o1p9sEOhjlSVuSEQ+LUfhh72KodklTRZVUbTgcy0CtJk6Jv2Iic
rmmDZN4GDUdLuA+ylGc4plWwiJFhDY7ZCCodlZOIOr5hktyhTb5kkqlFwcQZTfhg3RK/YtLxVRvV
nhBBaF2UkdRfo9ZPvbohCs+buokGt6qjc6ZTGrmJsHU7Y6VteELzMjqNU9YMs6IMzGKmoBw0cJK2
+1ZTFTptkn5huV27VdgueCPKRS7pOvcz32Nt0X2IeNLOSZ1dSt8sXKwry8lDOSsG33RCQWaZ33zC
pv/ZKIdlxYybhik3bdql1adeY1QXXWtfiYb2Ds+pWyb4ptdynRvZeVIzw8mq+rJmaeowIz/lIcud
UqCbpjaW0B1plvrFigf5d0xKRxntKZLVWUvVaeAXF4FIVwp3qzorv5m9vhFhcooj+ikWjRfa7NRH
wRUNG+0USf4xyQeHpdJLcnPR2vqmrLhHunYZUeuLYtQxBV8Lrs+SqK1drgieReJ7irKZldAVaetZ
m/GFlQ8uyvSlL/W1iKuvpR48VnMvN9AsZeFqyNQV73tH2MMq1dap7vCXoc0uGxw5lkpXgKWbR+1c
hOEq8rOVJuJ8IPYc/NKzyI4WOTX/wnY057K6zEn1Lch4NNtCHzBxa5XIlQotOO0uUKMrpxbmqsah
1xfRqqT4Q9G3bjUYn+yQLJNoi3CdeXmslhpxh0vuCL/YCEu7TZp8YVH4KTPDmyo05n5uX0Byc45r
tTKjJnFojy5aq/vWABOuSJEXp+jCb4YzzpBbhtVFwNDckN1524XLTKvC4X25KRm+aUR3U/axcPyg
sT8wu1xI2oYr6luXvY3VVZmY0VLFSRE6EmcE5U4D82V3xZVJ7YsWwZKqhbVMGm24BW1zL9fivg+6
ldkpz1LkgsngQ1dU1Oty6TVJwjxSFH9VUQ/Lj1Avz/1FVzT93CD+X0OZXLaiC+dc1bdx68+IQZgT
W5We4WyQDorT3CHKYq4Rlp2bN0Y6wyG69C3rxipl6RqWqpyoA8SbSFxHubHQlvLyJspO8zA2XEOz
aF506LKK6kXsB64tMsdsdT2D1QFoYVw5otbXhR/2bmrpc0yG0g17fZ4oeWX58QUpjAUi7UzRYpVj
LJ22UHe5pQCMwfBwq1sv8nuYrIp+sBO+zKqIeGUWESeN/djxh65yjah2M7hX1MWhHTmRzC+UTGon
rgxX4ezPCq4ddXqsGtdQw6pG5LKL5T0lReQYHJ/6eWo7nQwjJ42aG5riz5WgZ4YdnHKjTuZJn+au
KdtLKFDrncYCCaCMJHdFntYeLvzaaWVezKO6v8gK1DqUyKs4Lj41tKZuGHa3AbVhvSPppEblNjy+
8hOYmrBQsUPK6JNoVOoKGQrHso32YshIch7aNHafXyS7o0/usrwvZRA+3Q3884//uc0U/Ptws+zf
f7m9WvjvPy022Tawq8df2ur+n9/6+3bara79eVXtSIM/3k/8inr/5cM36X4TFO7ruv+hB/5Ltb8l
+qn24ZphaEYHtWXmNmoGWvpvtQ9ONhh3DBonMELJNvn5pPa3HezA0odSNChdgaI1Csr6h9rfnsi2
oQcpFDUROEMirDepfQFu367ah4MoYHtw4I5Brn3L33O13+SdttMgJFe6s0x36Jpl21uFhyJCnJIW
84zg2imr/gvDA/F0YN2VhF9Uoo892/TVPOp8a1GV4XnVZqaTmumlEZmlw4e89jrdrLqSas8SJVxk
nNXfepF+DWUw61VyE1vRIu2rM0zwTZHnsLWKvnZEjrVTInyRqth2AoN90rHIQOGq6nRo/U9DFn2x
g5A5WTZ0Lu3UlR2QK9TSmSiyM5YUy9geyHJo/NKtY8zdJuwWQTzMMM+/W3l4U7eBfZYG/gKW+Tcu
QZvo4XOnVebEWGGH4Dh2KGgTj+S+a3ZZ7bI8/Nyi+q+4ayw3jMNTXGepk2sGOjMExVk1VerKnKxi
VZwlMYiDtiy/F02InM7IKndI+JVUZe62QXEV2U1+1qkqntfSDzymstiJwzJwhRn4K00z0wtFPVCn
sIbvHDfxqrHY3SBhcnNfhR+w34NZoMtNWJniMsqSpS0M7Pg47xdhqvmVlp2aMdYCanVoOWVQBW6s
utaJgjR0mgjRhWy6wKFlY59aHQs+mAFBiyGPAqcIZOKolAQOadvMkYoEM7NPolNCumRmSIkXUZgM
Lhksh9DOhiWQZafK95GHut5cJJaWc8vM/bnVkmRWqgovqoyoWUqiC5QW50MVXYGyW1Z9MHhS8e/+
AIZZxJQ1M7QkXl/30Qz5rF/EdZDMzCjkMBGoB1OrEIsqogHoi7JeCKwbRwVl7pkSyZu0ZXxR53Y4
g+RDdGqavu81TUIcTYjxIYGuzY4a4E2LjlJHUpPOeQDiMupb7vRZkM8MVSMnjmN5ZmsNFioOb3us
r+vaTGehwXswo3K4RkBrR4bUdvpCWGe50MQJUC+dfthOkcTpX622o09pKJGjQ5Ge9nXqO7gLMifx
U3Rl8zBwwnzwHQnzDvLZqE95C/ZH2FptDaaOvI+VZI4ZMX/WBMo4NatoXtvJzPdT4bSK5o4SaekQ
iyiHW1HtGFHLvTJXiUubiH4YENiTXX1DWxXPNI6QdBOcrGLoC35qx8X3Kh2+VagJ51WOaicRSXkp
UUdc0lEvKQu6pH3rX1CDNQvup9YNNurPUmSV4ZlV3fmLEHcIObLO71rgig0G6MgwShzNw2JhyP4W
GS2ad2FAXbC8z1KF6axte+SIpl7ClTm9k7MBDOkkmMk0Nc4MyzyVhHxqdFS5OghvVRGdsSi9bpl2
DYNdavsvn+HzOqPNn32cbFoKBq9lGE5aosjjbd1e1Jqlp0JUkSNLGTtBbF5g+LUwD8+bxvpexBy7
aEguzdZETiPY54GnliOjgTuVVvea6QBsf7XMov4DNDq6qG2p3CxsiJcqni1iiRpwMkLb6/qscxrJ
mFPC11ONc5dpMC/7HiBEhbqqjeBj0vl/mVn9NbdAPHAzbzwWl+eyResupnSmYxK4jc6COarRAkni
FLFVzppIY4cNSDmJbi41b7/UkC71mGFdi45xJ1MsXYITBd+szMip46Rx8yo7ryPzNOFN6jaWP4/M
rLiSouqdKIlMx+iEV3XQZdensWM30vNDTL/Gfq3sWZZ2lymu7jKLLdPa/jPxlb0E69eJyuFbh5rS
qbPuFF46mYfYrMG5G7yEslUYgZQRmeHgEnw1YWROk6FTo6CnfVt4EZZg9Mj2AziiFwnWxPVl8q3i
4pSlZIWCfGFYxSJoQw8wdbsEwZ/tdcildLWsv2vJrpOirWZN1i8rZYWzmiVgJMYffOUboAtqNyH9
eVglH5QwPCTD2yQOZiFNT1mdgKum5G0iK7fGtHRSXzNH9cOpz9GFTFxugo+pBXYJNjd+nfYO6DGj
X2iONb+WYDO7AU1vTFmWs/+LttFzK8eGbfArs+h5dOkxMvUQYnig+mEXIegqtW1IYsKtczZ0W34e
DoFi/W2TfQpBCIiObdvE/bCLwGJC21JucxsSgwvtwGT6YRdhOAgPA4Ilw6EdAtxW+Ba7CL0wiwS4
v3CXJYUMCYGSFYijPzeLqoFkeVHX3SptiZg1rR/mTkYiFrsxa5sP1LD7s6hr0nhmmuCpVpnVfIot
3RWwxtLiy7PZ2xOc2bZL2zXS4Ag4XB8CdyJbEI2CG9F3ubHSPo9FWDcrXKRoBdYMqJWaZTR0u6bK
hNO0Vv2VNbkhQTTxqnCLqIxBqg2aWS5Uvqf3oqrMKxgjBK8iSdCnwTY4WvTU9jeoN1A3/zXHGBKB
LziGYBf0jgJjFS66MUccSxYCtn21Ip0dBB7thuRTAxknMq9Yn9nglnYgvyXzuTMwutWhsUkWqil7
5JVNVt2Hndbg4hm57elKZo1TqdBsHAi5wJYPsii8jmtxprQItQcRc/FZh8V5nLR2N5PaoJeyDBu1
+PVbvYQBfDkTGpXCVYlQlvjw0s9CZKw3gtbIE71KK198zgKOsGPFGJYGeGvddduV4mPuo+TPX//s
dq09j8zBuUKw0RmB+2OgDQQmW7ae/axtdoGV6yBdpXxAKxSHNUQ/SldyP/z861/axvjGvySg0z2D
cCQkGvhoneWp1Q9FGWYrnpvWumizMln4Fe+xE+fhzCzqre1n9jxzI2K36r8tmu2i2P15WCjQGdSC
e3LgfqTxz0O2UoZBquSKFbG9VlFtr+Nky4M9KD2jZZY5vQnQL1pQExg0Z8Y2VSL0shW9ddFRUpou
aSMIM0YsVZ9ImWPihRAx2uRGA6aiMSi2jSFY5alN6FA7v569bX/4Mf9sKzbgDBGGDpjWNsT6DCiT
1nZq275xiWpfrWVZgWWBjLgCc4P0fRqctaGMvwVc5BfdUIRzmlmddDFq2PcKzKLM7cOAuVYWNRtZ
Enbf2HnIzn7NpGW/ABmsQ1hE23NO0InAZpAues4lLbk0IchELiOryH3BvUqEw6KrOiLmVVPXbtkV
5odG9XbthGHI3BKlC43LHMz7HLsQXFI3eWKrzmFJG3xpI5Ute11VTm4X+SeqY+75Req7dRZFEiIr
JGodP9Lpqs0NfVUYA5kFARJgKQx+qlzchOrUplVyg6PgOuhT0kFkjRWryi9uK6wM4tEGw0TKHoNs
sOoBorotjy6S0OZffbO2zkIKOn4Iuka4rRlaYL0lvVwavOyV0/Z88FALgdoh6u5yXVQfa9NgEJZV
FZv7uqiXlo/xbRGiNl74zIBQyhDG/jc4IVo2jkwL469aMQhL5RovwZDOl6gQyb1scrDGc6Lij1L4
HXOawgrOSr+s3R7mYYEsLK6KVnUzqy2LOUJgVc0SuDAIzL824IXb4NCfKU1Kr87FVegbgekhlFWn
oGpw66YmOEa8YsmfnTLDc1yK/KNNKntRi8jAc03VsOY0K2fa7KJh3sQ8mBtdZ66xTtrvOshz2x1w
BbZbGuAmmHdVlMHmaNtZHzQ1n5eZH3pJRdRpCl91QAGVGUy0apgT6SgyXOa3zGGZ3Q2OVSW+Syoj
VYuSxrPAqnvzQ0uQ5UldmokTwUqq5qRqhV50hHUXkEAYEv9D3RaVUk4vIcpV3odgf+Lhq26NjkFY
XJQgyrM73KuoAie6ruo6N1dVXKm4OxOyGBaNqCt/qUopcyfCSfbRZAZZRj0htVsDBj74YaboAC7F
uZf6PujDKonbYkbjNjAhFl4h/yosTMqy07hnYHf2XSKqC6orAiuq9TMEKYcadOGcGmHkXzWwdWjg
FjznsOBIrNU8TWQpnKQA5eXPukZS1/Ahowc+oG+mlptpcB1c8Nhbf94mLFEz7YNVMIeYihpcPtgg
MVMcW7WrwtJInEb3gb7W0lBqlgWSfzfqhknTMzNcLaTFa76yDT/wz1LCKmZHbtrpYuhPNdROluEs
h8iHmvm6GYq5KHUq531CVX9qaq1y18Z9Il3W2X2yKGUhDRdgxV+MXA3IgxvcY+XBf6ZxBe6BoWHK
0/RLpJRQS1KKKpnFYUVvhroiZB4ZGUbnYRuCc+WwEIfVwi+bPP0IypicRcGAIYCRAwezDJy5YcZR
NwiXR33eXirew9I2YKuUno9QfVYS2068wCcBOLlpA3BKpsE+SYeIDJskhmIkjwMDyiO9CoslMqV1
GkgWUxeiMQXxZCZ9b6h9iAgZbZlDrNhvI8slsogGSO5Eg3Fu+ok1R7kf2MCuYPkM9eGQLcEVb4NZ
LKywdbbfc5CQIoXlE5DC7VppDE7VSeOvEppB94YjYR/hFRpSCfFr3lgGue2TFtcrmos+81JRVJd2
nYJKCjSLgUAoArPlyxClXweUpOFZAbGtbq5be5DnqAqqWyvC9truwIdxOILFO6/TjpGZpoME5msU
KS8hRaxdDiF0iGYUX5O2BcsiCqLmo7Zp+y0vQ3LasDbwZzy2Teyk3Idx7CSLunlaNmg1dDmxPujK
RreoMuAbLTU0dyvUs27WYBXJ07LDuF2mLND4ShpMfE7NYrs4o6jQC5boUF93vVVx1yxawCZsU2As
0yB0z0GDic+Em7C6FUjJ0oNmCF22rLTw8XVU1nF8g3kKeYXOgvTOZdVVW+Mz7LtrOzZoN8taBT8N
AbsBPGmsqmFhxmz78lvWW5BPwFeu0MqyU3iLurBhqsI4iwdXxA1snTwJYvkhLRls+bIGqyCAZyBT
cZWGVwWy+jJ1SB6aAHdbdvWlMsIcIjVmXXTzDu7hJLO+KfBWaMBmcuGNQIB0Am3t5CpVn324DeqM
NxJSODyEKInb9QFdtykBNroy6m9I1Zn6PAAzNzrP8jSOPnLQFgudmmhViKD4CrcH0cIJrVDis4wH
oj73wyxovL5kRQsGbk8WOYZpdU1W9HdxEtvXXa3N7LQw+yb+Ahm3QEMYzVDf+0FsZYgsktADP4CT
mcR9qOc5VeKLsQ24qjYPCodZIOb6sg1vZFbpc6HiCKJxuMQBiD24DdxpQiw+l5HRBLMEp7BNBsMn
YmmlGSo2CgRyfwb3KcDeaLcSexbZBsxo1wzNDJRMW5yjEtxo1xdJ1YCmJY0JpncR/VWKRtwaPZjp
Z4OoSnRf6bTXEB9ArFnKFsNQnULh4FptQINlDrC0rhELOh+ypqkuu54lH6NGQ0qL6VNLdRCEHFoK
4MQm0sMiT+Isu0xpZ10YlWlls7BIVXMe9G0eutzWKrwFS0TfmyIFMQKiE+KAcahb7Yi24QVogb74
mAQFkn+ibCC8cQawwPpPeUUMAYNpv5yFzIiDM8PP229hYBqNmzBN46UUJvrQacMfFmVdaDmTQw2L
VGLICV13cTLYKwjAJYlT5I1JLy0UWp3bg3WjZ22YA2otT2XglANTIDu0TmYQWetKyKJhXi4GXsDq
j60uYF4PMVzt+rmmxZfW7tFtFJaw1kDTic+w1pW+TiErCAIW5wKylSqkrdPVXzGvW74NUzbsk43T
ovVaO6isS8uHENBN4WtRgnKHFT3LJQE0wXHouwtJqji7YGUekmvcmQld+l0m4L26zggu49LIW09p
H2QGWGN1dZlALAjcSBEHcx3yOPTazjSXfWHBvu8hWSEdyw/Z5YNV+lTTcf1o5D/WIzzP8zxP+0zJ
H13KuzLT2fdqnEDaGeh/W5Zpe3b5mRH/osLkjwRyZvfr5xGYbWHKI9mPeMr2DOy2Qw0Hlc4twsA3
+VleAk0gGYRGTAKxLYIwPHqKp2zbC0KdJwFfZXuHDpRt/x1PgcZ0cB0HVJRB9zk4Wovx2+IpL3zn
bcqKQt9/qICBK8zJyLXkXVCImof1VSSr/Iwnwros0+6cp8n/Y+9MdyS3sW39KvcF1NBAavh5NcSU
mZFj5fSHyJpITaQoUQP59GdFue122T59YODeHwdoAwZcKGdkREgi917rW5u6oPP4HPd9qRvTHqRK
OvdNqEl79zPMa6tdXaC86O4zMcjctPbecHKCLa52upugvDoLXQC4x77uFpLD49nxdhFHFJ9+wQdG
ciwPXBTZouWuT4ZufrR8eMuEVbmHwU55ggqgKeA7kdOyee5EB7kJVtjU1qe5a0sbMu9gvPE7iAgH
ScJnexsoNEdBm0HU5svzgBnKV2EdtzdpJFH714/DHImhSnvr74YghZU+epBzl0yWKoKP1nV1mIcX
TGQMsqs2GU2leVBQE5od3YZzSsWSL5HKdkvnttxjBiWFkOthXKdzME1ZYaR+G1d+bYO1Er4twym8
8Qm/Wp0RuWmGOa+xFOZNmhbrDMdc4grnnHkGVorh39mq4nfrmoXtNAUtgJ4I5aqYgkM2zg+ijR7T
xpfzcYiFZ+5reDcHdDWF1CI+aGon+RgbPxtzMbNkyaMEJmAUrEuTU0a/Q2Nej5es0X6WbVu6Xt7Z
ZjrHZDjJTpy1H16lxtupaT15fVwqh6VGS9gerqD18HWV4UNtsrf/L0vM/7bFg4Id/PeLx1DLb39c
O375qV/XDoCGiOVFODLtcr4p1ojfrR0YEZxAoMWZ8z8UVyxUv64dKeae4R8fzBqgMeBr/1o7UhwM
EYMux8yzDMd8QMH91aj/aSsAl/fPP/+f36FpSIr9QVdBdCyE6hahjcf7DC4Q3O8VCz4ma9NEaXfr
BfqN1wYl1dx9Diw9dkEv8yZ2xTTOVUJ78F7JzkX8OrP6vKY9ytC118e+1n0+c68YkznccervfBU9
rvUSVmkCh3fh9to3rIw9hd4kMM91CnOnC7prQXVXLN546Nrpo4/hm84B+crCeioGr+cFp9vVli5f
2znQRdriQcQqXMV2oXlgpav82evKsadbid3bFMmczQWxflwYJe1OKnsXWkrLkHdX80YBknDzGkGL
KVFWfVV+fIJMN5R6A0nDl6mF5xnlVEC6kkl257LgZWEOnmgK40sIb827xOCPcVMXjg9h3vec5Qk7
RtzsbKJYrlHY5OG6PTvBb0wirwY2XAl8plzZGn52GD6sdVsunPdVK8MbFoRPzHYG69Dc5xjSACF2
WqD1tF6aExId+sjWBUuHl5SOXhH7ls/gdBZd80cTNsM7uoln68h6ZdLpFrzTtO+CFZKBHt83jpJR
tvt+WOOczFTlZMWaPEcszAVLbwQPnyMNk3Wu11svJnHVtrMrQ+p45TJU63zMvL2n5ofIE19px9Qe
nUsRoB+5UvGH2T7QtO3IEH9MNlL7eYRBPU+8Goe1V89ZIORj53dD+63m7itQqwcX+Vge50GBYhpF
mn7AYzwz3N9H30j/sJlQ3YYjy25Jz6aTzVhBMqysaxIfzGib3Bd+XQiS2XPUOBRKterXPTSfl1Wu
ZVL34iba1DfUgeHBVzzTACxS4X5RIf9fl1L/+9Y5Co/hv0dx/pnm+/NCd/mx3xY65CJA4aDg8dGQ
/LCPfi2SLmtgkmEUJyZ9wV66EDe/LnQERRLOdscoioyggrkgNL+aTpjVCiEPWQvYAsGPv/obCx2K
rZ/kY4rEFU4lxWqHaQiXuuznZW7zPb6Mo5zPzraFHuecTzSv0/5/kqn9P9ViGZDiFCVfhBU/9P9o
bgXo6XTckOHszzT71ArtxUWfdDBLsdDTEVKfnMlxmph7bEK08giTkJcmTfjboJr0NHKbXQVJD/kT
dsx2J2z0EFm1QD+0PJmulraZovdl03F6tzK9LLsmUKRcyFLncet1t2vTTUFVD4MKoQ1081KkHmfw
7ycmX+vWZhVN3ehjDfxCO7KeEzJ0t2T2h64IhrazO8XALHQL8IduUmue1KuKbv0loO310jW3o2lX
yEJygzB3ByLkG52Gr1JzyL3+U7LoA0y9PfVitQ99fApvqKsM/nnWV3Trj8xaXUYAMcppDMrO6u8i
xdowkHMQDt/naHnsAqyOKxmbt6RVU5nxdr7xkmE8a8g1p67Oboas7yrngDJJz4u+E8jfB7RNPpwj
PVT9wnRedx6twjW9iUx2niRIRBemS8lrB2ZGJp9s4L12odAlDA8KyMjwMMHaGArcFqwHzuTXFfxV
vIQJd0Ebj59GYqKtjFMpHia+eHDPg7HKNn97JV1t8S2GyuRTO48l8UZbNtQ96NikJ+EFwfl3z95f
7Nl/4f/h5agf4Eg/PBy4rX++l7UdNedbOp6nqv9Yxzx4dI9J7uW6MAcJdDgXJa/6fVKNlczpieyi
Cqxk0f4P9/ofSof0R28DMxhHeqPkISDdfn4fdBvXmU9wtFjIT7YTW9FyzfJhJSEUiDar9MKi3Qhi
AAB46t/wZGSnANcobnVf2MSeM+YDrQ7du0HbvJtCSDDGDDuWuvcExW7eME9cQNEXYNAJuAhtQYWA
It1WbGOBaHrs11tlo2y/BrJomCs0SVnuaHZwUQByNNzjgK0g12bETZGRAsTmodkIGgUy5sofANDw
65C1Im9lHZTLAJ69b6YSD/F53bJor3nT5lPEP/FVHYKov5m3FPhHOkBmw42WZJrsZr95/PeX+OdF
BN8ssMUYaOPlvHvQi9llNfud2ZW5cM2Gno1nf+mbPRaCDh/el4VXi4qqGo2Y5uhpf1vR/+quulhT
/zII//w7/3A1vW1JxqXl0xny7RsF4bfNXJVuSqAkzTdKMz/n8TjkiUZT2YHhprDOrx1AuDz16LWq
01e/hvYE/Pk7a8lu0PomVPG9z9wXyvV7v9a61FIPVz/e+H/25EtK5Lcr+Cfh4pfjq/+8Jf9I/3/8
kn3BYY/YhdBBIJuBXZTgNvt1S0ZiJoPvHUKY8PF/XBCRX7fkBFk3OJeYyYnzL37mQCh2a1AjCU3g
JSPK8rf4WJxm99Mth1gMVAuK5QPoPc2A3P5hU2570IObYcmZbdOJG73IG7OGNi6afsEGVsp6dvt0
nSYYPD3fnlV26cZVJoGfmUa8bdH0CE/DlmKSbbGaea9XXraOQ7jwZViqoItzlTWfEUSq80jSurLe
BCETciMIYVPEnfcGAf0BPOzLOqugvTcAUh/BKh6ydUMfwIBFwc3hfu2dWybTNdeLBnvp8Tc7GHHH
mKjjO9HZ5I7KdBKQZpmL8njujCop6335FMNY27ExQ55n2gJm4NJOon6eST/BtGzXlzbMBOjfVh1A
sjf2EPrjDRyY0zrTB8qJBdAln33XPc0ESJsSw5cwrdEviPkz5P66GE1ToRz5LC5K9OiRczyHL/G2
Pc+iprAlvWtv8UqvJzLnNToUMgxBmdoVHKVMSBUQ8RKyKC36uH0POX1s0/W2acCGWK/+GmbJUz+T
bz5p6mrq8aXQ1NwnUYueacNuv+L185AP7buNIJ23a33wXbaWWgud9136pLsg3CnZylzC5cy3JjwI
tFFyWcYSS8IxEhGEjR7QMTwIl09+iyBDo2GY+fYUDeE9Q7SjcJGAM0PCg2ptUIRpuxaZ3cKjRV2S
e7P/1VdZmc5TDweRsqpNpn0vsw8u1BWy+FcIq1yYDqCNkcseEwbCD2zLbmPeV5q5XedvR/RqZz7C
dgbcXA6jiw+9hNozseG7Ud6Yx/Xa5rPXf1lFtpWLla+4pU0eZktyiAmQY9xe9yTQJjepOhvaeDlx
7A6WKDJXCjEYETywwfOKuYNB7m8jLYArTxcAGokf9To3IXYkbk4GV9BM8w7KUb3fKHJWsa9V5SQ5
9ou93TR9CSZzzkz91BjgGLU/PfdcPFwcknLw533AYw/ZIBPBpxgfbMKeQGfeOz3jEQnqoYSqxfOs
rm0ZjOxuZu5gO+Ydo837MmpPlD4Z2r2lWO9dkHVQuKAecjrt08QnJQwhd1JDctvA09uplK7FMMuo
6JfOgCZer2kbfIUCd6rnFM35VN/EzTDCL0quoFkFez+DyG+5RieJOAoJmo/RH9adzcxtNpLXxRN+
gUd9yRvbI4QxR997OzsgMuphdgNSYsnBXTS1JLl451KBd22XT+Hq5MEjuDsZH9Z86upvnQ3dfk6S
V7rSxzDAFV5UC2J3DI8pBOAyStNrsYDujomGL9cTslt1c1vzGEpF+9B3yxkRPC9fRRLka9NWdZ/d
hVzqXdyh0V6HNSr1uNlcy/hpDfRS+KP/nYXk3Y+6L4g+HvUa+XnNDUU4LvxGJu95apKs6Pv+uUdd
WYUZxFJrAsSM+jdlyRX1lKVLDocXamlCtvg+atIhAQjgW+Ar+nO0QuIMKXpbVMT5TPVN7G2mcq3a
08V9HqPwTadZdMh8ueVDlty5eZFlakRakhF0dkwimUOb/cIsmxDoM49CGuCbg98dAP9YcG9tg7U2
eh9i8mh6GJYrbArgtGwtYUU2ZTMMspC1f17QyVctjb4tzmalpPFN04RLuTCVHNpWZtB1SIcAkc7y
3l9B7ZP1i7fgSQ4mCBs+W+m53miNakFvZeohChaF+mGVMXr/NDFVALOsreWG61TvDI9sWdPGlrYR
w02frEfbs/deblvZI+hUge7jORibrhjG5kucyARAf+MqKtmOk8geYjnqoxrIrhVhXYok7nZp6np0
RbXby0a/jymF2+sBoGV7zMAX98IDjoBaK8vttPp5Zvpst3lS5TG17B5Zo2GX6OCIYum6QbBrZ/om
3U8a6csVGGXBFmtPYp6/ttpvdgIW2SlEULKgg5urduPyIKR0n9za49qs1tvRFCS7J3FdOSzlnJrl
CI8UxX2QuqKjsOm67MQyd+XVrodJPIw71rp7eFsluIXH1EviazdpOKWzg+S82LthFk8ydBYbYtDt
BqQ381l4I/Ay8yXWPRh/uB37LTVw2gJuCtThWx504s7U4Z1kzi9bVS/7YXBXkWHXrIvKVru7BenS
Kmq0X4YM2lKdjOeMNl9S2X/uJrbhHspYHgPiLNGEnVSU2orFfCm4013u++szNKQP1Xp33Vg/ttxT
BaC5uGrGIM5HMnzrXPKd9z7ZmYhM5VgTvCTw/3Lt/LcBbEe+zPWZZbPaoftcylWPrFCsvZJp76O2
b/izFl1Zr+wthruYh3h0gY58R17ijUYeGgZzHtBFl8T0XxgNswrUQgvWoHueVVrnqq6XPPS8e+cP
ful19U0wUIZETHvVjahECPZU6i1YwILg25ZOwKPZdcpsv/dre0IUISt16+UNlS+9Hc+bDCUyiSB1
RkAVuKAnPQVXtOu/ekP6fd28OY9XdQQJdWBT8y31lt00K7OfQFlMA/52Vd6z3/hAsK76RsCiT47D
1H5kc/MZ1uwl+OcDLE+OSLxc7pqUF1M8nty07jowHoiZgFtthulqc7ifaxaOuzAk3yJotHlIk8e6
4fifsYAvPVDusQtyAvmsAEBY71G5vaMCO9Yb3CBUOnlk4pOjqi/mob6NdZqzbH0JIrw48sdAfpqr
do3FPuoN8svZC0+YLIZen/2kv7sUMUGEDS+TfE9F0Jc2jc6I830a11XkwwR5z0P4eaiza5hCWRnF
+mH2RigQDQ0KR/o9sHlXIo9axcHagxge0nyCCLtD1keBd0F/Ho32sV80Ploql0qg7szTrq48GV2q
h/GYROK02ua7CGi942t6a4Nmr9x+ypCDTvcjUr/Bdp167ZPoljb3CHg3P6X7plmG3CYoZCL3OUrX
Xbzyz2lcX5NwRtSS+QIXS38oFV4gjBW4wOAv4xUenyduN8jeJn0O0MFusYJ7PVbpIeII/CJgtJi2
ZGk03Mt47G3hS2ROqxo9q/ciFqX8YgvBo57aDR85ymv48MtOdYtn78EXv0uf1l5JmOI5d8lag/Rp
T2oFy7tBC8p9D954xpFWUt7OS5qhlK237mqiStK3c8kW9QqE31UyXdC4WR6AZ2jAdsrHlcTbbooQ
8WjGF1LDyetReHmsNruMZkeRkA9oQHdbDVoLwee2ELXpwW/jCWlbonO6LkHuIdSB7QRWWetjY5uw
peH6Xa4davM5sznPxLUeIZB3Ayk3k5wXU99mc3INsSHL5dR8BJktp4xcw4hEdaOGz9hbECvruqKV
6aeprsnJzP43BzBs7xo/zu2SHsgy3+nYwZa8wJdoJXLUNWsZM/l1XPtDBN+tQLrK7fQUXxMNOrJd
MBshWQraq/WAdfc6g4qVWIrNDqGlw7zgiW5C/EI6iqIl3ZRPwYLyxsU5wl0AUFDtZkH73uq6IOK2
HVqsADYH/3GkI1T2LF3O3iR1Lgdz29PmKwJyiNMEtlhtfVbcP1PI6Z1cziS8jU0PflOX4+jx0+Kr
FxB3RyPqN5OYT0OmxrxxfgXuYYuTx41PBeres9Xhez3AYpw8rIw9PzqbuGMzd+94g59E7cVlglqw
Emaor7AqvJNeLS+9W3iudHO1gQkqJ6SDC9u7m3WxITLMweuw+B9b096vq/xoh3REvMbgTsjeOqpA
P4iXHtjtf0T2X2Zd+BDq/vuG/v/2H1/V+BcNPX7qV40dXTscQ4h/KcFYfRpAo/mtoUcWNsR5lZfD
7n7mENJ/JDiCGEcRQ4DHbIzf5zowvh/NPAGT/ksWNvk7XiLMzD/286DaMUwDTD2St1An/yAhqYG6
FtXRdOt30RPU28dwolc9me7bDRHUdSHixP187QNyaKxtyr5t2Y4tMbL/28xyXw9Q1CzSesAFH3yC
MJsYLtU3MXE+ueDe+BqhgAyvJRMlqq4ZgmPGxxAzHbrHMZFN7qRK80BtN572MTZDNgiGugVp941i
IoRJmqpbQg+Z2xW7kuyfEjAKN5guIa+bS+BdxaGGkQ8fK+ySPZnAEKSLWotYIFzoRvkkZArAwIOw
7Y/TUQ8UWqXhSJ6BKUxI/w3k+TOoXS/vQnpQkffouTbImZ5u3AXQc5R/hr7S5JrOthjVWsnx2ATX
AY++LuJjjAqT8YNSCK+uywwK380NvpG2K2W3YYty01ANtvlYHbzUzYxfZ7OeAoOWJ/PxgcaFHacx
vbOX9sDKynPXswlOG0nfaRMfld+QPLPIvsHDuB75iGjWtuVkSZG/2YJb6NwdpI65ClIflyRKptxw
Ph2TkfhohPuHkK/kPvPEF2xK95NMgeJ1UVfUgQh2oVZhPiVLsIti+MUYwWGgboxNydo1yEc/vQ5r
cbQzxEusoWWTyoetneDruTmodITwQDqBSIkzUN2QRnXFtVkeufERdAtQS3iqQW027FFOn6Y2eSKZ
+wg8Lve9bXMDb7FZRIbuSLQ5Sl0UFGQ4YCMMi9joUxTgs7hR77Oob4qWBdK/G4iRjynT+MXjBM9V
3ToyfqkVqrFw8e5wg39kqlao27g8iTZ4HfVyM4JGLj2kQ1FgRt+2df62JNbuJoNNXk8pOwAQ/tzj
EUXBGGKnALayq9f5kYZ8uupT/7Q0zdvgMDpDBwAylNgr6DPa2gHKR+qj04F8r1q25qg1z6ZxeHyW
J8HZZy2S9CAjINmN1z9CZBKoNOYXHSXHVhtMPKDqBCykg9cc97t0kseY00+j8MUJEeo4bxv3iNdc
r/VCFxCaSlUGei6aOdC4ywisOsguF2+LUIXELC4DRl4m1WDJd/OcT5OUpymct2LzENIUttaIU3YI
YG+TeuU+4wcpxHjXQPDL10iXm7TBLp37Z7QVTc6NAADZQHIKoYWAXJQV65oZMGZb42k34XGqlchV
E4tyDOej71L/qFNxTALW7WO8l1zHkc2xLJo8BcSHTKvDxgXnx+hDg82tUQ7zLhoD2KjzAjxpBNMl
/HDLLREJbCRo+iQAbo3/QDDyruFZrqblU7A1V3Sc0afAjSDj45LA+XJTvxceZlTInjlMqwjOyzZ/
qhWVeWfFXU/m+5avz2m73Uy9e50YmNAWYbG8V80zAhUnsvkHO01PJo39XM/Sz5HlRhXQbdftpKvE
H9Wut+kEVX+7YWN030rbVdsaVEk4nMJ5lug65++EsveaB7dIrZwRsrnTTQIQYpk+M0bRFbXutRMo
LiBgpBWI4vepT0AaWlTqJhyelCBXm4c2felw1yBVZdvnaG7ooSaxjPaYUBhWQiEPQGtV/keT96HZ
4N9/t4Ujm/mx4Ljx6S92cfzg73fxy9Qx0H84+y6+ZDB/28Uhy0MJD6C+x9iwLzTOr7I8Duq4HNEB
/R0M9c9IUPIPkEXYwwEYYfeApP+3tvHoz0hQdJmNgd/kI0iDo/d+dp8kT5HvX1J16/sdPwwY5yA4
iJQxWq/mZEHJOofT9TaHah/5DjfSNt/JhiC9BglghBFaTt50wINCqwwNWcHXOMobInSBmQkOy9ca
lsKkHpyk2JXeuvV3Gt2ioJgvs4xRVGy+uwKEfz1SckhVBvbaE3tthxcGjaRwOr1xowVMotrlAKH9
xPsGHQahJ3fRxTlJbuKQfOIUnJ6p0/tsTdpSjjXKh/EjhGsF1pk/Lz0dMP9FcKRAUPi3i7uJZfKy
MYQFgih6zToFEX25ylrME0q6J4/2NyZdhwJc+Cc5Qh31AuR72HqVOPIgZbMLuPcW1lvBYYajUknA
TQ3XQ6JewxRjmAREHUG3/bJhFcFN8WE6PP9y60TuQe+q0a7kADE79LAbuhimbZWmcq6WZbGIeGH8
0LqhieXRQUHCyrH1nNeLS8/dGuxpa3YN+uWtXSAxtfBCvdDdRSz+EprhqZ3tDnBzn0dc3m0k3lnR
H2tkBXKWTHfxnHwSmvFqIPY1vhgE9UqHEiVeW3SyRjNR26mUYYJJJNCbNpnsAtGdtqD7JtxlfJIJ
P8VixHClLmRFrLLbZknCc8eSw5byR30m4hijjEGu7Cq2TQP13t/VyQIiSYMDNw5joiKzgAtPX0WM
IRSzlmHeqXoP/kzmba++tEmsysaAAgp1sOtSUN4+5pwYe6gtsEg4tp/HMfoGMOMbBqXwA9fkfCHk
YVBwpBqXvmpsR54j2iIMZFOUaqwulNQnTBM7djRA7ETsxpRjD0QiqbLbFhYhj+0+/cErSTqbal28
+3pYv2auXUd0j6BafRQUTpMJkKs+EU+jZULRkcWXjSyEGiPTBOIeSQ/hpU5R4/aBrMxT7atymfrK
vxC0uHVxH2UvKloiDBZCxaPhIVR1xjeYGDMIXfDgmLCAGsl0qHsj2j1k0BhjODY5Ep1HmcWYbjUF
eX+ptTre4LlIurlKURvvoktNhsM3/Z13qdN8QPdXFqUbXPUv0aWWMyjq0kt1d8l3QlfCZxFmRagA
IuVEUExw390qhSeluVSKwG6h49Br0fs+FA5UkzHKyk7G7wZl5qTua0IwAw0VaJr27Ai147yxbs0X
VKlZqL6SqUOZhPq1J/1QJe3Ult7mtSU0UbQH9FLca8pL4bw9qpDGwY5CXTxeN80RKEpVK/j/muE2
WHr2YS8FdWj1DbuU2BK19jaQgwyEB6xZPHu8/dbOeGRCqXBvo1KfMsCKl9I9Q4TzMn/rCUnK79ml
vucb7rvoUvIrySuCACnAFdQTC9fy2gs3ehOgWfBqaFnbgmQSsoNNlWSOldulu5gZUwUf0XGIdblZ
xhbC1KUb6bL6UYy4mynhwXHsGlERhiuOvBJSv9bdKzbEYKyBKkz94ooBbU8EOAmDV/BgCQeYwrt0
RwB92W6xpimVNuQgcL0uvVSLeB+oFX3fk+iqQ7vlM/+JXXbzIFxO7LK/R85tdT6pcWxuhy0YX9sf
w/XiH4P2Jozcm38ZvvdjEB80UwlOHNP50h+D+v5TE/yoCci/ZYRxtgqGWv7z8MU/1wWXH/61LgAm
d2nhk4gQDKJFdOqnugAQMDblS4KbXKDf3+oC+o8ATj0C5ZiD9U+T/18EHZg6nAcQRSgOQrzs36kL
/jx1gML0B9qWhBGCEBHe3e+ZlEhg/IyxPTmL/t1N5217+12p9BcACgn+JB+A0SPgmaIgxWQD+se6
Y2YTMShs5zNSo1UIHsyCC+tY80BH8x15qHJsxrrEzY4RWp48gio8IDYFFAsCX3whzhREO5mMBw8o
WoMlnQBN8zqEjsPL5BmMyZsu8JoT3W0A3xgT7Bajo1tkgsC5bZD9Ob7EgmK+m91FyropX3163MTE
vq/Uv4kihIVKa+oEi3rdfdUhInMXb6UiU4jyyOfeawNtoMxa8mUWG1imIOEFAQN4FWQY+cSD9DYZ
Eq/q0vE1G3lUBWFw6VTJeteg+Md8LGV2wQhDHKm7q2Ws39swvKZhWGZZb68xh1MfOqkOUhpXjohw
M9rtI1ffpALosnPy3fNXwNFk+9633q1Bl4eFxbndTNKSD+YxATHl+cMx0tl763uIJ88nM/gKKRF7
v7XpqXEbKAE3loFpTzpJPliwrDlWuwPHVJi5rT8MhACsbkCQaHrAfnPrIVtPweAKFr4heHqCfHvo
Nb0mUlP0cstNF7ky7iOgwfoQW43pYiR7bmqHmWNtdzcyDOmaHICOGv6ODk1hvQa7KXkyXdDmGIyG
YXuOPNaRVIWYNgyuSeuj7XSd04bCW23iva/rCdpN+z6TrFr9scC1wNxBaZYdZh6cNhSWGVleiIrg
Z9JzPMVvk3G3bU0eRM8k5qCCliPLDRKOR2XXI98aqO+WYyDUeuiW9VqE3WMcqD43TfcCQf4ZY7Re
Yjbv1BifEERGOnx8BwWAzc9key+a3hQ+POLX296z7mvbJZVNRDEyCvhxux7WJkWZw4ccc0bxoikG
FJGEga9K3vEU7Jq6eeMMFcQ2YUaVN8+4bfR3q5pDemE9ouF9Hv03z/Mfp+QirrOmXLas8Gn32bXs
vsVEIXTo/LrFpBLgABCjiZc8CYSINUzBgtcc5Vjff84CpNG8QSxV6qCDpdskTzUq0dIboG7T+LHJ
yOuM8Rg7D8FAiPSXp6dZH/2gufJm2C/IXeqS6m1EEUMfNpCmxWzn7mrhfnupKaYq6wbs0qRm1TrF
Z27CuKpp/OzHKS8zzdLPCEfDqcEJZhh3NMQznm+oWAB+rMcwa6leaky5q+NrPcSQrfBV5EBPkMP0
kH1pOiVKdPcjZhp4fmUcyhdMD2kfVArrD/Ff/2r4L/bOY7lxLNuiv9I/gAx4M4UhSJGivJ0gJKUE
7z2+/i1kVVYrVVlSVLxpD3qUpQZIAveee87eawMUMyMYG13d7LtuOqMt1EJlmlQs6OzQkly3WwRU
iRfG/UGXQqYUaVX40qL5Aa5rb5lkye7VrMKLvVZT4CnPDJTt1MZCe8HmHzpBUL1oy3zbBMqTkeLl
UaTThAGXY0mC4M6ZcAhSGkJShlQl1bUJH32ZX5VaL/CqokW569PichyAPsmyfqaivWdlcRgXujAK
6YVWxd6oDRZE5iS4SgFAgbmq6PCxRp0guNzicKb7ReNj6Q5ZIviRFp2KmXiXNoOj9OLJaNFDKab0
UU3QVLZQnEYz0DFQi+glmO08V6MgO8uy2hfUesyvUykfN0Os+IpRxgDpEEhE5pJ6Sxw3p4uZHhW5
2qZWeyHVeuus5LYpp2WxjJrLkreTpaD3QtqAu2webnShus5lZoa4RDJkv33kzSPTdNac/mQU9fKx
UFdhUCy81W0kgqmjC8nl4BCjQjgDqskZck6NYTsk0eAXaj77LP3RXVBzBbnProtciSl5ROukn5sE
DG54LCxNx3qqmDs4hZGtlsa1ViP2tVUOqjgxEIHNahBscCRf68F8bRbacg8yA4FIX7YbrQ8l2xin
TTebgs8sj/J9riEl8oc2bL/+vokzczPhYmM4HwM/gKjVMXeCR5qO1UYxcwydefmwApGLMd5Mxuz1
LSfq2ThJ6/lGjBJviJF/l1V002fytYlSYo+ldNiVQtK4ZZDNCGuge1Si+MCpH8HKpNb3vY52qypz
FDERD7oBLQ4Dm3IvT1Z3FcjaRMtNsJykF2fv8+35VwH9D7Ev3BpKDXrDOAz1D1o9Oc/JEgyTAopE
4gKu2Gn6eDE27ebzy6yuyF9lqPClkLxraAwVgq3+VgQAa8nTMCqOeZadtrp8w6p0bub5I8tlA3HE
4geYs+0wVRwE020rR8h40BvLxZ6V6qAFrZ1Y6UUUAOqrRU+JsKZbHQfn4LXs9YEDlYYwyzzq4lcK
2t/euQb9RUJTvKr/fy2QtLwvcdalsFiwRoXztZgArygPn38/1q/NmT9kulDJVwsY3xEP+q9Xafu0
mpndDkdwFS0eS3WnlCwMIjOGTTIMmhcIwz0gpfKisHgGLXE3muPqQKpYqBR0YEm+iTjfXfSRYl1B
foYlw2xSlDLekpGtXEZFqJXhMRbikynQ+M5l3hs9x1g0A4e+1KTsKUU1JGVh7C9jbQetpHtRFqde
2ikvQiPjsoTUwqpEH4Pod6esFdCWzDvZiihtIn1XL/JrrBpPE3PlftVmTkZ2Oi+4HQ1AUFtRGpNT
Mapye5mQF4dSh2bHSgywdOFt0Ev5dY0727Wk8KDl68lOr7otogDgdmxxUoXVC5qYV4nymSYaBYc0
vGWSkh0C8alHr60ZO9bFB1PIct5yaTsn6kO2IkCKqljsSgcCiaN0USk9MKumrhFCo56EfNt0OYNw
aTrpxeEpjeXoZc40X0RN4xpZhNwZqLrS1ptYaS27l6fLXNezo9VL2DyWaV8b7R/ebizX/+Df++3z
wAtp8jiYovQj5fN9WR4osED4t+6Ih+ZJsdrcXaohO+pCDTy8jR7xudDHRpkq6Qit4gyRoQKv0eCD
Qn83tgwmTjtIHeMin2qlea+oRbRpc63eAOhEcqiBqA3jFNmNOZieWKr5VmZTd5ES1q7ZCNQjLERi
XoJp1eqrMKcDJkVtyW7QMz9iolfAWIaog/tcf1rJu84glYCPctpG8kztPIeu0kmujivZAfqe2s2o
3yemvkPk/103JgY6I8uAlaHimq4DKzkYQ+PUmAyRYvGEoISb5SttGE7TJLqqY+0yNyxfn7t7EykC
st9S9PS6pxasB6/tRxwxWouYJQG8idnQlXThSeCZcCpLeZAU4V6KBpTqYOqgGYibYREwCU8lQtnG
F0GAW0hLZGxs7EaumtLFMU2agHRfRmlo2eYrJJ7dtTJWR8ucaFzMT8oovtQKkaCG7mkz99kXbjqk
Z2U0HYxC34w4eCKDjlJcGI5sxRdpJaQ74EoejBBPzwI3r35MJ0POJbyMg2Bd4MB+iw0BB+IsOmqf
YJxA4Km3oC3QckmSDolH8WOl5ldaLTVquDgMUis77aODIKGRlca7EtNKKMTnWqQiUC03cirsc3bx
aGSgJGUPQ9VuaKEVsC2Qfkrsmlkwbjq296LJK7cXanpOqeAn9PYWjBKGBThilMLRaUUW3UWWsCeZ
iEHMc3Qm27Do9uFYHwpTo+rtMmA51VghPzVO1HDcV+h+mYkhj1WqWAI3lWyjajwVWk4JGaJwWLcl
uH0nGM91jfbRSB1zzKeNjhBV3eKVvqtEejO5eKprkCaBJx+SCHrFEATBvpcHOrKaJDlGEhT+OCxu
Rd2wZfjUwl4wts1AFWKUHeitYPBQAUtfbG2/W7nfvanKevx9Z+qQI2tOrCqFd8O+P7SnyBdBDOa4
aM/S5lTixPL5VvE7E8n7631o48tRVHC6YGUoy1cJ4Nl0OViHIrwf1e3nF1rNAr/u2atdRdVUvHUY
k1Vt3RnffbKxxS6TiMN0XKSZXls8tavS7FprQ6gxpcAzRyO9qmKmopIonZq1qdE5LAUOEwhZsAvx
y0jCG8jKi6lQTMz5/a0Ql2elaFxh06LdljhdK69al8ktunCTd/EjI4c7Icqqy7BHvaNFUJRyrd9r
iWhTWHizxAybEs8vGGTfgVK8qpbMpZNy0ivdLlbk/RLOOw08GL7WfcO2Dblkn8oFL5NgC5HpTJV0
l1eNF2fBbqzAt2YTVFstf1rEWXPAsz3Uk9XcyWHQeTIWoS++1V/7LX/6cd59qR/EFKmuFnETmNPR
nB6j5Xk2v4LVffGjrY/rux9NFMjZ0MN0PsbmVZVYdq3cfPFYfH6Bj2DNXM9TMZXD+ajJ57GKCqLz
RLIEPr/I+i38zbVEsIpOSYq7U//w6E1GC0ZL5VNAn5W7l27MqUluQEB/8WvIvz7jq1dFA+UBOJ7m
F6Wp9OFCcxIXY7hU8pEy5oVNzb3ONoEreGDsnDu7sO92ujMcni8xKd9O3lPmzc+80e1W2X3+geW1
z/bxE797rX/c6LvfzRpiq1pdkUd8467oiN501fv5RbSxPAt5+0by+Z43jGNsWOae5VaDpx6Ll8/v
QvvdXbx/5dfF591dZEGbmXLD934/7WTPsJEFnhv2WatiPvTvNOegu7lvHZn6b4srbXuNStmftqx7
9uIDVW1dWmeu5QqHfgsA8Syyo8kO3Vsc6kfRmX1tZ+3KPUiOm3xz9fmtK1+9WB8qaEFu4wyaK8+l
XdrVpn2tNtW15NYOWhU3cmMPkslJ6Z+/HLx+h9h3cpKTxLZOkiOzQifAvWh/D5zbz+/qg3bqb6+7
/mF3iMGwNobOXUU7y46cZZv7wTXCgRS2v02+jt04s5355rHeyo800rzPr78+vh+fKuTef71HH1Yb
lhphbqt5OopL6RnjuAc/jsifkcbn11lXlc+u82HVIcpFGYYlwzGLLHUYX8RpO+rPs+LVYkcravP5
1X7/U//1qT4eJgUsPIpWJ/0xMlJOfpdVePH/u8CHM58ymZmuI6Q8ptpeTugDWob7+RW++GGM9UV8
96IxrzILFGDzsayObZ5uKvl+6c0vfpWvvqcPi1srZS1D26Q7TuuvsmSONSXO/+9zfHjA+nJp+6LN
5+M4TE6sHyFROkt+/vlFvni6jA+rkh6Ewkxzjt1g0uFHFF6adWcr0tKYWycZ5eOANfDzS/729yFA
xpCYs5AY8uGSJsbLoIq7/qjiMUg2KbqsVPc/v8Zvf5531/jw0mQhot4aItpRY+QqiBd5/kVX4asL
fFgSFzIslKSsh6PIok0zOlWyL76mH/vjZy/+h+cYVqQpBxnPMWcDnOoIm7fpKUcE54RUIS88g4P/
hzH4H8/GH3QsP5fUv95+ff3U714dif6f1MkRe9Q9jeGCVfU05Nr2+ATRdjfY50xc+Qdb87Al2eaF
YF+iWWRXP3+oz5UTTu2RnSAzsLeFE/lf3d5vN/L3S+7HJyduCE0IeOmks3UjF2zwLequkBw79VX3
rrBPRHvev4nPHM6am3k/2uMXqxecsc9X4w+/+yC0elRbM7WEO7iLOy9ws2xrn7mX1lE/KH7vPsib
wC7o2G6IVvNNR/hihf7qFowP+54w9YJajFV3FPaljZ0LgdB3bSO5xr5/nbbwHA6GD4jmLXxAGOSn
Z6GbvH7+dv04eH3yaBofnpOU4beKgXg+NptpU9tkcKxV3S51rofdtNshj7SXI5r8O3FTuvmm8o1z
LBVu78FBs6PH7IuV8geu7W/389/XXfvwlZgCtjmOyv2x9lRf9/XMnTbLZjnAPLVfwl2wSR1zV21p
6h0mx7jx8OHwE3V+urmK3bVI+LM4+J/Ffn0U/lmRfw526XdavvWvfs7sV0W+BatLNSSdQ/Aqrv9L
ywc1kLG8AfQdeR6i/L9m9kRQrSN+iVm6pqgSEVX/pd6AymEMzmmDcc4frMF/Qb2BvfPLG86xhXE9
YyPuwmStUVa5wfs1UGX+WSjBTD5ONgIAjAd65bVZp6dJkDnq0l4ASboLWpJ06i7zR3R4MCZgjkbB
2gT2mRzhXkqnm6YDUq+UzYU+lL6livueyDg9n7ANt9CDt/idH8owPAnCTWSGZ1JihadlDCaXHp2F
mAxrYdqC2tQZh2YqgPK5py+pBuaDAWLTMxWhI9eoeyCGcDvKCi1BbTiPx47CsBCAsSjifhlw28qK
crpGW2AzzG4LAYVU3oivcdW+0cD8boKbwVmUMmqVp6vcnAhSmdQH/JV3zaLqNsIelOc6wVWLdSz0
ed6TgHKpSzOGqYKlZ2KSamg4ZaegfdOCHmDI0r5A0mW8hGeJDBZIJoEquwCna3splRcxvdfm8wjg
MAJuOqBjs9UTaw1h6RoXc/ysoscjANAuIkXp3EphvNy0YGmepFilzxRPTY4VdMCrNBXpFg9hja8B
31+nTpUnBvjfRDjc5A2Z2Uac53SnyEMjOXrcMMsIx+4CexVZWEvWXAyEaJDUhJWrAjhky20Q2u2q
7opq8qfyImV8Wev35YJjYuzT0VMblfibEj9n10ck6Vkl/Gsr0HzdGOcLBeeInZCC4yb0TKNSL0+s
DM8scI/4NNBEGp5W355E4WD4E9wiHHYgwNwanT/9EyXwpbR/ky2yJ2EB9E5NyOCWXuvzgCoag55V
o20kRkqqmcPGuJa2CFtfib1hJFCDUi8qHtVmDVQU+9YptSQ7N5Uw9SS0S3YqzHCFpEL11YwcrXRo
NZ+YpNd8kiwfRHdk1xDBz42lDE/45thUAhxM5tpblOdY3AbgHPnB8E4WxIDZ1AkQWImKAALXCMVz
RaAA8nA4ku3aKkas2uxHoxzpXvaNT9IHGnbKQb/q9Mzjx1MZgmhvTDSQRczRG+moio9pG3iNuOQM
P6wK56Zpqs9ivsLkyBrDBRMbdpg3hJFV6uAF4SjhMQsKlOxFnz3zzkG8T2RxOy5p0XlRYtIqmxRz
2liD1iRvWV7O9Ggl+QLocI17EThUh2m32dM8RQAxXSODD12qYQ1xnJXiGqxvZ8EKHXEJcLogSPFa
kD0wCB6EsL7LynUiYFoQL/MFrnXOsTMRDQYkc3IrFeV5wnj4cbYWODxRGB3m3gRSV0GrY5aE1IIu
rw4gvSyMemf1+isGysdeBNwemiSpWMLbmHQtQpH4QUHfkanZ/aSPhq+QJ+JkebMuItYpXwUDW+ut
5D0Vep6LLjevMWCe11J0UjEtBBJRHuEQvMi6dTdkwgTDYDrvlsbcmU2z5ZBx1S7WDSTNwBNJNXHq
fg2AIgMlDuLZV/AiOEkxqXSJi/2Ida4BPxWKDaDSMGCQwNBqr4kLnjckxbAyt7gSTlIjODMVGtET
yiNgQyZvCjy/godt5e8XcAis+BlHS/Gopx1SGQUYl6H2ij2tWWYEGDJyZLyBZAbNRcvQIhf7wtOV
+hz3x5WOK8NP1ny0sKDmnNbMtHRNTzPWHLVZ6PRNtWarBeUYXuRr3lrL63LRry/PsqaxNetFu4qE
tiSILV9sq/gyC8lvI36JQmbNdGvXdDdBmyy/WhPfljX7LfmRArfmwU1rMlywZsSR3at61pobpzfa
G6OZxU3VZYf08EwkYi4nak7rycBjoiH7yppDp6yJdKTzxJvI0IAArnl1WIjLrayTYQdGhFQ3UOjB
mm8nr0l3Jh6NbbSm38kjoqhsTcTTo5UKsabkiXUg+SD9wgttzdCLhpUKuebqCQmQJlSoEFhCUveK
PEN9aox/5oz8r9QRObj+c6nDe9k1T/8hUqF7+rtIcf3bvwoeiSwocDI4FBADwBx+V/DIlDW8hH+a
CVeJwH/NC5KoAAdEq2YQP2VQJv0UKRrfKIS0HyigH/5E69+IFFEkfix4qKZwIfL/ibCZqQT3977g
sXJjYUCnDWfZwHw2cJq6FE+ySVJPCuItefv1/GZOQjTgk3AwC5TAiQYLYUx0NyrYD6QuuZ7Cbp+a
09UgToc5wK5XRdiR+9GE9B4vJ1bc3Y50Mowcd2+sIxwOSoqqFoXtdKJXve5McFHjBeVzjjZmDEIy
hQ1r8jE3vCGiQH/zA8kLjc+BJi57TSpQTZhMppPEdFQ2PIIzo4dZx8nTZurskTuXu2JTXas6CigG
FDJVRego1UKzdOxsNYQ/0hTBXWZJLhorvIVt62rx+Kz3OJED5tOaZLzgH4qdQY/v9XpqeXt0qjfT
6Wt2IiIp7vVQBfJCTnQwKlRxDbSclmmvPmjuUJrbdgIEM6sDNJdhep7L4DlHUCWWWJ/xHzzEohU7
uZr6aTrtECQWG2kaG7cZCLIjBvt7KKrE/EnFfcVejpScDMCg7171QF6ObTo/xWAW9uQDMhrW5Nwm
5hDfvildyq0BVI9EFaorfFZlyyI2jule0uoBoTKOEfL0mm5Dsg+UACNmHm2UZP8qItiMifSMCL10
aC20llHunc6iObkpYVgbEzuhG2TC7HSU9jZYi8hj6oT+X0SuVogtPmmxpOVqjd2VDGDlFitp5Jbi
KvtsM/EUox1A3DFNH8oG0xfhhfo9yv78ErZhfR7pcrwz2Z4OtRWgN5+z8oQkgwawoqomB+qRag3y
mA59s2SyveRi8DyZsWC6BOrUu0IWL9LSkrwoGqsbKj918ANT1h8FSus31UTjn6/YaTS5AEUgUc+5
TEDaCqceVkx123BchFvdzQvf+uhBxjpgQH8QWwDXQt0fmxV5Hazwa4PRHTpyCHzGisam8DyqKyy7
zkXCnlZ8NhxtEmBCO13R2sUK2dZX3PaiphKQLRDcxgrjLvuVyy3HV8YfoG6Q3eUK7yZudLi1yJHZ
6SXhztEK+RZMcN8t3O9pBYATM+KuYqo/Rlz/W8xFWhSfLebU2b9bxvmrd8s4RFZRUhiuIjhfe2d/
nVvlb5i3xVVQonFMXTs2P5dx6xvac/6JBRa1yS/LOMRqINJ0O+G5rjbzf7eMG39fxsHImuvZmFsw
MbX/uowDeAyJNwnUs3SpjHm36GWuPA8RIJozojOUPCcKWZC3ZrCmWPbR1ayGKo1XFcSF3LOKB3ps
k2SWeoi/VLfVYMOII8o1c1LILh7KJ2leEKtq8ROyR9pOSgRrptUJN4dNVQcJ5S55Eetot8oZag0m
mRXmvJCoapG5DJE6INYpZd8QcuSrTZe5kd7t+6Ky0GjGd4OkX6BYpneTN07J0HpY/LgGrj2IOTOd
pLxYMJBypNrhuaFEykrieDrEpBYpGmStLk9WwlkbBdu2J+cV56h8LotddtqrS7khqKaAvpOVoKHq
NyUIn/oEAHYuGF43v+ITg92mcbwSOEdneXE6yepdVYR4jDGwbel15U6DPsVJK+TnSom3bzEBpEnD
tEdNnnhys7z2ZrBBGbYq133JgAVSlX6LoLchykpOpAEVK9SPZlBeO0avKdg7POirXPtQwLpdNAKu
+hB+UWQQnU54qLmmiGZZtUXd501lcp0hKO+64qJqxH1E/CjJGOh6tfxi4Cft14RScYqbwu8EydyY
enUiUT0jZMJvbgQHcdUyDDHTepA7aLAVubmQJmrRx6TJQtlrlTIsLoSlmys/l0gkRZEs3gPlRxKv
D+kLLgSidDldx3L/wma7MWSORqPJP8f9+IoLi4EBW42dD9O2m6OjWgSmh1lx3tRd9DYKOhQOc37Q
Reu6W6YLDAWPSlOdQBV5iIfEou/RKp4Rqt9jeULmGs6PWVSnkGAqUugUPIgDB3hNxLysNRdEwWyN
xmQaatTXc8zHIkkBEkFonoFGJKIhWjADa24fdcTNprrldfosbiElSUmpEmzU3Q4dqTZ5RW+Cwewx
DWGXaij4GhJXEDKgxGfLc4QyegmBOKFynZeNOYJHSObQl4X2AczvtuS1cQoTeBgMMpoI7YJHHDq6
RILLNKoBTnnhfA6E+6YTKXQUiY5IcqMFUUhGFQTdFsk2bzOHUZjuRmo4eleeAFChS0qCVr/KPiI9
fWuj7qzK1aehJQ45wx2ezskRz/y+oiqwcRDuC+K+1lbP4CRs+U1ERyHphtGvJ6Jcugi/FBq0pyI1
Hxaj9PJM24ktDeJUqa4WQV/bDyZBd7J2YwjR1QTwQbTGeyYo8a6KrN0y1fsgNKt9ULb3OsnLqFqu
BF3fRYp5JiBrjmhEVOpyzPNmm5Y8mwttK7eSih58TXg50AJLCRgK+9hvksiC52UVNm+P/tgO7S6S
k/4yMIfVgZBtOLHs9Y4Wy48V/X9bm8hg8J+3Nvc1+8+Rao4W/3/Db/+kq/CHf+1uyjfqWbzS0p+Z
Le92N/WbzJ7GxvczPuHn7qbK30SRZoIIclylabsKB/48pKjSNyK4DAPZrf6DivqvAls4Pb2bgWuk
zEpYvOGdm2S1qOqKhXl/REE+l7TZUgBZIwdaTOODEaaOMnyl2JZ/bJLvBgkajFZrPY1JioVi+G9a
alIPU82M0vFc03iDO0K2VE9b+pM8xvdRyiGEq9Eg7LkrzxgCHeq0ujFkpLsVPAtnJDvQSxspxYik
geMqLQJAcT/RRqjW6IfmfmyrysnNiEVeqQLMOdlVxQUducrOSzHmlTAK0ppqGQkiWVmOQnOBrHhz
X+eTYyX4dApiqVxkSFtFSYtNoA8bWdU6tyd8ASDqxBKExss0Ti21t+ArKfeRmpUOFuorLJyXQj4d
BUE74hwasBfHiU1m7o4UreMY5BCwLemG1xwMVjgMrrwuIv0AjVNYNqPa31lm8yqHxmOYzw/NamRO
0RaCJEcN2QR73cjjDXqgrW4Fjd+iXnaUprkp9XAbm2roZFG0Zxr8XIxRuhlysaIiJqwhK6eKzhU8
sgwr6Ubqlkcpz9eDSXKmmpw50AsjcwAdubqVDOmmaemT455AGTdfGnXvc1De4l0W7I6jBDeqgA4l
5NSJZO1KmKG05x12DMN6hEjoiTDP+pW02vZqavNouwg8ELK2iY97+M2ccXSIunYKeZElssixd1Jo
SJC35ZGYtpnKZoykeJNK2TmpaMlGUUZ/ydXTMKR33Emqbw18t9FI70XQtcGtMI5xut7CkrikYTi7
ytLexjosk5CELFvpsqt27HeY66BjKeILs3i08ON8m8Wx5k/KciZPtG/bKBkI82q+S5n8XR4zCohJ
2paZtaPnLFFNjH6eahc5caeTUeoHQ1kKYL3Fy5JU95GBmjnXy2v2cTB+tZFuxx5al4GBRgk2BNCT
1cUjBiBFHSOCwqL6qUjKsNksptDNjqbjVwIImuL4m+WGdDh1rAtXNMaNZI5r2nwznWSZBp0D5JkY
4NxVle+jaO1iTUIOjJGbROVquAV/STeXxq2IYj5et+dJit00kXcKTmRpSI/dalM36yeq0UspFV5N
i5+pZocpeRqvZ3mg1dB2tEdHtxxTaSfkWk7mxXAwG4o7geaBFqcE0LdDvIYhjQ96YrTeFFanYSwG
TltNVMA4hdX2UCUki3Ttdhy71ciCd8xKnCERyRAsT1OdV1Yp0nP2xH0mCLslo2dNGzfC4DTnGAfi
7/pIomsyJnQte+mStEp/KrtXYMojJHDBLvTqfmw8kEm7SG2ILRS2qGZplIqPi0amAhOH1p6zx0y9
GsZ2O2PuqcDSZaBzk6Jx5A2W8chSO2zNijcq6naQYcNLEfXWUg04jZJuI0op3+eg4giSiI4sRzcQ
mobkksrvpeJsLseHpkxIH5zVWzK3zdNKIB31ej35h6baBNtSzrFjvttgzv9YLt9H5HxUZrGKrtYq
CjkN960ocbL5Zblu21ZRg1mfz0fo87bqByfTVXm6S9ArPRV39Gp3IIrsYE8t1buJ/5XgbxXG/LqI
c3nLYN+R8cbqH6fBTdBrg6D3y/lgPFXBzkInZU2PAmbEzz/n764ji5KIT0DUVQ53v35Mq2PPigkp
PJfiQ0R7KMterXC3ivg/v86vux9rEF/nOtsER0bePBilX69Tw0jQeikS0XDvG/2sUnDNq3efX+PH
WPPjl/b+w3y4SB+JYisTaHMOTvMWDpM3bMXvpmsCujrNecbsy8YjkWcjb2+OppvZx+E03ty2XuBd
JCejvaVvdehc/kO33PA/7/bz+5PXL/Pj/a1RbYaCGxCv84f7ywha5lAiSueaHR6DC9ETT6U7RlWg
F5yeGf7Jg+RPzrHejFsME/meY9pFxf0SQvSH2uB/heRqUP/nQhJb/n/s1yLuyr9Xkutf/lVJiszj
dTrenP9w+6/5NH/1SaRvOtUb/RMUACwPlIs/+yT6N/paMs3pnzP8n4Wkon8DLE9GjqbTENcg/Pyb
bjcC5F+eo1WVLPMamaAc1BX6twoJ3peSbT9rGrG6wpF8roTqYzfEsMOKTAe3Tlm3SY0ZN7yqOEmU
X9Dygcsc4+Qda3j3M4j6LOl2SwOMtWLQ6wArKgmwmgPw7eZIc6F9JmT7liTcx0qsT+de2S2Gbh6q
PGs83GJ2UCk3odVwws4TN+yyy+mHhaNWXnSJTrOBO3T1nFmiAAvTxHmHg/9OnIw3KDTTJhmrq5wD
pCHlEhDrpbZ7wVio2+p7ta96N5YqEIEAS5OwIqcLhmlRpz2p740/rnhTNVCw6/b5SfSDfaqtGNRl
RIngBpP6WP2gpDK6hphK/3/FpzL9KK97rAoVoGNJxUFWycy/R4scwQaqSDuDkhZ7w6kRpA6Y2pkz
J+d9ggTMKqi8SpPOhJh87wzjlQkyXf2YI63SHTMQ5C2WoGAeiUm3eorkubwyJgzsUi4/EsmDwdVq
ZNAydE5a2ip60LYntVg813KE35PoPlxKeIMkhmG5Kl/UKdV5wUjNHef0WsSiTUE32+0EwmYS1ftC
LW+ZIJdn1TKVB7Cxs0PusEdy2ZkS4jnNymMrAcFvok1mGSfgD+85L0lYMZR5V+oJQcmquJN6jF0R
n9tTOpg3Af1ZW8wWxeF+7hhUxCdDbODo4OuzTSkQ1slAfkaWy3VmZsMmrwjisnRjr+YxjQmgivFt
2gpy5uHX0XVPIoFnkecLsV1S6lDsQ1i2TUAA4lU4zBdB3WAabpQz8E846OUtONYLLTF2Qbb46dAD
OllaiprwujPzs8kafHmSZ1iyg6MysmnHyo4SjYz5PLnDP34NE5LJgHmbC8S2WU27JcHkGkffoRnj
qybv7+NO2koE52DliCpHrzE3Lricp2HUqD3A+2LTPej4xfb85KBV+uSVsBh7aLg3YQ41j/KYE4FM
dPHC6HrRHuUGxUQh0pTos9MlDC4xzlW7WevCgyIALejH50Igpqe9bnqsR1ZtXYRR4lbMZYtqOWl0
6Va0khF6XeK3cQPPiLKiROMSt+lj3uOwhOu9qbrZsJW6cqMqjB1JIJOvnscnK5BKT8wJN9KXI6zD
s0g07wii3petQFt+og+jPSuVqONzS66WMDobyZqqG3gGmnSb1aLkiTL9LEKXnTgVjoFo+UleHHtw
xXZkFc9DAFtdGaHhkhFsK0O2zzL+M6YBZG109tjkOzPsD/AF9/yXizdNinJCrH1npyZF/UaKKbf1
hWz7y0iUNJkzRPiQxLJXaAkKOk18WyCFUYc/tNa4Ga2BYplbUMzHzixO814VHOxZriL1Ttcp2yas
7mdjlXDknCpGVT+Ycn9pSjW+nmnEMt8o93Hf7Ma2wZ0/AO02VRD64Y4O+IXMjN6Zl+FUG0YECVrh
BwWqAaupttgg/dhM78jjOoRie2MUlWgT437ZRarLYfY0YvSdiv1dmqtXTcxvkVfDi5rzqhHVQdDh
2ZTl/S6cpX4lFmwzud7XlnzJQ3JS9nhM6Q+fkQK8GQz6WxB37hnVuAtn2c3QipSo416wpL3AKN2u
R2GnzupWbACgw6zPl3E7MoADO3XA4+132XLRDWlnG3kNkaQBvc0ja3J8zdvsJhCLRyI4ztRa23WN
+tqSCopwZycp0e3Qxlea2V5j48rQagAU0sArDuZzChBEyglZWPJyByD8MHcFw1KZN0waTyPA5zFk
kSlTrqwsBK3NMUEqa0ZDuugTO7YpquoMbvI+Nsy3H1vy/2qTtbj+59rEy/7jlg004L+XJusf/ixN
wAWRIAxvV1E51f86iZe+EZ1HdUBUKMr0VZX4szSBMaQbKgAf+QcSaB38/JzEr4RBmRwvDb4rBDo6
cf9CeqjKvxb61CYm/z+cmkRKkzUD+UONW4fBpAnSAA2YvWpccaAD+hmBthxI97Y5F5YVGspB/l5T
q86xtKyGNCMYaHMWUD3CUJxg0etB7HB+FKGRwgszYACZTM0B52z+j70z2Y7cyLLtv9QcWjD0GNTE
4S3pzj7YxASLZJDo+8YAfP3bRqUkRihSWqo31aRWVVYynO4OAtfOOXefRbWuFApfimDTBr01VJsm
9MegUZjTFN7poMCnWNwxYrX7xYeJyom33DoLhAkXXiqHlWjfQlDtk+mBMgM2a9P6tq1iOLRa4u+F
Hr2W8Fcn0odaMVxUOltKuBpipbep2M42z1PYGcdcJjtSeEtQQXYFNfcU9sZZ70Ddj2G/6mOUb6PG
YdNeggMlFvPi4PjvwZHAi5nseetX05tTOW+u56frTiFmO1iz/mQ+lkZVntVDXlED7D0bI70UClDL
r/nql8VlxhOMhRo30GKnqu4nxHwGGLHLBH2dNuWc3MW2UZVfFyFYtMUu3pxcbCZV5Fnl9c6i2tNt
5Y1kI3WPfe/hdtik6eSyrFOI4ZtBmy7dWAKepy40oTZ0VP2hliE+YEZA91W7aErNKJCcg+n0XwvV
P9qYFKQM5CEW1U3q6fO9l7MhfDV1eNB1P5EhzDmu+8dYq98XlTwMwfhtupS8ZTUxUlhLPu2KBJhj
k6T+oW7m+NrMjC8iUcG7GVPM8OLVEmXm06JT9VGsfH+4G5w8usBRqs8WvWgppNeyfW1XG8mdXACx
QwDxgPJBM2SESO4V5ZAVeHZpyJ6mazPiwVI79bS2q56jvVZdRWlIk0WHP+Lod65GDkSmIJcHRNvc
ObOGko+YXEaYTg+1nXxzzeIYElNi8m4Ij8EKWLna8EzPEyw7y3xiLvqK9Af0JXJ3s2+xfBane0OP
bhuXpsNpWMDsUNDSLN52LrP1BPCgzLOjE7onMVDj4M20Gyzlu66GqHEgRUm4dgzqLLJZCU9fCVc+
2oYN3nG6yeP+OI/aHejMrz1HeQRMVjwH7RxYz4Vuhl+mMj2fZcG3FRr3UYEjFbfhXTi5NGvxCdVG
RG9gjaaWeURlDespdOUXR4cslEd5CgUYuc9N9JfO8m9ky24chSTUNgDMdkc1Z9BayXspwuS67cSB
dvWA7bOzCFT14LDqrdkv0dzfKyk1Ku2L0bIv42TZm21BsjJBjO3mR5uI4S6NqPzIEjxGbnOUozQa
4Rh6BVbhNHLESNrHtivOTJ+tetM4MDHe097CCjFUlKAx5aFu7STggtVXtZbfkHF7qc3C37sZJITF
8XZ0hJibnIlnE/ZVtyEyVGwrHwfTgrKZ1kV6oJMlmDpgxgbhM3XH5S7F4JVZ41UFB2JFclrfDsyz
kQ7GWWDp6XwE3JOuzZlanMF/5TCo7DTni+FYJ9NqUrA8s6Bwge6nSt3i2phii0i/NfyS2o4YzmXd
QdlqSNwKO98XwCEpFgXEUPRO4HC9DUt0K3TrxS1wVSPDO1HKHu6iSNO2eAs3wjVbcnKZCGbDfTES
YBiizMlrOjVtidAeisQg2+vN2ywZ3tt+CW/Thmhk0oq7MhkhYmFiv9axduFU4wiFgHtEkjzIeLxs
/Xhf2N47xw656eGfruJaD7KiqUWQdLaG/90txUMRaW7E8E8suCcyviE3dm577Z2v6MSt4hQvS/W1
WhJ/Q/zVpHp+eQxHOMXu2L04vdYEy9BegVm7iAEgm4CQJ4DIQpGRzbI9yxdjk0VWvhl6+xoQ8mnw
qWlzFFc5BbDsAVrWNZJBrWIv2xJaK+zLOxMscxISBwPTnCpec0Zwnt9mefQVyrmZ7wtbXkPnuuJ6
4EMA+lwAf15sEkR9lOS49+VuUIRohdspQUYL+op0ENKWPn0pDQ6EoKUdENO1T9uax/8ywaeCDeIg
GSsite8QoEkUpbrUITqoVgaZ1PsSkHWriNYuaOuI7i7uRNCubcW9Bn7NRkedHhbFxNYyeSg/KNmK
l10qcnarGNq+omlTicLKm07RD23xgoI2LAxF3/53KvsAOeoou/99Ktvlb2X5k4mMH/ptIjPEL55N
5NAitQKl+btlEINGd/Y5iLTYUHuUt/jHRMaYhC3+20j2h+1o+tiOBv8W/wOxFP35n0xk4mPh7Q/V
US2D2HRPwWkyyJpb6p/7Ti0q5841psHzL42iBa5mi6Umk6iCEqZWxgYQhaILv3KLa6/JNBKrKFTC
YiFqwU7DsS39jDqf7CXjvjRT5jQaoBhmy+JCrM18UqGS5VASkt4Mo3/NEfA9J9QREGygrsjgJGvg
EiV0yTU7PWKZrKT/p9b2WpK/2C2lw25aHaNUXmeGsvLYn4haZ+/qFHpTR7gyAaQlPtCIJGU/XPgX
Bg1VCXINFpadU8I672dBOLHUxEtakKNuRvvQeu5jbbloXPKVvpoTMZccRBLv7cmH2NKHLHMzI7y1
s7fOGJZgR/VKYaiay4V7Ke5GGRij2Dd9dT5m1AbKXievYGotuSC3POimx7slN7ruquWh6MaTtwBa
lilLlG1mtaThTORtg0PtEG3bDHKbaCN3k0rx7GXYKB1GWWOBsBPV8FRM4VcioLSyVZfTzCCkFaG9
LTqj5nZRHiQJw5WfdIhXGEVrXVrjqiq8agfBz1zTTVgEju/jBM3XhZ0dugh0C2GEb3MxeisdX4we
oJBZDHPFjOZnglLUDAjx3hvamRiHA1HCI4TNjFon1I8RhO3el4M8VlS1E/ykPXFy+iPQxrdCK+Uj
3+d5b39dCudkJV0AUPcqb9IzygNuJXj+oCVv1UGN8RuAM0Y5UDME8Sxa1TncPrC3feaD042AMeWd
x1HfHmOO4R7uGhks/2SQ3TijAxrVh26aA59LrW8snQoI+uv92zALB3gHswBY2VTUNY72bO142lv5
Oh+maCfmKmbML1vj6Ob58OBVjrenjkN//Pd2+HE7VAe6/347PJEYf2vf5j/fEdXP/X5H1GmYARnH
oe4jUcG97ZN8TlKbjTWUQPtXZf23OyLyOSq5+xFMdPnXfjug2gQTPdC4bFkbjnLj/sntkFW7P4nn
JlFFX3is76kk5A/ieVHj0c/kyC8Kcxm3NUdMwr3uk+tFm8odHoze+ULDHmeTndGIjdF410MffUGc
zIKZIGRQWxmFxvPJOTKkvpoy+1IwdcKYadMdAFfGGA4SM91NTJF7PSppa6O1zqZ1M4jHlMCfLr5q
5Vi/iJ6chAkpe5NCytwuHAtkwr0vjNozAgbMoSZNSzQulTQvLVoPiZMqJpk0zzPdTLTHPiMkPkKm
Vm0n06n/qHFShU41zU7DgFiGPjM+EH3+Sv4sOS9r+E9C2giDdENldETBJVzQUVkuVfVRjsf8S58U
CYQLn8M3Ru8tKn/GBlLjUz9lp/IL5bJPpJXpWKkeOlVU5Rr12u/ouKPESnDs5MF0MVFuZQ1KrYT+
Fibxt4r6K+IMDW0e8sKnQ4VOF+NgMbVRnBrPFQjM26g5tS6aZ/aENt6s+BV3XbcwdcMkZW8IqJit
SrhUHVdoIfKpgq7R8RUXilWrUDsCZJD7StV5hcmwkVV6U9Pz5ajCL0tVf3Gn2jdV/q1VpWC90SEj
t/quVYVh9jhcoUHyxNEdmHpwH+OShKOqGcvpGwvpHevsiKij277oqpKs050jsMp1RVfZ5IT+yhvc
o6TFLK/9C+J4aydli66aU+i9MY2lDIM251+2+xx2s2xkYFWPFi0UpTlyFKtclaflLjVqSUKhWqKq
1WZVstYXy5Xfu892rR1AdvXboUOwV8aKgcIuldXi4rk4eC+zMmE4ZdyUypaJ+eY4dn6x8WsaZdzo
ysJpNHHIvepU4+2MeDwxXk+tTB+h7J9FGUGVsoRmZQ5luETgx+HW4xsNykBalJWU4CnBbDYpT5j2
hbKbYBqj6M/seXLHNnmMkx/33vk+zqu6vrQwIzJEQwiClLzGnPRGWPwzwmKKwAin+bxHcKyU8rgg
QYZdf4QrdzCUNpkjUgKge0m76ODH0c5RKqaDnCmRNetBo53FIeFSnQ3InhVZvkyPLjXk0BJZlL55
PtRFHi0EU3OoToNSUOtsus6LcTeF9PgNDq3Qck+72kEgvfIs2TcRdVUWmmw7m+c1Iq1ErNWVajsA
SA6j/lEqPbezlm2CwItKU6xmJN8W6ddO6nN07T1kooF3iDqcIhNbyMUR3bmsNr52Skf2IuO2q7oH
amXPwyk9UZCxjqP5pgTfypQRP2R5vHVk8hAhUVMjvC+cxMNeIFisVOzE7U+m0rUBg19bCN2WY1wX
SvmO9Iby3PYw+vqjrrRxT6dawkcuZ1hi42DEKVNKerkUjwPSujugIyC1G9OCAY34bubOV0LBO6lx
ykOczxHpy3bYd0q076CEsM+1WbrwMfkQ9t0Pkd9Qen/+If17ygWYlR9AP+uyaZ38nCLCo+WTJFXe
AaUH53EcX1qYCqFyFwjonKTyGxJlPCgHQmtzuJT+rqn8C/qJ0sADyFoo14Iczn0ihiNbPQ8mxgUU
hdtFfYUmhkeN8VHR4GVihFDJ8TBhjJhCXOjZREabuGiLdWIoDyVRboqFrdIof6UVNMAqx6Xxiq81
Fszs05DRY8pkmDMZUte6w65xHf2swb6JsXFs1vBG0k+BYd3Bs9kkyfKS5u7tovyfUjlBOpZQTQJb
Ux5RSKu1hWkkamfnYiJZyk1Ke8faSOUwsanM33L0linvyVUu1IwdJZQvJQSUSx2rylWeFRdFHRjK
x3Iifd9hbHUYXA1G14zhFWJ8lcoBm7DCYM+yzFvRQpk/9E0Mz8C6yhQ6GQ/NSB0O58W0s63qUuKy
Jcpu85xxr+G/9YvHorJzveQC48XnoxGXmjLsAGNf0012mykVShelokDKbDUKTs6mc+o+nD8MT1zA
QRmC9oc3GOISGmWYrAplHMaNwyoyq6SJN/LXuRxZQUJzbXlLVGHtqVXeuVHpw3210ST7sdwsGqKQ
MUL9Jsw3rcaheEFW3dBklG55whAs9ogj14CTJ1L0SHh7FM9kPeU9j5jRH89SDiirRpvfS4rb4B3m
pI4pjTfpnaXbe/I2dp4/jFVk0BDitGs39ojvxZ2rrQpWxsBVRkdJ09pl2Yj+MRUuKzYU1mjbwZP2
dSfL5Sz3FsijMrc8iBGFJTa1hDi3CO0ozfZsrJMresu31kRzhLHcF014EwGlHhojWrEwExi5B1ZR
NI90I6eBG8lNKwiAjdm0G0Bs4tD2L2M6BILUM873aZQzDxl42ZAtweavErO7q3V9Xntu/Myd9V43
230o40vdnt7C1DwHBG/T/pxsuJAq9HXzsV7sczcpTmGSmwGJR+zZbKvVxdk48IhuWfFdO214mep0
+WbVDSlm9lqL5VBHztGekr1ol1WU1Qcw6dAC9Iz1UaRlJzWvfVncEuBib2ye19S43JW5LFlQyM71
RB50XSPSKQJGISzd5kA31U7L4kPkNudR3T84qs+iFGecJxHcvG3m1a+qzjnNouspZFKY7XqzhPGm
JRtvN/1bEftHrSyDjotumobzwc9fHVNnxdsvqb1LblrVGmskYODTeWUWzj6e9NtOrd31JZ3s2PLU
u0Ybjon0EZILCDkKDn637VOxLwbjcfSsIE/FtKWjmxwrO2Mh1yP57oa7e/aYgxiKhI0picfvZ4Ny
CfKDVqf3vh/uTG+5ookOMFAv7mZJL0taP1QUQK3NApFRI3wXthWlbKkcNqTbL6StX4SR+XXSe3Dp
aa1W2lgiTw4+S3ZbspmcRZe3eib6WpN34/7eHx2DiyWqpM0Sg4soN9diQ2rNu6wEGXwLcSj3WHHs
9evcwrFAhQ+0yNx27GCtQvp4V22nQyKYnSdbpvOtz52GE/F0nCaPxjtZPUz2cl1rzpNhpOG2TppH
fWR80Z1hm3VjHpQd79oLKSBVt57GA/VWIRVGtJ5Qep2danRV2p6XS1Dy57WIWFl3WLxp2uJ9FAAj
m5kMpsX/BetqLUZIsslU7+ANHKRrgIvoh+PCojOndetxUojfVAch304+CvZsXYgsuchkFsD3xtWM
FwKRYUv98WQCaMyjM4kc63f5E+dHa6/+3B2TgL4PsmALJt188mIEvdq6FnJKjr5Ja7qoD1Gt31H5
DujBRkCUwy6iu0cvsmMT6eiAVruK7OJ98EhN0GsB8ty7y9h4SHqKkEdwgLlU4Ib+cRbNjT81ZHJq
9yIV0UXhpui81nxeTul9k/tP1mTesI1VndtmWm6GyIHF2ltPS+Ef/E5oQUqceleO/MMaDUgVxvq6
xpnapzmrg11Z83SMrEI3byeRGhwj2lazUEFny6Du0HS0jSGSEIH304nvJ9HI7x0+BVhSK7ZQP3nG
+xCvfzhAGYmuT4ZRJpdpXQNYOnVQPnzr9q9f5Idc4n9eBCS4w9IxQUh1ivtEccrCqTVJwiaw0w9a
edKBKqhyCHn31y/DSfRzIu/Xl3EV0hCZzIUg8v3LhDiZnAJ0BnfjXVZfNPMf4zZVu4nAYNU5bLIC
/f2/3/kzDp1T5Jel5EIjtssC3++n7598Fz/5/V1aYfmE+KBs70e6bOTS2A7rrrjErinsK9v/G0SY
cmv/0A7/811/+nx++P0tJ6NZiVvpJUXcGk3PYtvSgwK5+y1P13/9Vn7yUmp9mz0JOkSgzf/wVeQe
rVM0nGaXAICp1+6xblStG7gZGsL/Jo2qfu0f3tZ3X4u6xD9dXbpICmJqeU4ONfBZmebc1a+5p87j
9p+/qc/f/w9vqnTZPBu8X1+IuoKSdHq85TmiHsX131xrP/m7dFnPR3zk6Wiydv/9mzJtbGMevOVl
Z25DKgunjR2+/vXb+dnl9uklfrzcls5mVrL18rL0ntPwydL+D5czVYYQU3y8fPtDu/n0vaRNbvcW
quEl/i9xylU+/x9uXiyloYaj/rC5+gEm+/QKpVYy3zuC2lf3WboXrG6u9P5v7l0/u5K5iF3btkwW
F1R69PPV5bP2VoLxpryPwW8OPOBi9jUadVWvF/NvruSfvBbavspWw5wS6E/fvxaiKCJbapeXsTpT
U5YWxPPGbVYVM9bNx5f/by5H/CUPjFXbF2Sh/s+Sp/q53yVP8xeiM7rahQbsQir3k+RpsT9N6Jci
UfM/2K//SJ4smFlUd7NabZK857r8Q/UEFqbrwuAvgX+VUA307X8Qy/n+1qB2z1R7l+8JHniUef24
zNAPsyRtYMsremEi5Jn5pup2f3Nr+Fhg+3RTJUWk2y6WlkNBhUPQ/4dLkYCumaZZV1+ZkjUvxb3p
WOyITaM0r2K9bbA8KmfKrpcqcbwLZAD3EVPEyK493Z6DWC8mA1RCHXRTdWhg5CcQwhwzoX9GzKuB
eOo851ehra3zSjvMnb/Xmuq219lxmWOSxI17MyXdPpwbonfw4UmBi7VtNWdaLS81L3vJ5+xZA5wz
1PUhzdNH0iciWJIYabLbeEbOANnxpzq17+3g7moKXtY5Js0uaawh0FgxQYKU+2ZEmxtc8svevjG7
gLf3GDn6QffZvjFFfdZM5Vve+TFRBYvYSvEWUrVFugloUqVP1Px07ZY932PYu3LtlcqulgZ+lKu/
qCYm06JLTFjlHaHgs9AwvrQThgYaCzlEcKbxLF87xzqbrbbcNml9KuNJ0qnkmoA/QjsIq5awYklK
w6r6TTSbpyJCy+078zqX7Dov4/CopSYAC5fngwHpyTP6dxqGEYsSo1q5TXVVVta5K1sLj56Td541
6d7RIfLUPUbWlAIxSmqDzMPowXKrlweBXGfyda6qQbuxpUYAxMjvZOFTuuhlT+gHSByyPvhQVi7y
XoqAkM5Zp9EaoIuGeiMvOkb9KyzSLQypICmkEVhT0wV+Xj6Ey2gFYeOVZCY4G3pDu+5Bj9Fc9Qpy
HjrmzGnatV69rojXXpq8ewUScGShzja9f0cC691KZKA3yVvS2DIQHRwigy5yIsFBFRVXo9G9iDTV
g1YVErGReKDUpFhbY79NPBXfMlk0sroecBq6FCyr4YrYwZcxgk+m5T3rw3G7EVZ8G019s65QhIIy
JFxiUUYwYvotypDyvfTWYLGZwAbQOX98yHS07WR23tPU/2qLTJVIshplThntj1R0nEAdtUGUJnXA
feVLNDe3pWWT68yorstddx1XseRiRcfl+E4eraH9U/J5uO7ylDkha3JYlmNavllCOtux1b9kUf6l
S+ilnDTYHWPUnwpXe+8170nzZhIH8PNApxLXnkKiMBsX+oKx6U3gc/XHgpW0Wmqnaj4Nn03N5s6O
JOwwh7KN2s+zLxkPooO9TOmVY8q7piE8vdRvBfG7JKtzql3rb6JvOMa7SUSAw2P/UMJOaJP0wbL6
de6AJuyc+9LfTLs5RjovKiCEmnbTDqmvzFXK39ZhAYhgpHdCc9EZWr9mjspte7Vw/UZmzfIaoEC4
D9jP4EPdLkC0oBkghqJcuY+xZ78l+sTTMUd+txaxLejtGOP5HAf/GSgpCeeEetjhKRoskuCLedOW
YpPW4qYS5gFW2808u2tHi+6NzHnqPJvAtX7uy+iKjaeruYhPS9dvFyo56N3+NoysK8Ruus5oINwU
BOmzBgJR11JZ7tnbth4vXKVMNhn9MYTv4sSWq8onH5h62irUtMu5b8n7+9kmNLq3jjZ1o5ketO7N
HrgSR8fdmlbqFkHI5jxpuFDi26fDrGkbfZzdezcap13TtEaQRuT8ba/u64vMNB+LyqI3daGSfCwj
gDkp9y20e6uGUWYv5q6fqzbwcqxozyzuMzqG2l4+Spnfd432RMzOvNYHe7nigdds27x5bgxxiFvz
2xR6l80CiDn3o3VZIInZVCWuk2aEIZvmybbgbHtnFd58ior4Nomil9RotUDiRp23y+zir/fs1ZX6
HFh9/FQafIsyvoOTnq59Uzsbxu5xENVy62lmsQ3VrmTN77caE549gZ9xDxi03Fl3Q43mAMHvDl1q
Xs8zhLuopcqdv/LuIfS7YW31brHnr9lbN3m/tpxx3I+ilzuy0Ig9cPYAkukxx3ngHlGfJfyxJ/Ze
wlraY99fAT+66SxQc47YpaPy5LXwNYHFSL5M3JEueGzFdBvZrXNgj/lRkfcANi3hxV8/dn84yaiH
LuujbAI5xDtcusK/n/+cfKjZEG+Gq8qTG0dcpt6dw29tE5CgKeOvX+v7KULt8BFu4TwulGsK+1qd
Dj7Nzl1XTb0hO3nlhZswu29mKqXu//9eQv0Kn14CdkueyyGXVzV/mDOp4Hj8atV/M5//9H34ZGtw
oZmx1NT1+UW6GFZVWkp5ZbZ3DTRd7UIbD3/9Pv78tfBRfXqJH859/VB5EYWc8srybotmuxQQZeRl
6T6n89+80g8HgF+/lE+vpH6TT59YHo924fS8mQaOsygdVsbPhuIkKbMpzhbopn/9xtQv/v2QJzw8
fU42OjA4OhK/f7k+SunVxLAj9PEoVGuOcxfF53Px+PEy/541BBfb7wLP+pmS4F+JFhfPxdv//s/x
OXv7yTmDn/n9nGH8omILxM3UCVNXeOHfoxUmUGJS2DbcB5Xk5//1W7QCvLA69boGcQj4GJ/OGab3
i8PAzv4vKGMTDsY/OmeYP9DXCZu5RDQgI3vsFCOe/bjnS4pMmHpT2pfZmEfnWoThcTtNWUl3hZFk
O2lZ1LS55H/BwqwJV+YHq2UqU7WY+yxkkCxmg6tX6j4Eu5zOeEWpxEBX8LhCHD2bKVumcDgzKl41
Tr4nd2EXfsp12sZIRHOn3vqL92anI08FYhhryL0LEak4QnaV5ylwFu2D0qJ4LT3gFkMRXHLFcukU
1UWKdJeDeVmYJqQR3TSK/6IrEkxnMPqUwGH6RVz4nf/mhgO4J++SpswDN+fbhNZIDbiMpigzZVid
N2BnWsWfAaf0mMOv9ADTFABqogRSDSc2mikVvUaAsUGzOJhevUn18MkEc0NRH+7ESBl41sPA6RTI
AtTsCmED6F9bu7RW+eeNYudkrUGkLL9ociRzN41ODZidFtxOT2wcbgT+T18FSyUlbRj1WaEYPQVe
mQ20R+eugRZDwmyhAz1Te5k1lprpzmcLyB+vja9nxQCK+/QwKCpQo/hA/kzZvSIGESmhoguIkCGb
pwyoEOAc2gTNdtliPsKHqONXSs4Jk9TQiEox71ixOKPawNwVAIvQ3o21VAyjpG3v6zC2Nmb7PijK
kZPBOwoj4EkRiRW0j3dNMZE44F42ipJEKymIBMBJniIoaaCUWIu4zuE6AAcEZzdWQaqoS3ZU0uen
SEwzbp0HmslVjCaaU33WIZYnC3yTHVm4Lst1w7wwtuJJ4iLQ6Ru/gy6hZUxmxJW7FP1+3meKDtV+
cKIARk2KHEUJbhSwo7dNgUrNMXQp1r+3LripmRV/eLqtCsknTveCL28cJ9vmQFCosFrPKTpfSxVh
4/07+2JWuTa63Mm4jYQ1KdjxXJwabEW+KcNlNm5CfjhTn/hCrg6+LfvqZZ9sfQ2INJBmbNCyjuP9
POqXC38M17OXurtM8/BpGYyxh40z00zNwAJPaTb8zJLU2mUasePlTnqF4TiSD7QbWhAzMZO9M5Pp
wEHBXlGlmpx53rTs3NGWm4qoCidvCb11HLd0u756hC+aEQoKN6mTOeB8uL5/Tfw0Wnd5etE4NZ3c
4kF69nzbCi17KgXcCaMh/Wxi34uwrTce5MJV65jZplRmkkWWairxfUyBceMp+nJhgBBzS+gbQlKI
WVjWZoooF8KeO2UGG7M+R5yhaeG+5Mz+RtK9tIO2EyZbv6PZHkoHRC8S9JnmmfaZiHKPsl1y0wZn
8a+Gy3nULpmloBc6Kwt6m9rHzddJ0daYpHkRLP1Cr58wHtOiCLd+x39XttLblQuAkSyjGbIqCJl3
WqrvRkKztA2r7zd06LW0QlYE410u5UXCX1QgwfKkfnsdS961rtGAEFXnYqbBr4BBV/nEntKlZePP
p5gsdonD4habPVUtdZdhU8bztihpgbITenNTwjmVZ5+znIklWeu7xM6e9LHdDVp3u2TjCNyBRQvq
rjGcs1M3tOR4B2jJidvuwrreO0P3HplhjB5eDWsWJ/iD5WhiUBFd3BVdmh/9eLwq+URXlUWEv6iI
JUTs5dhp/zA7JdyaGkK89zZVBpmmqjjrM7ywSEw7LIZfh7h/JwTBc/u/TwiHon5rk+f8J1MCP/fb
lCCQHHnKw4D6NXbOpP7blCBgEUDIcjkuqBTk5ykBCdMkmYk8yA9Sa8BZ4rcMpvGLw4aghy7PU4lK
AeufqJHU6303RTJtoIvbkBKgm5BL9/0fThJuTKRk0pr5NJl1LbYiA1Jwql14Uu86hfY2Ykyv95z/
zUR3lz0l75nkxohVvmHwyW5CgwyfxxrKvhUjGRKE/ld2eAHG++Ez8KrbLMyKqzkDYNQsjrGFyUDc
wtK7EyGx97j2OJPTTs28rAjWwwCzjz1s8HrSJcQh7OMydAW+Y94jCGZZOQcTHZtBmkbtRU2olPOm
f2RhIztntaNcd7Wct62N3tU3rNbngKECOFQkdXIS69Y4n2V2cvSqPjynSTzbZhrTDc9Aw0N9c3gY
ZKwDTr4brz8W8htUIAIfLhGliTNz41EcqlvaU875rnam8syNhzvh0JodFla1LhNE08iftYs2dV5l
iRTQVK7YAdx9X9L0qysT1oqsUWCqh0AUa9IQX9qih/fQxnTjmMSs4/StjxbjCWGMsuCcUN/o5M3a
7XKiCkSqCSv6pX/OfpXYOFLXzqx60o82BPhdAqNqFbWDc2xd99rLo/QWrfQg4/lOq+2SWwW8ft2r
rl2nSBEpWiiIukUooULnXTJXrCxdEtyfM+0o4kGh59vYpoSUBG2omxl8+1n0u6jQZh59C8/JFrOD
ZloDePppppAWtlYkGBXYt9MhMXi+Ri6PpgGNYBUPrgOL9MadRmd4wrCXsX8/lv5lwh5Ws6oWD3yE
z4cQXvqQJII4AUQ/Cj87GpW/pkJ1ubUYCab1v+ebj/i4ilP/97vXbVVWxfOf713qp367dxnqhEOd
KKFvoOJMSH/cuwwAf8y3nmOYXCHIHX+ccDx2cAwWnGlkwXTDy//j3uX9wv0GDp7FLZGzK/sv/8BJ
gVj03b0LFQSLg00fw8OxMT33o+Dp04GbSCAIVJLCl4ZJInlre0sbmKYzvLbsYo0W/Dq9CLO9FvaI
ccK/D3sml7CNm7Vtuy99kd+6hfRXYGTWAzgraCrJy6Dph25sjoBHFA0VKgmS2RoyXk+1mPiKVh/t
OqSX86JpDoxYAcDWS7PXDkSgTmC0V6KF7zyEJIDHGea123n7EqTrIhmVKCDppVMFlbZcZc4Qqur6
G8Psn3yahCGKl9f86QncSe1Oi5M2CEdgW02SbKMQMm76mCfzVxkpQclOb7qWjFSLNi8K+7zQyTaS
4t3NVWWc9NpS25y0kgvrfLHri7Eczr0u/Fb78jyBYW3MTnaNsI88X4YnicC3igztSbb2pvMM8dzO
FcAY6G9L196z4/Mtcqk9lrXZQIHLv0yu9m3AgA4gxu2zzDvNeQTojfcQ6tkJnthzl1bddgyzZAPm
hhp2o7F3pR0eQmBwq9YDAV+Hl90gv6KYsAboMox7za63UN/9oijh/bLvyeZvE3J+NZg6bbnsBynA
rS/+fer420HaSCvxTu89iC5eel0WOnUx5XT0uuUoO49i27B+TGLbDEajScG+IZR1TPJZ1j/aC3Fi
YOCrviveK689cViOjnEWXfixFa9Lcl+yA+kremPfhazadk10Z+TtQa9jFfft/TPpDMC2nfhbGbm3
UTjvaHSZmMSKs1kNXYOpvU1MYQvTmMNUxn+2L9WYZo2et6nU6Ban/VX5Mcwx1TnHSo14PilARw19
FLjEa5c5sBAwapkLnbGJg16NivwXWUhuNnXFPVpX4yRFYreC+TJlzrRmsfPV4FkzgXZqFO0r+q1L
ptNBjakN86qlBteF+ptZjbKQOr0gY7rFPWDMVQOvweRrMAFntgW/hvx3xmxsZfIsVcNy3M4X7KHu
dKbonrDtChvDnV/BLrYPMZWPZKj9woMkW7o3hipqYSu5LbRrvfabG0otinwn2I3sTZ0HMKtIgxG+
ZxEpSRvGZVwRZtMb98wtp/vOaV/6jENmXfHYiogpxtm1qPODRzQ1YKxa15MbpKY7rpNch+9I3TJF
8xZvrt40LunR/8feeW3HbUTb9lfOD8ADOZzHzoHNbubwgkFRJHIqpAK+/k60ji2Klq2h++xHm2qC
QAOFXXuvNZchY7wI0lyGvol9OHXGOQ2JDPB/tmgKuTLsAeOAzgtePrsghlVvuOOLZosTM9uMlIu8
CtdhomxzNpCIcJgEIeRW/E2c4d51yamRbjkbzHFnlM2DVolFaJGorjP37DI2TkZEXnpUJfMm0QHH
OeveQ3tbZnwh981kVJHtpGFll9luIwXqY5I7iyGrmUF4jxlj3FktwouuhMg5VpG3kpndzoik2XiV
emk03mvd81JH9z1IBxaeCSm0HA4Ekm97YYAs00mk0fue7xabv9Ju2lq8oj8/xtJd1LF5q0YBA4tB
4Ctz2GZZ+dJMeApVDP6V1LypIryxWv+tsmvuzi7bNl7gzmun22Cjl5DsrY1pZCdfHbt9yLYyjpAM
uxGBRWZ76J18LxGGUleRdhW4Twg18SO7G+hH6FvVtee0p8juHlS93PomUeKd6iyTOGX9k7mCC7e4
NiCIz6NRoN5nvhzEmymeoYy6S98eaRqT/KA3V77e7phrz2AKTVO9YTGO+sq2xdLAZ1EUdYc/MB9Z
hY2VZzV7NYe+jH5vTq1G/o/6hTxdfdbo7bMRwZjqoVNvNSc4TeDqMgiutNG98Fy8/iM6aPgVPS47
kIsFHoCkDOJlBq1iawRWSzaRPBmpskrS4aR77juJN6ucqPbabpY1/ZFVFFX5vKcuGpry1DjunYxa
cJqWBQ80sxi5xXr6mBAZtgjK7j2u2z1S2fu0zbdxU1yEHtJ3JnXX7agv9Ei8W8GwbFutvAwl2Xnx
eJdoOjTMLrlnBV7WuXUlFNIxAtV7Apn9ICu577MQEnmbOeRXuPNGC/c6quFQWsegD/bs81nGzWHr
V14MQtZH3bmx6zq5J+6nTxaakmsruN793EXFmapUclZCQkefkXNQhF8xkwPQ62Cu10J78cbxqInM
WFIuBBjltZUUGKJ9o3p3wOjMvSY5NBGVZzvInEI0eihi/VRk+rWZgP/qChOZVv0Kn37RqN6OzsKx
tuV21Fm/hAPvJ7fyOzko96UsbglHSAgNMhYoBsiTHPpjl2AzMEf3ZqRzgS0xbq9EE0dozZ14Y06e
ANvHfTPPNNSov4i/1H9s0J8bsISxqDjlcLjRE5q2Xh/Kk7pCBDIABj5qN9ns0Vp1J0z1s2zuvdxe
s/3ZRcti3myiC2vdL8JNsQrpfm3iQ7j+r8A9F7jTXvZfClwAg4voLfgJxGf64J81Lptwttl025HM
nIU/32tczQE9aE0SPtqvNlvA7zUu1S//XMch+Rd68Pv+HFghbSBPZdCM1ui3ID6M836ocaf9Ocpl
RIQGRTOtAPXT/jyK4xDkfmMcEGzSILKSqiG/prWtZKJI9yVYjm50pjarWuoYbID/37QFad9hDgKt
jZ2XJMznRkPiq1o9x06qaadeq5HqxOdtVz3twGhBj7vAmLZlWHH0W+O8WdNqlQgab9rDZb7h75LB
VqkMkiTWbiLHSyktgzGtAeEEdn/gZSOsK8iE687O0zcfq8iiyKMWYp/ptvFajSnpvIo3w3VTDc3W
THWgfOMYJuPSV4f2mewYsnKcKlT3euv5e1FVNIZz/JfLUHrVXFQkoeAyj/ZWM5gXvj+WFMKe7720
dR56M7PyexqiJk98koftic3wCxrMZywRr7GNsYmWCq9923orGzg8XqE1dBgq8ytKA/bBGECqALbD
qFqrJlHa594ObLa2ahRNQ3GNzWxPHhrGqAcNvczCI3LhVfLu2tRGDvgEqciFkujZJtGEcwlJmlWq
LKu1OdXJgkgY3oG5nEb/KE8FFZXX+Qe+XMDVDe/TvvYXbpPt3daja+8L5wBZctwmJlF6EbB9uP7h
mjoim4mAVc6gmUyYFDQOB1INW+w31wyVtduNGxodRyOO7PXgk0ykkFk9IweC0DJTPpqh6S/AC3VM
C+mOavA+WlDjDa1y5AiymashkXQeuT0LgapyGSulflSDJLlResu4zm07f4tVU+yyKsofGLYLbJLV
1xwB17fV87+m4qRH/OdVa5sPP1mwps/8tWBZUE9RNrIe4CpkkfmwYLl/wJBUWS5UA0/A1Mv7c+zo
0IUEieHYDrt2D/jE9035ZOpm7oh2HRzh7zMuPgee2lMc6/Q3sC03GK/w93186xlhirmkcxoCxu1w
VRQpJrAiQwR2Nejd2CEk8kJ/tJdm2KkhtJSOHEyLbZYGPUUf8GibQ2SkexaKajhCreI2xNPbWwJu
k7QrYqqtNDSIREGWRcPKTCPyIhQ/7vSF4ntF/jwKuzVPTtt6Il84atmZewY9fS0BN1Zx/eKMjRhH
qlDfITFUStF5NQq6kN1TXXqHsFIxQkm8K4RgmndVQUyLC3qmaouEGMEkRhNY9d0+You80t0ov3TS
pL0moqP/ouaWVQIHC4MvPBpylWLpuYjspECDVviXscJuClBUuGFkzGPp9sZwpeFE3NZt0R8o/Huc
212zEH75XvQuyZfYO8SLG4F3SBtTb+ehb7HW0OW/ZcyX8bjm1qs7pt66C9Me6R7BADB91ikBmNcE
VuJNMgKst60qTRw1kCssyjtIYSobOBhqq4QohJVZavhH6hp4GNMdYn7GrtlUVPTxTJv2HZ4X6s/G
WI6ncBypCRO91b8QOWhhnsMOPICZeDQY5RHSqusnIniCxehm7bFtk1cuab6tPFu70epITTHSgA03
+8ibQQwNLwfSaBbBYEWXFrTbtefhj45Hz71kr2NtsipHSjQQ4RMCzHiFWZteABOq79usaFc19Sk2
ukhnKqMRMWqH7GwHz0cPKSv7CiUf1XZlMdKKjHLRtGqxZ7Tb7alld/6AKXZwFXdVWYN8780w3bhl
FuxkEcGVBYKqHBgUqbxkaxIPioF8xKahs1oNbr4ug1Zbm1DaZtISSC9G3fN3qVDse/SID1Dq9Atd
ccsjf76/UqBWHupCn3iSQj0OYwjdnuiXbRDloJ1gn6GTK4frUOD+7uq+Wg5Ry6ymG/1VXdV1sPiv
HvxWD1Kg/fPKOgGnL9qo/p/jl4ispL93PicBxV+LLEFbjk7d7k2irvNy+efUBsYQvEcVmbjH+sbg
5Psiy0rq8Rk6m6zAFI0fFlnzD7gZfAwtxv/Vkr/T+fxUE1KTTiMgOp/8PrCtU1/0w8ZC0O6sDdsJ
kJ/isNT3kRn+Qltk2p96qwzvaanyi8hIYULFSf14jAxgm1emg7zE+b6lnKLxgPFQrJxMMioiOpbB
71CvxwkcaCslfVKtca0bHbxFQSHj2QdHOF69zQO/OrRCcat51hp2dbBtRZVLs25pkqilBm+67tVl
UfZquUnCLFvinFPXUlbjWuAGRgWCrA/pRrWsix66vw0bNu/sU+zkwbpMMnXREi2xjpQgxQFIPIGy
zjPcSze5GMN3MlS6lfHNe+fWqrL0vnnyvJT/WmqlCfk6PBv34BZi4isrWV01BKyKqCLyXdGYaMjw
0Sg1tuGhAM6MZTXBRG901Rrj0kXf2trMaZTLNuzurcS4JV3iRuCoDvLu3rZoZbo2k+ckMi8QXy8D
s7rAub7VgiDZaqKFxiTtfY+i3VXpmDGyX6uRVEFfRLgehx2M3qcyjnH1p3RnJiySiOx44+XhRSvV
L6Q5DXRdiBwx0dbM3FQj97dIF4PnLQco07PGg3cW0KBZNVLSgjX8cV8N5b7zlbXMkk2jRMGa/Cax
iAw0IiNNsz46ZBR7S9+AhBGE5Xocxdan5RBaVbqO2XAvAiXZirEAcwBaMK8lLP8wuyE2aB8aCJ+V
QbVfhy6poVeQXsEOeSVLblXSOZYIjAnCRUOedf5WlhXNZ9grWkxbOKEORubWxbMgtm4scwC6KU2Q
B3lOhLLvkfrtg3BTh+ZQ2Z3CoA2+QoJVvUjVN4I5v9IId9eQr7O94WWT4JdZ31WZu7yxpRlZDPKY
MzqasvPYwqzpEL/SfSTaTrlsNOeuoX5OQ9+mcSAQVZLLaWgXY+ZedXm+8mLSx4W/nLygmd2TeJLq
a7dv6BsaXHgrdza12j1oI93s0goWyC2eR7s7FCr+94g8EytVTyO/tNMAK0/wTFNbt6Xyotfam6LI
bWGOFwZJjJ5zD4SqcMcdRm93ZcXBUjjWXTVqCDDll44tEortBuJ3cmHpwynwsU4YaKBRnHhPJK8h
WaIrKnrtAgQeiWrmsUKDQpzbPByRW1hjtXJC5daV9Z2ZdAg2wDJYIbLpDlUGyhWExx0gkCLZ0ttg
ytdp96US3tJvvVPKYjbm/coJynfdkbvKU3YStQ5yLXvHZm2dIoKdEYRNWJEGFrw1m2uzj3ec394i
p8RoFYzERgqzvGBeoxslSh5TJhupZPoTBY/zWBMKKgjGGfw7xqLJtaRIm0kJNJV4ETGDuxIuKmUC
KEwirpDsTdp/0L96HguapNQRBPTBZElF59fztrSnJ4wuDV1Cr+mWbuW7X6BOBjRp7Xul1u1lV9uX
fkgUqJ+WHVwYj4i9EMlNNyCEpkKAj6lb142qkq5T9dUi6Ep3pmnxHmv9TVYmkDN6xuNdWQerxDMf
bRuaio3DplXGhTP5SFxYHgcfRthSjjRIE7v4YgYxhDWwqjxyAOtN6xYgG53eeEjWwRBcwE8bybjx
r7Azf2mlN499ohNjAkZ9Rb3xbb5lo3yu2wRPQ7zp4ubdEf0xtcaYUVHI9rBPn1DVreBtPBe0OIHB
go3V2D36ZM4x9MiJnwZuUfskFRKbBDRjGVf6V6Yxcl1W5Ebn3ROsWdAUDbCZqH2uG3NVCr7mpAcz
6jwwr7+32vzB0ghC8WR8I9PhIvf6TVMx4Ff6+CEIh23U84hKeej8jLGxn7N+2tdNMx6t2n6SoXVZ
xObcNbuHntGd1tMTcyBBdSYYU0k8Fd/GMieoiWKwnnmxvTZjHAYS+wFyrGgb1JLegJGjL7PsG23k
W6tTkP9B7txWXbRrIOLOqTqJlwr3lV8QtxXlJyAhzaaIgwdrqBDxqWJj0Z9kuSE3SoJz4eyz0LmA
I7QRSbDTGuvJKxkBjsW8dBNQmO6Gio5y2c/ormNkcpWF1UebFsANuwT/RW2SHdd6EY1IyDzd25nt
cFVjPWIqXu9iVdkIy372AeqQSTszm+7GB0vEDHZcIWkrYIOGJ9WU777aWwBt8mfVnMRZY3TwrJSJ
WHWb5Q254Hmx6YKu2rheNoApIUhZ10HLRM82gkcVCxhD96Kh+6xqjP7N/oSqnLEGjCDyasUjkvpg
pajuUZ0E8X1eVfuanjfNAJmtLNt+jVL8T5UaKI99aXO/jJMtl4THmQEW9KukbbvQjSyEoDnohz6s
/fcP9dlPHNVTf/SDwJkSxGPypDNiRirroon9sQTREovortxXLuMYRsl94n0xrW+90Vf5v8Fb8f9x
CCq2j5XUwF1sJy2HUCvwJ86xLY+4Zv79NH5sA5+N25yGrdJLhHbG1PzHY+h6OzBljoKjCprZdY5j
A9PhVlG+lfX/eCoM4/92tRi262cvrel89rcHRQwTLemCY8vOpmJaW8M1Uao79sJ9B2KlBu1i/Zfv
+y3LcDIj//NW4vAmXt++/n0HMX3qzx2Ejmt06injNXWxajj86MMOAn0E7RjiYjSbuPTvOwjnDxvD
KphxT7Pxh06Kiz/7yvYfqKIMB0G3gbFzau78xg5C//twwqWJpKNWdYCbQl2Y2jgf9hCGokPTqZLk
qKlmI3ZeE0ERjsDmKIAaE6dfZrbIhjlhLRUtimTR6hkQz2wjt1vCLNZ5frbJzeLGvQ8HfFIM5G7p
bou9KqFLPvq4E0CIIvgFu6vPwZoe0YBBbIqzZlPqFiGyfXZdJMNRKmnH1Ft/8dmQzS2R7Et1POU2
8XGOL+6ZHq6x8IzMSOX9qPZf7dK5JrOKX0BHYhNI5ioAQDZm7V1hiXjvCggwWZxNuDrVxurRJIQQ
ZicaIuO8oXacku6ObuFfka+Yz+wJZh7YI4kiwoViRw2UJcRy84ZFVyVnfUG6dxczbSqKqlt6lhlv
4FenS084VKuFby+zKnxsacsvcjAr6wC922xEmbYywjwlUMeg5untJtywQAYqw0bY0DP66wPvMSXd
EI4+TW1ja11rWrpHsB9cO40jH+xOBLOCIpDMmcg6Rq4OvVWLtEuSyHG2mvoJSimSsxr/nF05zRr7
Xr0Ki4w1vss4tB672KuqZpPrxrhADU3aHqSXWYOxkdeQJvIr8t+NvVsKKtjMG5Bb1OCkop3pKLa2
9UiSSVb6hJYanET7olHpLlqS6JwqZkoFhBmBKQhXiuoQ+fBkqVqpVgYHzYMUKydEuCGSt7RoH5Ac
XBSqGiwyp1+nTcLo1LIOwlMOYKq4kbJoYZWEF4Ww9nXxpCvJRdxH02Q3uzWCEAJa6L6aZXXSA+cy
zyTCjLBxkpMVD1DQkOEbFJJWGI8HwB8UGbQUkxLAo2GyyUiGcNtmPoF8fpFDUNXdZTYGr6Pso5mv
Mj8uvQk5jqp4ZrGvmuOCeLVUfA2QSpK51BvK2VAuW62ZUtbv8JbKBQkd1iLqOvh8A+IUjA2XKBaz
Bf7pYoPVgtRHIJYy4l+iOZ+Fmrd0gI3PExUZXmrB8XVH8uSHMOoWqlRJj2IPnEBKnw1lAtFabfYw
sch4ttjURlN6kUqMkT3lGflDcYMKiRp6yjry89qZVYgrCQ/AXIBgalYTjpT5wVfwYBOMK503U35S
PAUpTYlKQ6cvNZWMpXZKWyo0du75lMDkTuX/lMmUq6LBqwFCDTRSUFDURLFTJLt8Cm86L5v/Nfmn
lsy/vT/yr8VrlP+kCTV98K9XiP4HWiuDILNvejl+9NcrxPxDPdMD4Cyrpv7hFXKmFfDeoQlvE1ho
/pgvQpv/L77Bb7w+6AL9WG0gvbMYAjKBcG3eYp72qahx2H25mR4oR40brG0icjrN8Q3aGfoVK0XR
g7TH0uKVOIt9gD6Ja29SAOnOFIqOYQZlUHAWCXmI7BdtrYkH/ywishS3oZVLcQ1X01zDJUXBr7vj
OqgpU2vTM9cwtgXrNUp/ilC57ErFWwlsAHRw1NegwhlQ6bJcFZNboEfZR1sFB0FT8G+NyVXQJrp4
Ls9Og8lzMGLc2/W5s4tjEAA9xgQ43FCdsCq0evsFGII66yYXQzr5GVKMDS4Gh2FyOmTMyELP7C7d
yQWRCXbr3uSMEAO2nGFyS4hEQhuYdEAD5mF4k+NMn9wVo9Ev9EbWp7jOjYkjnz51kxtD0x4ik9RY
1t7LCALmgjrhKgbHOcPPdRjUGIABAUNA61/rqIcUC1zWbNJm5k5OEGfyhEAziHb52ScyOUaSgU5X
fbaRsIXuZ+7kLWETO+328ZsAFgB0jwUFeYkxbwCtVnT2ZwkKjqtxcqzktZlcSUwsxeRm8SZfC5tQ
PpSMY7SijsVfNTcIypjFkxlGTLaY8eyQkdJEY3T2zcQhGXHgvkr/hrW1XHdnmjQ3dr7NRdetsxpH
i28r7iEyGdXQt/IJTeXD+UFjT3WlteFTGrL5C3P7JRCZNesRRC+hbDwlWhOQHVG+qygH540SXKQ+
bFM3Bs+nJhOFJXsPR4tGTYDoBhvRPCMVk2XeRX6SJxTJnb0VHYIz3SJDoQO+FsaYQPQsW5s0JNee
cOeatAgqMYeejIGoRewCEFZvadKJrtfNQwcVdkf9jY/JSI2TdeZtCHVACc+IwJjrNWOOkp7Fhag8
OpbcaMeugAYgKqva2yYvcqUo1gX8CRznY7tmjPacds6iUSUZEvitdr0kQC/tAm1lmb57iUNvpWTe
V6LjgcNnV0Xb3vmKcahLR29nulJeDko0bHWb9Z1FfKNY7D4y3ie3KqkqS9d9a+jKRKlD99i5GMKC
N1Qcris5LG2qLc756A75hZVlz2On7C1CSbPQDeZRa/mH3C3rRUYA/aoNgxvqvwBMSLoVcbdJKr4k
N3R25ZQHrcSOP9MT9yVoe55AOzrKrkCglaOoVJouY6hezTU73ZJ+unSFeMmES82VaNhn3m0nYmnJ
VmKERpxUc7WrCQPVVWjCCGYIZHAY7Xk9SdkazPiwsVCoyvTOTREEm+0dUjKXm9Qr7KMPR23nu+N7
WWnX1thuHbzmBr1m2h0GQzTaU0qCLLB7CW1jbYtuWQcB3n/LPdVJfu0W+lcv4RnOUuOt8YZrU4Ee
TOLGYaBJrCTmvOQ7zuIWUxyigoC86W5Uyxn0/ddxGG776X7Ukngr2vAEafiYgevAHYgattg4GdBl
Gqrz1FKvslxeDtUw18dhm/tw/wByhqOyhmOwAXw6z0oAILVcKZYqWYmiV9ttiVorNwo+tSR0lkNZ
QLdV3WWuFmumqvEsboOT3mCb6oKNVN1FVigXXTeshjR6qVpQRYmE/Ze9s7Gc+0JbkMw+95v0TaRv
hd9ey8bhjlQ3tHQh8OWPVuUs6pFRn8kxGkHfWT/iUrmpG3tlkpNmBfLalN5tGiNQ81L0pEWvrjOE
Aig1uAN9hcGfuqJn8T5U0SUr3Ioog3kdgrp0MfQFdbg1tGGDt/lR1ZrdaLk3tl0+umF9PWUWthlq
g/KtUrHWkyoJuTNa4bpY1QjmCCRZhvAKAoO4IgwVRWdc6372rkHs1gVNdTwlpapuFK/buLWyUsP0
Jobq3VjaneAvdaARzGzQlr7ClFBtVzyKl7XnrjSj3qHI44DVkj6dnMu8XhQV/SzT1F/7tnjkV5kr
CXx8qM2SIAU05uQ2zZlnv9R5Pc9dZY+VYzsqzrIY4P52AKlCbBQzOo/V3AsH2rq2s9ab7iFr8+cG
s+lQOgTnwWFAszEvGrHJXTLEZUYP1vLWzIkfe6E+FCK+LhRtPYknI7/l2nnLIG82TmNxdzrrzuqu
8iLdlwR4d0p7k0bOxpX+0Z+iIkxIo75GxBzJU3kLEwLRIk6PLQ8Ygj73KiYjCj/gU2kzUhBqO0fR
eAfW8aoW9TGvrWusk+qMufJNS/p2V1Jfi3HS5KUXqRUw5axUeKzBQUwL1Vg8Dkmz14W1LimFWxSE
sdGjfJmKHgIMy/xOlMNO04u9opvhUfFVn4yiKL2pka7MR73ZwQckYBStLNZiRYm/hoF9FzeZs9XR
8LCJbJ5MC/sgWHhoxssk0r7aGcnZTfWYiHBL++vIegt/VSRrDQm/NZJwpaVOMh9V7Sm06nLlGclt
JhrG/TJZI/g/xYkbY2QEr1igHdVdZ+MnNgJRBVAyHcGOqENQsaRKDPoUYEGER36SgQ0HXe5kPnwt
lXKpwCZv0C8wCkeQ66OjjTsH1Sat/VDJ5woVQtK08yzlJYH7edMp7teus1a0LtdIKVaAUpZ5gWQL
558kVWZEBJzvhybYi8a6LYgoxyJLRAXMpCZKyCLrlR2JUdzrBDOytxNasU2V5jAq/VMtytfWFcsg
xqbgp7RmTRB/2Aec32PgnStEehlk3aFF8Uih+7HB0PRCMN7KlSNU0wgVc5Fco93+xZxyEpN8aBH+
30HsCbVnUtqeuxwfuhiRkqk23DflKN0vol/37ZMsME4yXPrVRPRnBa/BqPHPI32StRQ+SQWjz5F0
gFkmqmAH0NW4Lez7uH2OCnv+YUPw68bktxPjaaI5YmoaHZofr57uwir00yI4dcpz0+4rcvDS138/
xM/OiGqZYpnDGKb96RAAoSVa9zI8QXWK+3U7DMuUqIMsWEcIP/TmF3iUT93c6YwA8LFpYTKNl+hz
N7fL7Vof1CY6RUjmI4Os4Wl8+4tzmvq1n+6HHw4y/fzD/VD7SkOyJgcBwDprxEXshYt/v2q/Oo3p
5x+O0DVj0wls3idRHuwebVBx6zvRLw7yqZf7t2v16aspkyEpu6yOTlIhvcaaexFJXExAnCey1Oz6
qLf1L474s9NC/DKplIHmIXb98bSSyM2iPNaik1Nd0fKf47BwfrOffz4rlEW2adPVB2Dz6dL5lqHY
bidiPC8h7UUEBMW8T+/+/fv52aXDOUsjDqWSo3ufDoIi33GiiCa+KJ9yoiHYKcYTaJiAtXZvduQC
+lf/fsTpnvp8z3084qcvK8SNKUptiE+qVAjteQD78YvFYCKTfDjEBA20NAdyIVFUJoKMabv/8aar
CzNMQqllp/hCbOGczdsDItGldRVeW3MYcCuYTqt/P6sfDzl567iCH67jp0MizstkU3bxqbPrmU4r
SPdYFIrNvx/l59eO8YjKm9OyrU/flj3SH28yNT5hNpjr2t51m19cu+nqf/52TG262xgnEWjz6cYu
az3SBggAJwaks8HVqTafIzNAYhD/4lx+dsU+Hsn48UtiR1wIzbHjk2a9he6V5d9U4y+Wt58fguCd
CcNskxPy4yEiLYGDTuzmKc+PFrhvibhDb+1fvFR/9ghxs/11lE9ffSI65uroU05R8poqG99QllMi
R9LOk+akkDVq/eI7+ttp6chYkbafxVGaaX4qFRDPOYR5Femp6daVQHi9rMbr37zRPh2CXtrHJygH
/2fYYZWe+hFPixLQl7V+cdn+di+fD4FUn9mbhnrq01nEUqI5Yad1qtNXZdySGvKLA/ztVuYAqHQt
nhMab7o1vdA/vHpYOp1eIzDkRJ2XtdYcGRFs+lnuvZ2v1X9d2alL+c9d2f2b+Em84PSZPxuyGEJs
SkDejw6Um7O++q+GrPoH4G8NlAJqJioc/ftMb1IF4vQBcnYeBH6c6ZlIr5HyqUw7YIbTrf2dmd4Z
MPx9qcOQ4kGeo9SmWuQOZBf94/3haGWgauHYXDo1opmEaFZsl6GeLuh5epBi3BcmUP2qKi28usMY
m8ouq9128BZOpMdPka61/jH0i7baUm2UGQDDmLFEqVitcyqBaPanvC8vSyOJbhU6VR5EWVozcT3W
wAbC+NlAgHI15LCHyPJC0B0gLPAHdk5owHVzDFfNWc5aWfgftqavZCS/ao2T1k+oCGKGiJJYUTku
jNauo3ql5zLSdtlZzBeMOKPhv/oxIMxJ7+cZAemDkwZQdo29EJM2UEmGatlXvgbtxdaW/aQhVBNb
3I9d2GqbBAT8uDTOysNB90a5TM+KxNLxFbLxzFKpsfeO9qEd6pDsLr2wbyI8hAxInBKV46R31Mow
aW4SIyXf2DbL9ChxAOvryuG/h6AuHsfe5EVZkv0a06MOC2dbpXC4lv89omcNr8XC/M+P6C28XCKM
/j55nz7251MKtYAqiVGVOU1G7B9CQI0/zmqSs82Bt9B3+DOPLNUBme3f7BHfx+7eH/x/NOmgWCzk
u1DUfmNu4qjTe+aHZ5QGBEmjKnmiPKewV358RhWGl3ZV1dkpR3uKLPzcQx7aSKWhbJy7y1J2pEWm
TvladfReizFcMwO/MfEXkUH+ZejwQ5VtQJ8941GOcpRQkKta07lUG62C7dmmAAQAHoOO7WjHDQjt
kMHRaAouFcVP5h2vd/RkxbEemq+KnUxjz/4rd3+xDAs0c2RyMLCI9pIU8BlE84PC4FWoBYRVnvfL
sEHc1vj8DDrIV6VgPCNaMSVGwVZMhjWV3hdFaquwb+jOyWDj4AXJxwR9ZxL6oKv6p95V7tJmwAyQ
aDeG1TwG2PPWHmp82FCGfQwopZbs85pZayWCtSp4gaVbrGHedzMSRK+iSD8WJgmo4ajfoF+uZmEb
XTGn2WWq9WY22Zqw0pfajPamPiRzQcKMdPW9IDRY1bxNporH1oi2hZxSx5LgsajtRy/+YvSki5jG
a+15r0Kvj2KMHqxCviYmElJAGOOC9NmTwh8LlqvfZGGkMDUBsjwqhIsOSXRDvPUlqs7L0ah8rA6U
Z4OeIrok0mobA/Sd4XShS62ap6kfv69YkGckhDvzQGr7OLSDday09qoKUnworbp0a3ln18oOs4eY
+ls7t0Aey6DjWA6mNx8SeHeizPX1AC4V5Swg3slNXA6pu06cUCxiNeuWdudDmG4ZY2kpP3UGnUSp
/t53HWLF2pOttke1wHmjKF61FmbO0BseDq4vrL0ByLYGshhuBxRSqthmiiXmQleI1bEMf94X3R66
JxDxEZxxI77Eiri2O+sEp2IbxDjEbT1Gt1eg5zQ33kRVS0b7rokrRtrBfV00b+xK4fGOCAGs1jYZ
tXnhym3HxzwmGizQyx3l4YPSsudN6/5O8Wh18dF0OaLFXhpdcjMo+rCkOYTxQyves5p4jKgoD+bg
HROT+VgzSH3mFj2S6a5fSlcWR6fPAp4V4dIpjGh8J96mb9p2lhhCvjR+GS/UuvQXhmD0biTxQ5sQ
Ih3dGc2k1IbWseRZW5hm187dBu0Fs/F8ZvWi3EhN98mUIDus7A8mOWCLLI6MxagoV0jlw+WQV8hC
9ewyyvV8xmQHyrZhIHkNxmkc8JLISp3utRvT2BGWlahoNpVAXBdOvTQGSZwgXX7XLO5V23mnoOZd
45jvYlSfvNq7QGJ2WZJSr4OdmpGOFi5twuhnQ1Zdh239ksJfBHW9dYsRUaKHhVpDa869F89ckiOF
O7zrtXgOlHbfF81VWioHsiyTFXChxUhCNynvuKjULkHwPE2q2mRKaQqhIDbNe0n+7SyFardIpfMS
UchjYVNndaEkbBwlZMjetXcA8ONZzZAX1rH5yKqLemUQACJT+7WBtDnToFMuWJD3BCNJhr4tKtax
2zU+sEVdBNd2KF9gDIC3MBMsNVWdLsug0ea1CdiSrkIF+GTSMN40VoWlnjSfVIKoqhKUIgjJBQ9d
wSPh2ocUxcyykP5lkRL/Zba+nDtKcIOYg1Gnd+P55saQgzu388kmOaTXkNkug0CrVkHjpo+iB4Lo
992Fojr6vE2nB9uKHxzbYH7d9cn/Y+88muNG1iz6VybeHoqEBxazmALKV9EbiRsESZHwHkiYXz8H
VOi1pHbR+95MTDQfrYDMz9x77oZj1UA8HL2MRclG3Ig3cigOHOg3k1HKXU2H7XMBXFeGJJN8GaAj
JdtGABkYK+vA7yxmS05xQJNuwKvOTm0kr2OTYHMtQchL3hh79EZdF2HG50p5a1qJA4ywf2mJjly5
VcPurdAiAsFq1PKz8k4Fy30RNfEWMtM1VsQXAOHhqs7QMhm5o7DgIB+YIJsCQaS7xBWDlnXywOsc
lKr5NFpsodnCR5hG/JIz26wKsUli0W3Ybrz0Lvb9igdpCIoN42lClfknX3HdEZaqo87toD9u0L3x
NyW2b6/rw84NDVIbI4MkuNJEL2XIe5Yh1wN3IsIVp+QP0yasjAA7ZvgKUDIvYrSE/0aOXXyqlHnw
kU+dJ0UvETfbAz5n6JpKat1jE942jODN0rxKwuptVPlyrZEg0WZbMDQ4Oay+OCHarBHgzGfufyi6
hC5jutl3WcVya9J6tLKi/FxnSbZv5/qeLXztZ4X+qEzGJW7gr0OdbYgru+eyF0fQkkh+HXffovfE
rXvnzumO9CRg8Kj38eGVpFEa6MtMGI/Uk0TjASUBuyN9zbZf47FUfLjqMFnLat5MpXOjBnm9hlNp
EBU5FuuqQlsksz7Yi2Z6thQehi6S2gYIz91Y2HgKA+UAzPsZBqEfYm9YjUm1LWs4ChSxV2WKFLR0
RbjG2fJK9qixQbzxxRAxW77auhK99VAaFgzCbNzNof6eiMHmjAW0gBExWjtjQR6mjcq/s9p0JRiK
rxkbdis1nlwAb+oXq5UXrgH3Z8Zbs2oUTu1o0kMftfngWUryLArtnMaAM7o4SDwyHI6xhK+PCHE7
zcQ79Drpe71Id0mIMzl2kDGLDsdzrQWFVyYNSRSuw+ZHGVeEnDUbSXXtlbmUfsnqr0zp7yfFegS9
oq5IajO9vFbuoma4b1y01UUMmXHITghOQKX1jJso2olCIzSgs+waE0AHXJU8gVy49wYBA2GGykpf
MgfySulhjPM+6cCgxhAoo0ZEgULlxAtJasGgEeGK1HDUuM+XXANBwEFticFDv/42VJL0JOvdEsCd
SKRDTEY6Alaid3vJS9Ay7VUSoOByk4PlNV9baW/hzTV+QdhCUJCI5s5M6kcrfQzznLy2EZq8Q0hD
ouSI/l8QnJ0oDIyVYyiQLvvkUJmN6lXkdl9ocQnOAw+4QwhEqJhsoYbkTm2cYlURFGHnIGk0iL+G
OzyO1Fzob2ZcAuzz1nVH0sRkghPKl/SJesmhcJZECphCR4eICsfBp5MuqRW8d++ElYEkQp+2DlN9
I2T/uZILk7VRAcKSfsGzcNatuFsXJv1Rn1a31pKVYdrI18slPwMc4XlcEjUayzioTvcKZgfEFaEb
9ZK+kffifs7iwzhld9qSzzFgsCht8SLlvBhq0dIQ0jv4JbEeFfEexZLzIaa24zgk+6OzkjeX2jiS
VrSqiAeZ8+YwL3khYTPviVL7DHDB78gUqZZwkZYqz045+qIleCRyBxuvEWEkNakkgnQSHKc1Z/D4
Rc+p+ZYQkxhKV4+oJSDdJEqL54C0k6TrLw3ST8jhVP0QLhCxxtyUer1jQYvoUV2PZo5xty5vR7JU
KoPEJbJVasai3ZK1wgAT1wxOB1JY4kaeGmh9PWkUCAakdmgTdfLqj/SWrJitz9NHpkutgIC5JsMJ
58LkWF5vIlD5twf96EFVmrI/70GP7Kfa33egyyd970DVxT1q4P9UKVZ+NyfS0aBacPUsJqy/9aC6
9clgPuTYKOrQ1C2zoP9Kv5kgLRJyG6A4UG8M4f+oB/15vLuMiYCJOGwRBDs/nX7m5xZUDfSO9ZJt
XiAs0Zt7zY2yvPCKKVepLZWeUOSEofm5dVICSokJqrdUlddCIZ9N6FlOh4HqzutsgVWOR6ut93nZ
IDC2pW7SsLUMdfDGHAY9G0BTZ+WcXpd5+lih97bU6IkCsSPdRL8AU0sJXbCPnxc5a1hHL6UdcRBx
Q+BVdxHQCfq2DqZSkaQeVpvJH/T2NlKDz8smPTqWIpknP4vycHwgDZdDO+5nFA9NWpU+ejNq67JH
qns2lMnaTVGyi5d4dy0g6F0ske/BEv6uJfNTuMTBdxaVjloVuHCIqSnJjK8TZQffAvAxafJiiZXP
loD52cjvYxLntTPpYucSucGo2/x5lmD6IAvuVJLq81LA5pbbZL5WybEfWAxhO1sbBQKw878v4rcX
kQn3n7+I5+evb83zH7yJfNYPbyI62SX6TUOmyhv3g4RWfIJ8C0SD+AQNfwQf+g2Wga7GdRwwPkzz
mdD+9iriwuCdQZLLlBeq0z9j9Bu/uKx5Fx0m+YR0AcWkSXZ+3cErgt2U1qkhCrV8Y080UF27KMSn
BrRb9lilINDGzvXneDrYMAuwNodnFPVLifpmKLL2BpdFgD7A27Wz4wh0dzUzsinY30HqosaPY0yN
jHOIvcoehItUJIgxBxvoR9WeNrdz+ouup+NQ5RcrQyuVpIRREYAdh9GT5Wa+IofwodF6sSuC9Bjm
Q+DZwVKvdmq56fv4okSFsQpV7Uuf2YVfx8a4ontp/UGxkER1wbsc2jdGwxaqUBwZTpmA5G3i2zKN
rseweMbU8aCgAVu5Vig91CzzOlXMg2kppt9bEX8B5FGo2ssXx0xeI7tB6o8YrRn4FfumTddtpV4p
GfY3lEaUzUc6et47nNN+G2t4BNjMFvpIYHrWeYNDUZkhWNsyvYWb2A6vQZtA11B7nJmRk21m8H1+
JpI7RHJXnCdM3URX8ytl9okgrds2D/w8V6/bYmg2SWbkvuLOxyhzD1E3HqsyEp6NGQ5RrtyHarWo
L0Es8u6Xq7I3lY0St47vRmK+b9MSil9p9mQw2eTHVp1+YLafbNx0/KrIaTqEMkJYXWCcaPPE2eoM
zmh29ZNVq/vacCqg4UFwPSmLGafu3A16UwHiMEdGp8SWV/RFdF1aCrpS4hBie1Mm9RMOvnnbhjoV
SBUtkcCoF6rK2NicTAzl5bSzimDThTW5U3ZB8GOYv3YEKXqqbYcrwCL5OivG0R/z4Cmzh70VooSI
02ry+aKTDxGFhrAYfXiA6zhQu/Wi/DhoWn2TBmCVbU2OfjLidMBgaV6I1tB3jTblXtjPr30j9FXV
9i6+GQLCk7RYUKqljYBIk/48OWdiAFzfGa23ppLkNbnqRTFAd9U7HmW8OSP23DjbVCFtu6pYt0Wk
P0kbX3+ctzxDjp3tunZEbhgOt8oUtPsgml5RMBWrIec6I8kCun8veYxdG6QhsQq1kRk7JTe/4AB/
QU68tZFrrbWxPSs5YaghYANmYwUi8vplchEX24ONRLJoXeuaRIeOInamImBuacKdG5spX+nDWzZF
jyPy9w3a2NLL+l5Q84+bSe/0K0ZTX4YCgS16eHUVtB0WZ3N6QFTWeVYAMn5k7OgMbuqXJdhHYI04
tnrETxkXb4wED68+nTfaOBBaCB5qJ8J1bRZ3GPYvG6tiCkbQal8W73FXE4UW7QvNOUoH2jTxxgC5
tlqaHyIlOosEvVo5JUz/st7Y541xI0qmvypfdwMc8ujo6eCBEN+TtaatrZQf3A137WAchSLerc7e
QMRdjibahSCfDqUyPWuoolc1rlokdrQ68SStA47cjTOGY9B7id11j0VYy3IzRpUxE1DXlLf60LcP
5TgOX8ZAwyhtiVY2O1iN5lOYluaha+ELXGXwMJx9VyvGUxBaGngtpHHb3E07H6DYoxoZ1tocmT6A
qM7WweLlMuiI18Pi7xp47tbm4vniKfzSwx2YAZPDPySrfPGH2YtTbIhJo3YxjzlwDccCHxK5PkuQ
d36VWWF63y+es7yKOZ5S5Ok9hrSwsa8bixgTZTA3E3u1HemHmWdX9o3udl/zST7Ui7+Nt3jrYHib
3R7yJhY4l/F1n06mV1XiGVwquVbFABEpv1HhRXhdF7S7OlOIsv0w1wnNm3BWMSxEI1iEg5rui1KT
HFzFs13KiAEpQj/bik9xmrxozsBpML6MtrYpAEKsZsdEQ2rwHmaM92wlvRPjqZClDyRiWTAU8zbu
460inUv89IyypuTd0iNyjbo93Slhalm8VonHWKkOWJtM1kw48uE2n3WodAGnX5Pn4abQcc9PIIFX
iRazyWPbNxForEuhevlQDivNqm/ixHT9rLFPAZuHshWxVw/UkiwI7upIuzAiNWexoWzMpiGZ0C4e
sNTDjKwvFGuZEQjrMXHkazJY0RZB+HGADbmSY4fEdH5kFE9jG19OZpl7WmcdqoDFSp9Um9hdhK/O
E3CXeKsLhjCWUgKmJOumgCDkmZPEp4Gi0rRvbTfVV6pmvFnSbTbDzGGrA2VI4IDiCQHGUEwjHWxz
MDo0832M8DFu7D2BnZzPpMmkEqKuEt+iEEeEjX615r9100mWykOq808tnHrd9GXHcSM3uRq+Ja67
M4dyXyp8NKicdwazX6tWPebav8DI/3xz9arUeH9eT56e2/btjxQAfNYP9SRWAdo3KjZEjD/tFuEC
Lf8ZQ60FF/0HBQDZsgyu0esg5KL303+sJ91PqEUsviLBT/R/MCb/wXoRjc6v60Us5pphmipSEWEY
7i8SEdm7I5AOa7ic6JTsdSQDOBO9DQ8XIXW0zrSF15wCAJgwO6QPaq/CzkC4EHf7ao7FapTWnJ5a
MvrmdYL1kVJsqIoS1VyB3ewV7A/jHSajwbxmvIsHCFDabrTU0H13Ra52t1PbMnUBDQBnMJjmmfe4
wueCi0FZluy1hQGq4nAceFHmkly2ld2zf1jjJWvmNUj5nCvP+cB1pQBSRMpEvJGhYd5nKqTojY07
C6ECXsXCMnASUybtRn3qk/dBd8ZNiGJfrMMQl/F6QXTuonQMD0rgZC9xUFi+y7mooKyf5FrJQLzJ
nMGni7iOZRQ+XVpH80WacNfmOSd8UUwMUM06NLbmFL1bg2Ks8sJ5J7nKWHV5CFKy4mOVkuCUlH2z
HSECH6Owao/OEpITxlwgBFdQNjUKDaTNfFZTu7Txc9IPVg2XJA0zuAx1isXOacA4xcFQPKvOQjOb
y/BQNUp2ZUwwIPE6uFunKt5Seza3mIxCjAHS2LJAQ9DeFkvxYidrw+yzq1QwwGR+T4IJmwVA9QOO
tZJ5p6O/Ra1S7uiQeSwkm8kcINGagbO9EpbyUqVBuLPmrPdIS2IV0TTv9hAE20qLcWPniaSqb0Lo
Kp3GJKzM2wO678TXlCg58zPTBpRWeUgHiU0oYY1lm2wx7GG6dt0Ayq1b5uu2j0wsIXlKvJSB16cH
Ql7MDT+mo3/OChjZYU3B0TSsjhjnLxbobOLEppDpSz3ZqplVX5PBSkxFOHTXNgOx1TypNfnBE/mo
cNYo4YU7rlv8VUz7x2o9qna/avOW6e5YpDsVuLeHkCTf/duGf2vDEQD+xbFZtv/zf0X4lr390VSM
T/3v2Yl6iiwJw+CUtJk78aHv6inV+YSyFbE7IjxOUPUH9RTgNA5VVBzfoWq/9eLah7CKYxVdrI1C
9h+Rdpm8/STMsJFhCTRTOp0/Z7hYPv6DuC6BWsT02E0u+nw9m/YqiLZG/fjDH+bqm8zjf4o+vypZ
iLb/+x/iPv/gu5C0Y1LxGyjhTf4GP36XOiBmz5zN5KIrkzjzS7Cz1DUN3UoAw2md6NhJSrLKTnbo
FOCLosTL5uAoiZO7IXngOoudrWZG8WkQgiw8VQFq5SD4yNRYeCKM9gOYhl5G51gySO7Vk5iH6xY8
Sz2XxxHTIZqwg0iIqcglm76ELR9jB46XoDenhTP7VWVZCuaeeXTSEaCRZf17jF5rxQljcWQFvetC
mgJeYCvuahopjw+DMufbYBhxKyp0WYmrsXXqZ26NtCvID9KMh0B37a2dmfqTlivtSmEms41FGlnr
qK+rDE9UnT6WpUo+rJOKaRe6VQAkTS9wn0ndubCmdiK6qufYGi0niladXunOw6zVFsngWrZtlBmg
rVoOZOl6IBaEXTPzzrspWInRVC4dKFFnvj4gdrgC6RIwXC4FN+lZPkEciCsWoRxMh3hHekB66CFI
Old8v1Z/MqfQbo/aVFINE+PNKr4xx6tIRXtZh5N7dBvLPhBCHX4Rlmo8ShsTtJPBYTa6grYJnAaK
CbJPSbBwuJEtFiWte1+Wjr6yUJ2tlV4YvlaNGNqIkGCWH057qZns0foeoQF/8xMr2fa5JThxnCQQ
fMQsK7eO9wpp0GuUikxPMznckCgOXmgCTgHZ9waqproimCz2nQlFRVnl0E5Tw5eliiIwfnRyk931
nEvfqpm5NB1j1xZpISq8MT5Ycx+tbSLgtl2XqV7BNvyC/TMNxVS3W0uXO8BtZF+PWnsdYqXmhsnP
cZGdZdMWG+Y710Zp7p2oTwhPyXa8Makf6uKqdYdbaGvyPpSj804MO9Cr1LeG0Xov4943CT5Ig1q9
E0q/oePdwIdI1y4rrtQhmmLEhNla1de27d6KuHmbkumBIa3f6PLggi2Cyki41Lw1RnGeHOnTYe0Q
Xp5mtnFhI1+E2RPJqGyyQeX+IYmkn14LWMxh+RqIXvUHK9O5xUN+CFN+Ma34JZstY82usz2QxreA
reaTlmuw/rWzVfXYy9MvFf98bafTIzn2OpDWJtScXS9metV2DfVKo52rV3qAo1RtC7FPMMb76kS4
m21f8TvemD2xUmM8h2QvQi0zpIjP9KoptFftusuK9jzU3THURh7mTt1mNaINhik8Zfl0dHmJRGmj
z2/80XFOTqWfjLF8BNHvpbQqvRZeF3V1AntLDop7ynt5HbkkP2qklwTMJMJwXKGSUldJhJ+lb8rS
CxtxkSrpE0bcJxCLh7hNj2XmHJJevZ4H1c80MuCz7EwH7dVZPR1n26YWo0hwmKfUqb3rXdPHFhGv
iCWAYTUgXMLSWs9Fceickq43sFcKgBR/CrPCN0c93dZutQ1agr3nSak3f33y/kHOGSYqgWbaFGgT
YPL8cr5Hk8oEyMoYV9aptpaZO61tOaWM8mR26nLc+LYMNmEZ5VRN85ta1e11XafizpkdBHXjeNM3
yUmM4LNd+1GM3baOrPciTfB1V+TLh0kgULKITTkv1twg9srAbL2BghQyOXBi2+l2sixfGnvuPVAt
DxqDkzU51zqKGgI3MlIhaq8d92qVkjYZFFg8m61myKtMQ/qW21+nLL/t7eTQM4ed2+yAe/dkVyV5
N5q77Yap9Nsp3mlg1bxW4hMKFDIFjGQbMnv2W9HeGBMY8yqyDiJyea9R0J6CjuV90oz3SSwNJrB9
zbOgXRoxdtHaskhbi9OzrJD9tck+HcytidOSqJWapj9lTOc0NLwOHLEO62NYnZgWwhYvtMs4G45Z
n+Me0JoVP+XMvdYycmguSfe4IdSaSMlCZr5VKLGnVxR7TXOFpEX6OftY6r/k3pgWAOUYP7sCl7rk
YRp5QB0CTdO0/prWYqtWyCYN9Qs7Yj/XLc9yjd3AOaS35dfStU+iFpK4NOVroFrzqgKfZ/XABdIs
V/eQzTnLulNsW581kW2EoL93iMKcck31knZKQVSHl/psqn4Rkb1mVKhrNFzeDyXClSN7oYZR/JDv
//pRXRSgPypEKUTge7MIJCFLhx72S4mQzM0AkjqPLwLQhXpyYPT+Nz6CnxeAfEndpk0k7M9kzo2w
9ZcFoG4R6+e4YXiRAQhVrEvmOru4umnA2yOv8GKrBne5/uvfigb0p9/r9991+b1/KLD6Ku0qQ1eU
s5iKWxIJCR/m/+FW/Ex3h32fJR8yI/PRCvS97At0qiNbiKwYSk+gX/DAuX4uFfsUd4bwUEwQSzSo
L04EOg8D0b3l5AOCl+loZ8YXK0jHg5oRBcbTVJTrfraLtVMpta9W0vFQ3kz7frT1l7JIug2iOH0d
x/FrxrO6roUV+ZzAE6sRHPe01Le9kc0EtzLeC6W2z0P9KkI6S7LSjkvprm2ajQW/f6WZyU4XkbJO
oOivsqEgjWvuhVfnFpmgA3gCOx5vtKggJ5B8HHgUFtLb6chD/1636OnaKt43hrIj5vdunJNH+EMH
sysJwE0p1uJARzHbofi1enOfzgmxPrVfTIHm6xlzfz1IOWXFo1wGrHGSn51o3BbNsJbBzBMMX6gL
SeKity4TULPVnDh+kwXnqna80LR3aklyghOOt2jxKeAq5a7vEAfreie82e62ColJ6ErKZyusz43I
r2ssAk2HeblVD9jMMb+Z+s4mLNavVPW+mKLdGLAokE1/UVnckUll7unr3nCF916A5bw2jW1YGSd7
yLy/edz+7hlfCvEfnrbBoMTQEF2ek1NxhfB5Ux/rh2E7782ddXK4erxXbVgROnsunoa/C35Zpiy/
vcLfH3V22Kz/tcX8/PM3xyPgFCkynHPlA649aV61waylHpVHeyPW4v5S8U6Pck22m3zm/2QX00ms
DvEmuNBR5vzNT/NzY/Pth9FZgmKPtmijfvVhT2JgKAtf9yISV5WerWLx2Mhvre+fsgd/PrN+/z0W
1fsPf224cL0SRVnE5foWNjt3uv7rf84//B0wIyKOYI7GiOvnr49mfoY4Ay6iVK5q0CGNSc357YT6
1/W0GI7+vH0/P+Op+IMlOp/0vXH/6xjIj6gHC3clJkvBZ31fojufgKOTBAH03F366h+W6PanxQ8F
SAS8uGHQDP+ToSdErJ9eN5boSGaYyuKUX34KvuDPTweMKmilipgvgZE+1Dpb3oyrZVVUNef9nG+c
2gL3UO7NSeFScR/ykgNS9CO7Dde6SxzjrJfdnqi1dS2doPVtOyfeO6Yavs9Kl1wKTVyHSoHzlvWP
6xdZorxoZCozg1SX2Cj7I0LK/EiTWnKl2iVhKl+ypsSSOlX21u2w5FA5crqE4MrkaomoitCr1YRW
TYRXlYRYIX/tV2LJtRINW1WCrqLYOQALBN3XvjYzLoIlEStM4N8k2hXLkAdNtmRmdewTAmK0ZNWk
bEuL92lJ2IqI2gIrSxDdkr5lauNlRxwXMlZozx8JXUR11UtmVydoOVyivEIBkYP9tbohCM4mRUEh
BGxAkeqRLH5Ue/tSJyasJy5shh6H08wms44kMVWTx0ZWj9ESMWbY8Kky/Tot23Vn5g9pTEhCQyxZ
1wyAGskpU4NFSlm+a0iIJVRxt1/28Hp+Qjq5V/PpISXyTCnlu2hYxAtlsj1N14m8A7e3UpS0W+lZ
uqtbpfL0yPIUwhb9QONGMTl2LzVmu0wCiduTHcCjqBy8zm0Srjya5Jx57tpJ09krRkhPuOheoyk8
FPBmtl2QoFUHtlQ4Gnsafdf3zWWQEZGrUwvgxmhqrJaW1edbIErIKMws3+sAcNrWPINUZK1bQmiM
Crkx4JakyFbTbFRWRs+6uxifQwv8MF9zicykeYKSPiBCxEGnPIsmTLxGAgpXU5qB1n0DlemcGZNB
GhNtv9H6yDplg76rkqK5hSNpXGhdTjy5FjINsN3En5t+h8B49lorM1i+gRNGo7CltkaZzfN/0TM4
shVjr9TtAwO1nei1h0Eimw+jVvhdq6ncPVpyYtjPUpu4jnVkgp4kgBR+ygikWceAtJ3AY1xUo65d
x9qylU/l1jUq6pXwkKctDM1ae+YaMmETT/ElZuzBc4k8mZwcmTHQJubcmWcOxcsEyUmT8ecyVMiD
6dJ1GPHvmWRThlIS0NCYb3841P5g9PbLDWIK9iGE0XJ3oKNbYMI/nxGVPso0U1z1MsvvU+MrYvu/
Ldz/4FvgMEfZh+1MFTSbP3+LqQrHltgl4zJtX/r0aqruCvf08Vv8e0ctasc/v6OW6I4V7tzn5usf
QhOXz/5+WZG3ruoqPukFavIRv/bblJl7B/eZZQj4bsituEe+X1YmH6Et4qLiH9CiZPttyqx/Yhq8
6DKhYnyINv/JZcWd+MtlxRO4XHt0YEi+8PH8Uiq5DCOJ1NGjCyUl09CULKqcedL3lgRMIBsdfUhX
dw2B5ZNioyNPZ3OBttdtcj8labJ2YcuLi4Khqs9UJ2QSxE5ZXuOtKafnXjXUZdKF8bXHjZXJRGNG
CWGSHTxtX8BE1lbreU+2SRO2265SsujW6ZBhNCYH4KpQbIFMK5yTu7zM5D1ZDYnmZUxkUV1CCFl0
7tGmYmA7l13WIqmMoZxhD34oVOBSqynp5EOVuw7oV7OaJ88oZqQKSkvkZcrm/0pPZYVYuk6+IEIn
ONSF3Uf2UhZcYqUMnVXmJPF5btG9e3kwY9FyYivw3FIjR0TkXq4n/Vkodn5hW4W8yfHesiVPNcPD
CSx3vYKUvM9q50nDZzkTLumWM6it3mLN6MQmQbHQnm4UfCCzN3d5vENkML/mmrIk1hpTW3iTqM1G
2zC+SgCdG3qflntH6t3WbPgHaf14VOSXLm5UleQqVldGApmwWCffMq3mbwlXLF/ZfGJtcfifTVUT
bm3RzUCzJB5pt2ivXRzaaMewmq+y1ojucmzVrt5Ww1X5YbYulFCyxmwFGoXww5DNdY4521l82mnW
anej22do8q1lIj4UIs524mNYTuoQg/Maqut4yG1Yim/W4IRv7jJ/B/YbYPiLGMzHy4y+Xab1udLY
PgFX7edIV6vmssYE6Flz923m8O/JtdS1f35y3cTyrWnjr2+/r7CXT/zh0CIqnQLWQZMNCOWHzRhL
MzjdwLpddnGu4N76fmaBgMWzjNQAVDhKVaSo/xWM65/ARDDaYd+AtnRhwP4DVcEHMue3dpbhIHCo
ZQMHX8Ci1PqV3BRpBd19r2tn7GB1ZZ8UjFhYMVxDtKTvuEaSXrq9pqd+ZAUYheKhnzfqNOFAnDrI
1fAYs8u+rBU0dqOyN81CP/epgphba4tjjvL1dtJRNvWkZZ+wf5evJFwOBy0f0ltDHZqjUSZu4XWj
/RZosbErDSfYMBtd5inAYZ8iwXHG/h1BXDMQZu1m21RTB3/OCpb50lLfFT2eb7TWintIe2gliwkX
J7lPcLqt2h+1RFuxxsY0GtnpVZ73wZ3GC33TfxyPIjFTzsrs4+Ccq4hDtPl2ohJBF3K+Gr2QnLby
29k7fRzENETyumlUZxArgOQG6RHLsW1ZcARyM66TeyVZDvZaphzyMATqBhfYcvibyz2Q9r2+N5a7
YUa67DO6Xy1oPKer6GgKE2eRbFzzKCu9eWaEb7E9j9BwIflvWVHUkrntFBe6TsHG2HaKML/75Wzc
zCquop0mGWmWdvLaJVl0qBi44X2Ds7t36iWdk7mQupkas8B7EvFgDuec0KRC+VaR/XsiLKy2Pz8R
Lp6r598fBsvnfD8MaLeXPSHLcPBVZDZSR37fk/Mh6FmUMEKlhtGWMuX7aeB8orDRdCIhXfYbH/Kj
78kBzie2zS4f0aGT8Dr/o9NAX46cH6ZbS7u9YJSMJaDAZR24hOn+OOxp6jY3TIZrl1XVMhDUOnyi
Lgqaypzu1aTeBgurfcAlGVT9i+iDp9ga6bdH49iaQYYRV7l3Ze0LczqbM1BDE8QrloxuJcL40kK9
OwXOlchCzFRqr5FHJbbp6J4H3TyVebl1QnfXJ9plIuAUOMiVvCbEv9VZw61lkgpIO/ymWAUKHBc6
mzTCs70wDhS0LSunNteTtkhPFZikEACEOdhepTkPdqVftVp2aRKEgAC0kIAvZYawcNoGI1q/yXSv
syS8DYfUK9gx+ZMJiTnMSgEL3ngbyjA5z3NfPRcd32cy5XZWmtDTUdbD0t/lSio26JwaH+9JtCaV
S3RQX6tDT7jqWquGYtVrvKRpVGMhM8nJzV5C5v+LU2dVyXbb1w1kx5JtzoivZWMLFrqkUDVFsR7D
zvXqNvIbI1P3rKmPusAhhzYA2+DksjARFQZ31Ospqz13sG5rNbZoyprOU1B40u41Bqe0tS8GdMjl
jBnQbM1sj9LtwqIj1YuCGJ0ueGpD5y4Bf0BOvb4zpuCNpotod2ME42vlfmsm6DdLRNOKwTEdBS1k
+lzcTY6LU3k093mBLtwIqxuSDnawoW0vMkH9hhR8Xhm3AcwkCaNALHHiiYvrHEXuHMXTug4QXIEi
eG3UAoxprULGV2btxq1VBxpqSrOKZhM3ReQrxD5s5CDcFBeFlp9TJKF7q1fMXejgxBwUJ91XjumP
toHpAbHKCstisu0wH9e7pg3L4NZBZn9QrehrqJTV2oENcODcjz2EQ/umDu9agZ4NT+rOUKrOyztr
3Ua9uZaEmjmyKI+F05wJ03wvx6JZGfNAJIb8XLWTjaYrfui1GnOF7uqeDKrPkhSytd3Op74YT3ku
FhN+ghDbwQlRhmz1zHNBDNgUKA/doAoPDMOOop6fOjQubRIbeg5rMybJAkp3uSKzYZvY2imzwHII
t3uaq+BSivTeHQlYy81gH2q1uZUIcKmF63jdkBK/iaOCHVt6jkL8VlkYrYl4PReZu+uW7OLBVr7G
QXyPeJsQaSWMkO6Kr3pcPcjU8Yndm1YNXKJn2Zi4ipUv0lic8J1z1sdawkW10msrNZ6QcB1b1f5q
z+1xMquLWTWOYTwTpFSal2NZaueiybeZqPHz29ZRH6FMNMxkFC26kaEAzRBPT5p9lyprY3KOVRxv
XMn0PIgIDCvYVsTSRu+QZtdg5BVPK5svldLdJKg7PDAMV9H/s3cmy21jbbZ9lYqaw4EDHHQRVXfA
vhNJUb0nCMmS0fc9nr4W5LTTdtpZN2/cYc7+/DNFihSA8zV7r22AKTf1eqF3GDhw/iuKuRknpjyd
D3DpEh5qibAl9p0r0tu2VhudAhK3G8lfXYMW2wIzWUfJ+NEx8f/WeNpNe0O3wJJKCYlNaotD041b
Jw9eAImz0BSCKUznEI0S3tSx8eKUUIGbHnVhWlj3noJvQSQuNzHG15nu1ySJ8CycOWPcr6sUT8QX
Aue/J+60a/z9iTtNuPOs+tWpy899PXXxbOqqpU31NN5N8nW+O3XVD7pjkAI/Hbnv1fnXQ9f6gIlS
CAsblzaFJ3NUfj10LTS/OgNxVF5SWpO97B+U4HBzfz50GWiwuKVJ0FHKMV/68dANS6LFrVHzT4k6
SvfK5xD72AvVt7cGZ4BH39gZu7EpzI+mLztWMEpaRLOuh/gLPr26d3yZ3ThOYIxAl5suW+mpVT9U
eiPwXGDcWpo+55kMlPteY3QJjUTOY02L5lpvYvFO140nTk1r3nK7P3fe+Kz5rmROdzErO1kSlLvW
4iRg/GoxEI7MZd+6i0Ypd+wSGWVUU4pe2VawGYbnqChZfnbgGJGmVCwPOccHRBZzWE6rOAWToKSW
DQvG2UqPQUjbuZs8MS/QxS9JYIpFpKOFcPvjSJTZwmmZaqfFTa5rH3071GcZGQerNAWAgdR4XNsB
oe8ot9BDSIOngXVo7epRS6JVREz9AdjCvvEjLDauZi9kxSNEloAr6MjteT5Gl7bI7wo55ld6yVE5
phgcsM33uBmgN3SyZXQSwwGpdeRbPSSOQ4rIdbTyR6gS7bwSar5o1PJtrMoBjHQfg/RpNnEVrvHq
bwTOlNyyQswfzpxkzH6G8XCF7B/HfMh3AMoMngW5EJsg5X/Jtgeu7WT3qR+9YkG4JvN9YefxJxH5
t2bGY7euQ3lwecyT7HAd5JjqWsPy524yZXWSXuxNPtUslhffNG9lmeBOM6xXM0v3zKAu+WAjLFJt
lEypBSq9zcJZ5vX7lHiPWu3amczSdRxAXtBkA2RFtLOmSO9Ds0LHAe9whUtlaeb1TWqY0IQ6dgi+
aq9kYbXHZjLAWUNl08rIbR2ZyT0CtH5RRs31SJc2M5iJpXDup9oML9/Q3JVD+OK2HRtbv2ymNJ6V
VdoPlMePluvNNdYZcQKYtJ9+DbW9KANhzu54ioFPYPwDygG8YciOQHoOsROdx8GkFMVzlUajWJV9
gHELaxDIt2EP04oFrREeMo302ikKyFfsB4WgzFlNtt9chL07V8pgFXXR0ciTk+7QlzrmmfMb6HZb
IjOx5ErRi4+SRAzf0MAdkXhqZgQhtOZpCDpCPkwWGw4io7Zg9eRWt3ZovZhKf1WazRuc+tuqtrYQ
RA9hG4mt6ltYkmOnImWKvwN65ddYkPyhjYi17T5uFnlqnvjw5Cp0/mNRGkTwqslJc8WZxfqqcKIX
eF9zG9wH9JEIdoKenOsms7GzsLRK6vTBN1mmMnTXZoqaxnslbvK54RMo5aqmObeS5Bn1d7QE1XUt
KvcxVrJhjgkCNT9CG8ceD3FaXzWC7IJGPnVm8kzxDbGfN+206zAPFrHrbP28PlWxupY6PJ08hibk
xlcNm8FZKm04MVG6kNoUrS4EhbO/c5hT7YMpnqp6T6rqW0KriEFsZ8kUZOU4BZo+sq2aKeTKe8+7
KqboqyJWa3JE+O29KRgLBJp27snKYnMsjj431py/uXFKp0gtYwrXMqeYrXEK3GKcF+/DKYSr5itY
dlMwl5giuvL3tC7vPbmrnUK86vc8LzQcMS4CQr6UkLiv99Pp32NaY+D+N8c0kqxPv+iM+aHvzuiJ
bkmANnl18Pj4V986Y/EBbTnCck2yX3qnJ/xxSOO+YS2DjspA9DdJn76d0e++HGb6LKkJ5dGmFfU/
OKMl87sf+2IpqQ5MRwiN1/qi/f5OBFFkBWYvP/TPRROSEUpQKh4XwzoJzBM8ULx3AwxkgskN0+R4
FJAiTzaZAQlNuSL+GftM926l6exqg2FEd58RX4bqsuvSWNnzocEqCLJpIGsibfHOMkqpULGo+rBl
6JV7VCajAR5lHleOO1k2Ugt6SzuYWEe5qxzyUMqhsUZ0XgGpwBauymIWhwaMsx5R86bwSiecpwkQ
I7Po4vLkYfzEeAGZ0FrSP4GximwTa2/dKG8Gi7t/Z0JfnGfa3+63rrJfRoF9v9VidUXeFuxfDdnE
++X99cqncDXZc6mAJfGRvVvCvpan9gewORpVLd6KPxwXf5anzJFQ+YExIGpS/WfeCZrTn6994uiZ
XON4RBoARH76999d+9XIjryB3nf09HQ8FFjocthWNtichdJ7LRqA0W3QWypsbOKFXbtWdjWoCf19
E4Tv2T1qfGVPGEySWjzew5tXLOslSSwNeYJLD3E6CVhjZ8Q9vSWZNg9dg/96MaoeFCDWWoqTbytZ
inzmtIbZXze0wRx7SuatLKNU5k2fPqASQGuK4byeCsyqamsGsChE8UsnxBEo1cpt1NsQQFWZmpgS
ErTrg3phl42fWoANytwch3+yTwv3ILr+fkCxhxOC4gou17rJtxQkTH+8HJ6bGQbzyGK9BQ0Pm7ON
ZKBxR1Sv/fiQWM4ZjF6DuV6fgciKZrCIpvmtlbOXtncl1DJtyhkMmvaxJkBqJrx4nwQq0cTZcK6y
dFh1ZovgtXGQ0rVFPdetsV9ENUEt6CvH5WCUxDCp2hLF+7BAtw0pwm5fFdnvsQwj4yAKjBWbeO37
PMMpUa3wgmwCA4xTIuJDaGv5PCjLe2whTAqK7kDWdDNvA8IDx0y/USjGCqvRVm7kzpMJ/OeWbr4F
U09ws8yOoZZdsJ3NXQu8F9IXHw7frKVUgtW5HJr4RYJHnJU+JFGdcLU4guIiUefk3k66ybLMwcbh
eSAos+5DKuwsWtmDBTxBr68ShfItiic1Nu4E4XkPDeU+QQwOtt1BDxaK6Z15nKHYdeq5KOpd2wDN
LNTywcvI9RojY8924qb2+qXJjhRXAWzgNLx4aXsIDH0RWUEzM5nVYBGH/ZSjfCAJ2vXnau+cCXiE
v1job1ksqo2g8ZwbaXY0RFqvfZ3iUo/uWCXfJwAus7w4KX5OHpCDr03GPFvtOGTxl9x3FiNEfDeN
qj+peZMtLIqPtotv+shg1zmlEU+hUb6NmHuoQuAHqubvUZqLhe6M+Bq77iHlPCTzuX7o3e5eyOpW
VshQ8FGuU985hZUB4JLMMqPG5U1UEcCKbt5YUc4Ilvm/jYlar5sbN0SIlLHGxITjbb1KepuiLi6N
OT4RefWxMOhu+gBooxMGxTJspZhLtblrAzbFIsI+k5n+TlGyHduqZ2ZVjMa8QmP+Im4QIK+CUt7m
lboGz3fu1KCDWa/fsJ63F7avIprplaPny6vAypU5YOlVH8QE4FnpOhXDc+KN/SYavE3TAi9TfNth
lEO9SABrtqrr9ClMabKGydIT96O9d9QBtoYgNUcdy0NgRqukw+DuaohiMJiZM1PpVnE1nISQBFz5
WOrL4kgHdkeYk79DKQVdTvRvUeBcQok11NTZAou4hx0xDp+7loapbTEsuB47Z2xk9IjV5MiwUCm7
cXOD8JhLB5PZLBJQ2LI8gM01ZMZcZv4m8vpn06/TZW1OY1vToQouroQi3yJiyNAEMeRkAsUFBTgB
wePnEpCClwWbYcye0nfCAqgFa2Iu5MAX1BIKg80+ekEEwEX2mtx6mFJn40RtEFp4JXBuDOAcBrAO
mN5Ic3L3SRxu/bq4cf3icz1xIKCYHAbAEKaS3+YTKUIfqKCJBjfxNfHcKyeiBE7RpTUxJkJgE+lE
nbA61m0xkh9jIlJ0E5siaLt7Z6JVNBm+1nYiWKRB9NRPTIuemTVLLXVyeTKD7jX8PIP/oHVv3UTE
sCY2RjrIvW8mT/3ANyocoqq6WsNPk93DMpwYfAjeJNEKHvP7IbJIgtLJw6qyT44mP46l+rkVXAw0
Rbd5yR8MCbC+MOIaZreXFqsisc6gTJee7goYCZ2Cta09Gkp04aNi4/FPYyJJOZCTGrpVtNkI78Vi
J7vwbXXbZBFZdK7db2Vn3Gi5++hbWCjKOHhLOuiOruzoH8kW2FRRe0ci/TgnXmdkAFO2DL//bRDe
jaYaXoffNwjHt/b59VdTPH7qa4cwpW5Tx+N+x0AwWUl/6BA0LJ6ED7EPp0xhVve1TnI+GAzoqN0p
3CelKsO3r3WSw+sZlPXQoCZfqvFPOgQwaz+XSdakPDII/sbxb/Jb/Fgm4ejIdcMNhlOQnvXBYgXk
DjwRa+euH5GjqwMOFUdLD/YYX+xBvgx5rMCkHQViQcza0ENo5WtnV0XOCZlRRryv+YJ9/SpunPtx
opN26ecGFnWhAEMOHOspzpMctq+pzbk6YXMnB2LMOlYPrQOHWT92aoHtEHX+rDCje5Mk7JWemaz1
SKXT2MrNMs14jGLG1cP4go8+/YJKLpq7KKjPpSOPgQ1vX3XsmyTqMTX23tFt613WtTkczmov7BAK
L6rIpM/4zOMixPaIvmfb2P7KMeFVhUa6Sn3lockDFDvGDLfvMcZSNEqsi8yh3CUhx4Rtdc2CE2hV
2DHZjYzK2Ldj8glOVSRMrPbFcDPCgwxaFw1lXsHc7BkqhXrAAk7SfqUK4inFeEpG/F9m51pwdNR4
Z2WBsyg6UVGoupOBP1zYXbuISW9fOAMbxs4ZZ7rg0U604nIsjXseu8hLPQ62G8dqWL7h4c+o7nqz
qsY70XVjOGdkV+DvK2oV6AKiqPLYD144YRC8GDFAhlW+gF5rm+0yqmCmT7TVrjWXDbmTs9Dz1r0q
27k1KbZcQ9xJiwaP1NK3PDSuYrVyZuRQfRwlW1ez4sLx3eauTtOPAbGNrkGAawxLW1bboWlw/cKW
MsN0g4xZWfpRblCEtVfOpC2KBn1PAPnDIM1dkgO8TIzhuRBGcScT4hYTyaaunXV5t6W5XPdh6FIi
upSsgbshxAmjYKHvhyYSM0chrXBQBhrQxL5X2tKmg1RWnaOt1aCl2OaItt1uOzrQRdUsN4kLh2ja
KpgSi3wdIL2YqdZ4TjV3pTdE3ymw08uyuR/j+CE2tM+ZznfGouZRtTPssNEdKYpPXlKee59Hc1/b
lHDjY1VC1lQ5a90+tObAuZZpX++SBjcwmL/HlpzQVBTP9RAsobLtKWkWIsifzKCrF66ODSVSUzri
Mr5l7XPnA5yf5Y2s+NWiPUG+y3ykwaitp4Ih1Axd2VWZW5fRl2tVhy8EzXutDuTLNs1Hw/YuiMRX
lkhPZNed+hyRSmGOGrU1hX9hpocxao+a7q2i9DWicGtaPHRV566zANWIE8sJsTycA+S0toq50MFr
yntXjyMetjkJ9c+JC+7GUKN6rlZwpmIPFUo73KLeymZ9FlszvbRu2Q7AaVWfRtu/ip3+WteUNStW
MEaF8+om6ga5HpeRVeC6SrgA3Sm6s18StPFmhDLnhhK3XMaPVs1AQbjZsQ7If3T0V2ccymWooFlz
u4hoQiHnlEVYgt3UmMWm78xsJOeo1vv4PETOJWLmO0OmgnWwxY2UDII5vem89G79HMXF2RUlvYxl
uIuqU+kqhsJhPWnsc9Dk51G310i9fTLr2yK8yVPxyR10YBHReDdm2UEfvReRih2quGGDpkhZ1pFG
VoEHbDz3K9JOGTUy7X3LcmtcNsxDmTznzETrggUdfLOZ6Vg4IQ1QxK4sD6Ow9rUmdkEjtr5fX0oP
9bnaodMc5bFvlH2W8CmDqFjkta/OjFGRWFnBHPsJSHhLLv498t+PfMlZ+/sjH+Fv/fwf87IZ/zoY
nH7y27EvPhhoKdnRmQ7z/wmw83U8MplXmJnb6FQQxL3rYr4e+9YHlDTs1b6OBikWvh775geMUgYF
PKQAKdR/Nh5hSvPzuW+DDJpcKOzvrOlX+fHcd3Dimp5t5ycSbTK0cWa5KAE+A8pPHwLUZEst5E6p
NAwccWQRn23U28IQn9uMFikjAWfXxdgDEj8C2Kg2G490U4Pvg3yCjI1X2oSrBqJZaIUvnVtyNLZQ
moEM8yir23RpJQaWt3xwzn6R3BklPVrR6aR+R+NhiIY7z6sxWQYPbqjfJuQAnizhKvOsF6zoAstb
qr0IdknsP7gStUpEILlNxzLrG+1NKCU+fU3pbtPC2ZimtQ/zflipoMqVqr8UomO3T5ggUQ3HFjkE
uJm1ARd73hroHazJzWDQZAzZVWUwl/RqfR2pDhsrr/oE+Hhk/+S1S4tHzVwP3DXH/I10hpXfSwMB
IliKsgy2bWx9FJMfpeu7Y+uB87bHKVyZUr7pkw3xtmLRR40PUyxaOMZ4cT0Shg1F8NU0QbuPA1rg
xPCO7O53js1NHcZInGvlNQxj8r6LwmLREKy7kVVQ4VpkV7cRSQU+A95mJAQ7RtnssRLQMVTgAOKI
qPVLyNGQVa9EeX62eDlAtDAoCw5ZX1TPfpPKeUVy5ExaNRkUPMr0KZBeR8uH8hokfixZWQ7Vhv3N
heSI7Fwk4qrow36pFiJfBkZWLZB7aWskgrdynFjiLWhExbgDSuvsijbcMH6CblG4UBapHxCyrOCP
7CEGnTs3W9TsZDCprjK0xEDNggdHVnKd9hq5sBOR3ImL1RhYpAgPj1qWrGTafpTdkG8Tvb20lTLO
xNi98c79stfjt9YqxInlJ9WdGM5hT5nnRv6Vgyj70Orliyix/HMgaFsYeuZHX0msJSMkB0UWwbVL
dSRhznDxCrWELLQKezMvq677KtPoD4epzNJzNKSGab/aud3hONWpKKxVmfebSdg8GHj4dbd8ciRw
eTmkGwnleIkwiiMckUVHY90YfMW2566VxB/v9By8GwExHf5z6waXzL4Ww1vsF9FCRMaFFHlvb47t
ckw4p4mQEA5hEpFJoC61z2s45s62zqzXfuJiAnSvFga93iIT1XUNF50b8cplmbqwyi4HUc64DV0K
iii5JI99OivtZib6gZ8gE32Wdt6wCoX7Oc7dc8yUfiGTWj0RXIVqpZF4nEbyYrRUXY6qWWygZS4U
0S4Y7Oy6UEOY7mpPYT5Og6u6PjBMU6/0rjTeVNWNbjMVl07c2oPCMMNH8vLv6fSlIeVI+P3pdCqf
4R799WSaus6vJxORccwZNF4N66pAr/3nyQT0iBbF0Og9bcOQ5ndiTh0cErRiHCzY898pw99OJv0D
hxyHicnLToKUf8QCF5NT5oelFaJQRCWQ0FCqSIjG01Lru8F9YWLJ6kB5X4FSBRE5xpHDJslx90pf
qPvUquCUKerQfJShvwvc4YlYhXGeIx7WJxUxqpPOYj8fkzJU6GrIMr0AuBUGCKIY9Wf3qD4QI4t3
YXI6aZRhpfGI6yblsoSS8VY3qlsS9Yao2QDZhTMvW6RU7ysSncJiicuE51FcSoCjZeiYO6bADjI3
BnLvKKIoyMEShROhqIdWpuBf51hjCmYEbosJkhLXBp9vTrNWRUdUGE/co2oAYuaDQoobccpBI1WG
inyzuxb6ePBBJ5F5eZBZvBUglfrAHeeGWXIsC3hLWdU2Cw3XxiEnKEPNlXNIRXrJXXtfT7wmDvp0
7jkV1Mgqg/ujdNFyMMHwlXDiAO80p76uTkpELkHnATkbJL1tlnVLn70HfhCzxgkX6EP5OdLrmyBW
b1ALJ8a8jev0rBTReKVL5ppFvvJy03+EdTy3avhRlZuQ5Y3mQM98IiWwFGo5Z7eW2TOWBPSyenKj
mEa3ym16F6sYtUWJ4I4BKqSo2JxB++tn7miZC02k/qn1kN0EOTIaneVA3SvZxew4cxF2sJkpZ7rT
EB6hIdINlCsQtyuE9sFsaHJ5VzkAhujKONZje4WSNwAZmMxBQpUo7q38yXAbFLtCQQU7S9EAzasB
tPp3t+L5r6ytH0suqrqJcc+gHeUp4yAU0z9e2CAYOjVyKrIvVD9fwaLXnoE22PMOvcEf2eD/buwl
Q7LfP/9usvj5V4vL6ae+Pv80KnOApsT4kuJlvKMvv6vMpWoCWCcP+g/K+tfK3P4w/aeTP45iGX7V
d9YW+wMDOuauPMo0dOjyH0VmCptX+uH5N4nZJ3MfC3sDoe+72P2755+0k7CUjTacbHiWZysckksg
cusRjZS2G7oIHIxgGm/XrXpF7ePOWrIkqZba8d5yuvrGV7N4PY4i2JtggZeWUpfLlN06KyL1GE9a
0lYX7sEwSK3TgaHToOMBWjQofKE2UbootrPrtRHAeO2jayFc81MAeHodpshUWXCxJcur/mPi+94u
K3xgQqB2FtQBE87azudDOdw7WjFnPvg8uIm1a0xhr2r0gPuUlRhsx65nPOK4KHvVU6Q3GTV9FCG2
Qx/oB8aGirMmEggr84w4hZqgtDB8y2nO5XWdJotiHL3PlLRPfu+5y9EF7RjluxCV+JStRULc6GCx
RgF59oT3qEYDLbNermSeXhtZoS4Ruivr2vTG3eg1+o5pk7WM9XgvcCJvYbk4C2Apch3FqVy2TBw3
pmhtQp+8aFck7AjdrL0eS7aHeVwRD6UY40wxjGUIN5tNsXMMdQZK7cC3o8CguAScLKh7hThVFYK+
werybeFXu0YLP+Jd6mcJj9EZfWG4FMjvfTDn9bRA9ZdKhzo/nnT6LoL9UIIJnRT8PVL+5F3TP6n7
20nn3yP4VyKU/wSlZ/QN1HgINOagoG5M3bpOLJa6Ud+vNQwEWtjVzoFFJE9D7AVI188ZdgPVqxhP
YUDIMSLw5IVahjXBnTwKYPbwVE6+BZzlrA7TZF9haTAmb0OFyaGlCaRVbKNpVgWPNFFPFpaIFGtE
i0UixCqRY5nwJ+/EOLkoTNc8D264GrFXJGNAOBmGC0dOm6LJggESj5iBO6qQeDFi0jBdfIUjto1E
K1/0ycfhYOhgMLpmGnWHqgw2jJuzC5/cH6zlkSkXEc0ILn2z+STtsZxTuZT+ys36gwPInLsiCaKD
wOPEbmiIs13uEKJhibI/eIS9bf8tRt+LUf3vH8Z4pFcUpJ+C6lP215p0+uFvz2SNwYegHsXKQ5rM
5CL69kzWP+AsYt0xVZiQqKhkvz6T0TqD2ZRIpb791NdpCR5FNFTEo4n/BzHJzxUpNA9WNER1GNOL
ckL8eHAboIzs0C3H01g/FLZLg/2HF/W3tJrpFf70MzLY4VWhwFn4pRwc2BwhP9S8WCLMvM91HhHw
GUp1Bc5hVhmv7T+k4vzlfX6a+mQKELkyMMTJmORZ5aGzXr87bn9R47B++vtP8tM+yRNFChuCT6L1
cDLlneV8xqUxdxQMmS3Ad0BZ7VPebJrgXCNSEcEb9m3PO2sZz3a8TAwqir1peJhcUkYziGZuOjr/
Hmny3/+mP+nX//qdc2F932fogeLWtKN8F/oSY/esyB8aGHUQoE+dSxAPKspg+Gyxdy34n7YZzP/+
F8Dk9tevSghmcCp/fsz3P9WDUKkEZ7g1nJilIGcWThkfIgx19XzIZZHPHfxkzTa0Ed/0FeLz7iLi
zsRbDQe+VZVxXrLRmWl5o7aEY6i7zqkBPscJUnJ917lqhVZFCcVdryfhWo8clBcuWucUqkxpltu8
GWZaW6xEPSzYQqz98dSaUGI8HqRMNVBbrEvUJYl2dscQGdJjxe7NAy7m4aOpY3QB5qKlcCV9cQvn
gtUQAtQwB1N5i8qkWJg6D21MpMEgQLQ0bK6TZQeZo3isQoZJClOZLt2LWl6H4VUIXqNNtewuIXEx
10d9mTm3tTQXKGBnYYtbzwg8uZBBQRqGnRDeEMVPtCUcNpTwjgEjJ/LkF7bFb+9KffoL/HlbvmN8
vr/xf8b4dAHVet1X40ld6xt3Ox7qB31NvO2pmolDvSnm5RJxx3xY6fNduUtW2aJ/UrbRql6ra/Mq
WIVfYpV++wtNN8+fv89fL9mfNG0S9K2VTJdsFm1ht6TdgphS9o/ql+nJb9/nV1fm94+jnx54dpCM
se/zPgQJx7f9a+FBz54z8YF88Pc3wbtL5OeP9P1N8FO37/D5S90hPNnX5+E56nEj4Z6cdRUAg7l3
Yu3092/447P8y1fI9INVtI1wl733j3d9YiYMx6DqnTqMWun40irnv3+DXz0Av3+Dn747NZ24D56m
neBGTrmFnTJHNP6/fIr/7U1+eso6vWMSPcObOO1+LHa1eauZH//+c/zqSPr+c/z0eBw4q2nGDe3E
boFCHSmAeYFF7WAMe3+j/9+t6lXwqcyq7HP9X9Mrf8ryoSTvqf4/P/5j9eWfvbds8Vw///APy5Ts
0+G6eSuHy1tF+O1XZfX0X/7f/sv/eHt/ldshf/vv/3x+ZfOwCKq6DD7V2l8rHI0y5ve96jl+/vRW
/vqnvtVFKmIPJESmaRp/sBa+1UXIy22JcsREev5uof5WF+EbE5Bhpkh3YsamVdG3Wd2kv8V6DXxP
owFGzPCP1CPv4Q1/3r3vxmuWOjY+YC42jGA/3b3t0GGtxI9/qoEZEZgKMbsdLmS7ELfieKdEFOEn
xkEph4B+i+qKJYuuYGe1us+Kr640Exr/qDO39wgXwe9hE1XC1gjm8Evp4cPtYzYboDcv0ok9JB2Z
u+5a94rgMChjufVCZPqN2Y4PPpbXuRaj9NJyAklB5rJpyHf61BAk1iQhc9LVGGs3vNeiq0FClOir
UKkNMIbtJpwDQ7iqI/JVyQOckb/+Glb2lSzda1X2J9+rNpnFmp1V9rUG3GFFhBsiTdmeCVbNluik
zZmlAdBKYuL22HkjfJnrRcPwUYJp7XKxEb5Li1PDIEOlYrN6yfWlHrlrE9noLNMTBny5vCUOns7R
WTS6vmzQKM7w0AQkRQ3bUUC8qlOfEHR1vDecV/xTbOz6yda7s9r6EbpzMM9DWLJySmtpBk5rsyW4
x+iHt1bNtq2wyKpQCJdQ/XtP0GwBbJvHdozpCLExxldsvNapC6zjZET2svIe9MtL0wAwzaK1Eo0c
6Ra2brEF93utQcjAqmVebL4hl53cTMnInYnjYymdixmoL1E/Qu5WHRbuKmszx+ruEk0+hbZzZA5I
i96mcpU3opo5vbXHP3NLZFoK6UW9D9owptAh+0l37/K+PObst70SvG8Vx6TMkdnYKre53hx6v7/U
jrkiK+KxUcJPKFrR6xCMMy9zXEljnLHKrIrPFhHkasN2rJDOFX+mQ0caMfPbhSs/i5xGV5sSt8CE
5Na0xZKEwRHOSHo1pmXPWo+hZczKNPuopya0oGognbJ/lk3H9SUKfMxeSs9fZwfIQa8uV6RT6gkm
omxKh2AAMmwys35tFRnONF+/NbBJe4wp0aAXyK470oojQsgw+foEFA/hQvEbQol0e1JgR/dhzZc0
IheaGSwnZzLRLrWZL5082SBZL50lWe9k0nudd9Sa7L6vnqAh69xzTwldPiR71Lke00+yv5CVDv71
0JXO1gU6PMusql/LloJXbcgGbwoRoob2ERIo+Wfc84wKaLhrRA6+Gw7Lmsjd8a59VxcZ4NLR/Xhu
JG9SV2eNqHj6fSDDbClRJ8FghNaGXqlPJcKlScHEHGdhpc4apTXiJnq9BRV4vAtyaS2T1hXLvNOf
stYIl8yvGDn4XNKEqcGkw3pNHLk+V4Jk4dlOf2PnaKky3z/1/vg6zYmDwrMXEJBXKqqsJoJCPxIF
sExh8wMT8laxZR17SUgKmq5RtR8CNF6+zXoPh8yKBdWWXGdaL4L2UIXFQbPKJyXQiF6MsQJLAhRk
0k8hFKMpi6R5w7crAISDoA9R/KA+cyJnU+qSSbvbvVSmvM8y/TFR2Z1rKNfCWKfFYHS1wpV4b7At
BmuAlxvH7rGbpG/pJIKL/Pigoorj/9WQOLO2LWoD0zjSOa1QlqUefR7Q1OWhdZ8XAXHx8qWsRjbl
iXUyUeGZTabC9vb1mY6ADNgN9nnVFS9qH15sVHz88ZDzhYzw6si6I6G64w6h4TA621+SXb0wJ9UI
YkH8OOycs5qbaeDWs5CYVL62rTw0JwHiE+T7CLDETkWU4jb1IZpUKuyaaiDD5BiDn2Q5GiSMxyw7
ZG8oxqWL1EXxiVXLnCJc1SSzY1GAGzYpY4gPHzYaYpnRc5+VITn4iGiUSU3DOvIToZLhzUAO2rzs
uk1ekTCeDIh9La/41GVQFJWJJ4H85S6wzT3q9k8BdGACr9WEBPJyo6TanaU1ydzN+WvEFpvZJlIX
tssqwOy2VpKTDGQ2sAw5HfIa9W4HAyCJudaqpGHFEKsexuFSFfC4WR6kS1Zn1apy68r5qCV4JP+N
T/1iOprkp7+viCao3i57Lppf4V+nH/2uLHKYEiFY1X5eYU7TfcKKgenBD/timv86LgL/ytQKJ5AK
C/HL4P/PcZEEwPjlxVDd/jNN7bu16IeqiLGTI6eSTeqTuvenxh65TdL3cihPg8IKilsXrwtVRWqH
YD/89BRImkPf8o+mUa6pPIzrAjUakDv1orvyEpXNW8bWctb3/jZs271viRWA1EOEYVRpx12cioOd
isWocZW3skeUqx9UTLMzvUmOIL1WrmcdKl9ZZYNyDTr7zhrSB6OvEVwUbzYZRyWQEgBK2wibh49v
j3R1fWvY/n2J9AAnzTV5gMdmCBatox57ygu2bP3BtEegc2IOc/bOQM6j8ImWcdm9OEF95Tr0vaX+
UffidVvXu9Q1V/j79q0sjq7vH52sXzmIDDw/PzL6ZidYXJW99mBJY+MLcXSGYcYI+xSKEKayWEI5
XxTVuPDV9skJqrPvN1deN8xbUqBk1yz12DyWBEZEzueqdLRlEnbkoTcN2en2MzFN2J3kQxi2W6Vy
FgRoIaof1woHEFkKMzMvyQXDLu/2wQm/OdUiYorQvDOqZDMO1SWx65dU64+KnR7hax1aM9kYY7NL
ymHTFLBjvHxaQWCyYaSNo1j35MXyIQ3YSr6prTTFW9NdRQ3yCjEA+najZz2TFyc35z476xmN/KlR
6oOnJYvRa7cl4QaVpVxCh7QF1b2XCRooR1+aGN1nhY/vJ+LE8F21wANdXAX2/7B3Jr1xI2m3/i/f
Pgqch8W3STJnpWbZkjeELEuc5yFI/vr7hGtol7u6gAbuBe6iVl1dBUlpOZMR73nPeU4hOUja+a6g
bzWkX/3VpfZv37QzjVz2GMRz89kwmgRqwPyV7DvdBl0Xa+321yK1qPe67ADDLMEvAtPkxlpXCq8z
y6nM/dRVgEwIdofT3B9tUWv7uqXRB5DffV4PzalywCX0LRcKvdDNy2yvUzgtOtQRvGQbHwQZztU1
uzd0A+6ZhnY1xIeswtAMAcljGcW+voKEEOgV3d6Ykliqe1pGEkhaB5ro7bB3lofUWtoQGyQrYJPY
zDoOPOOblk193D9BCoIe7yBhZQXoV4+VwUrhmk1xoi+MR2FEb5TZUDNj3ayGvbO6/LrtcxnmFIGx
5H+H8nLxsuGzAMqWXbpxgGu7WGPQYszB8RRv07K+w2L0SY4YlpqpH3A9OzR6JVRrZ431FYNatdFI
xW2avh3D3vKv6f0CfTtn33xB6nWyOHCmCb5KbnjvceN/qRbjybadd14/WIRa64NloaLFbGA/JyUQ
fLuCcs/CBaMcE0NTdCG9j/htyhPQlk/WvHyMrnbKfO9Edodckhi3jMif0tXY+mXRXi9AOXeUh6DJ
jcK51EX0QCd5DE0p77dGMpnhaEHSkHr1TL8ov+W2/CZqdcOdZcd+PK52WT4fI1HsM3qZA3+dXtY6
UZa9+SbV3K/wfL/O1oQ7bi5537oOq7rJ5isLUEad4I5i7IA/rBQJGPuoNp6HlsQSjymmBhBN8dgj
K6bPS4wF3hcWa8W2DB2fINc4fBVjF1L2swRzxB6rij6bVK4GC1mV1aCywIL0bI7CYMpkabN2zWMi
uWJr2bIQXOLvfY6iZ7OAyhM1kcv7y9zB9eK240s+omm+QC/iY9mRZOblmR+lhn98imLllUekzMmB
ybI9punq8NqmEx7fm7kkbkRhAq025lEmGu7d6VOlaadB0qECvBcnHrf1zUgxaZ5oDzIeznaVPOoL
WSD628MK79jGs6QZOrO4SiEjQfrLn7oEr2BaNm5YuA0ZrSTJq10n+zgJRA3EhPSkRlJuSo7WkO4S
Vm+bSvPEXlu5gCwVCc+qL2mjHQ1yF8tdo9LRrj4Xd2mNgv3/RJ7Zv9fXr+V7/2c55v9ndUYh+//u
LvLW8eephr/aXCmt57Uf/vd/BDTdXzTcUtw3DJc7hdoN/aDQeA7ize//ha/611WEWjmLhD/sSstg
v/SjQqNRzQlE3fZIvxMM+m8UGmLVf5KMvys0yktATputEhrNTzKemU0VA8KM57Xw+BAR99kBiM+2
TabiG/NArCHvzc1sW9OLzMozm31/72ieyxiRpkG0UDwVVZ5+H8fOFtAa8+5SuYDKU3GGIPtqR8ZK
K9jwLp2237oZaduG5w6fVOdCmU6yWSaz3TXz1F7DId5mPK+GRG4lOin1tt6pHIwTGemPfF4+SZ50
rpXftDz5XN04+CnKjZ/BE0jV4zEr6KUEClOEs2YB7lGtxEhn75lrPUlHfMkn8S7VA1fV0gezJPmB
+fNbW/J8zTVxPWjYpIB4EMTLodtNvvN1UY9zMqHKI8slZ1IP+3GpPyXq6c8p4NQdzcPfDwZ1RMQd
0KFLnB6dxrxve+dicpSsTNFLdctFD7Mn50yFGrHO2eeSuuGIcyip7MdJHUxa9rHEKr7AieV1XHe8
kWbQidOsFpgcFnXAjUVS7OaBSHnrm23YcQ6WpAvDQR2NgNmywCySDqmMg3Ot6aLGWABiPSKQLgan
D8EjH/KEeEgpzP2IIHJv67i6Z3Ifm2xBfdBTewrtWpiXTh3gtIPi0vX05rSKDm/wXODm4MCHCXZE
tUnDzuQJZIGPOIyRv+Sfqli48cXo1/IzcV6MbwW+L3590xrMpiPJkqdyS5nPR+8nhzmZbpIBCzmK
CUPS8H1g6uw1/UZa1hXkYiG6pZYe7eze0QEup3PQ0zbN6LZUu8aS9aVcjfTJk96nbkhnjhv/Sw6K
PbDpXrqRVmaEohkx6y3eo1/Jo1nae6pgx30B5PnQ6fqTGCM9HIlJbOdorfaThK1SWtjQ3d6obvqK
S6bG79Lsp8ucLDUFMyn4RToDiJgX8221oNh5o2weOYy+9obmnN3cmEgvJe+NnszBai04Sih9F14d
AYzk5C+FrTMLD+Oho8bvYHRO8dA6LVaL2q0ec2OBsKSnCTf35rH2hnAYHIQgtVSOMb/MDkrSGIlM
UbEgwdXLDSIMqB+zm4NS+Wfs1JDnQXlqlpSuw2HRXrE/BG0iP3GHoYNAOXFqGvDCGGP6xpgtcQSh
LL/kmZTsPNooTL2h2hOzz99yvHSHYpQtuzqPntRkPkzKCdQNXNbDjs30xlFOIak8Q0lsUgIwLdc9
2jJ5IBa7hNX4ZJZTt5s1bw4Hg2o44a31ptdzyE32vG7/OY9+NVP87bZAzcaXV8JA/74wMPnCP44j
SK00mbAvcC1PQ4b44TgyyJRCgrGhy3AoaSwPfz+O3F9Itxt0lqhdtGLS/Os4Ahqn8awlcfp/x0gB
fc7DX6yIHIb207qgH+XYls4ib7T6tout7YIG+8Mh/Rf+A17pTxtSE18fx546dtl+/HTcOdLFT+aO
401vZafU/SQ0+k3ueuugR7dyuia0+fc/z/jJrqwWin/+ieoV/WDXM2b65njYjDcZGvXG+x4LoEuC
iECt0gKyq73TNECXdFSWoHd2Tra04EPnyEZNHVyORLIHRByMI+X1qsuysUK9J0RjesmVXRefqP/I
g6bTkI/zD9q0n6uVvlfAJzy9eaJncafU6MLemEbCB7cAPgKELCZs4Oz7pUh3tu2aWHPTeh8tcxWk
CIsbtxvBf61axxmVPggJNmBM7z3UBiBHYNHS6Uq0EX9LFEmXETp0Sx7RWkj8OvIuAhm7iSCu0o96
O6E24l47VtqYbnCcnSmo2YymeOoE5/VUfZlWlbZPDhOcza1O+h2P3d5qvBNev3mTOLXciabrofQu
l3p01wd3oAxg09nQ7x8wGDoHBzdEplftoXUSMdyt3+0RY9nN9U3B1n9AhbyuyhV6fz+sYTma7Vdi
DlcA4C7CosbFTY9zLjGUR9dCy6+X1fnMyePAdVPObdPcdUb6BuDpGzgxeytt6zI31omVQDjlzdVA
PQxbkCMgj1uNxU4VtUD3lysuGFej1xFbWekxjW157iftc4vJzbLqmFru9Qk2TLyJyiW/TsfqtsoH
4KjyOl/zk1ZTqThTQkYjLdzBdvbAYUw8MqnW3vaZ+9QOWJozocU7o2zIJo9y2BeR0cMSbZcrKHIk
Uj3jXJSMm/LGSrz7fiSxpSdgi5Ok2+lNeYqK9HasxIOc0LqpGtkAdNiCH9y45fDNTWgZ1Z3szojl
1h/LEZVdD8Hz4LlY7qCygePHJeRIay+7aafBhRocFnS6FtZ1/QB38LaMWiAucz9thiKf7ucluYe3
fmS3BgPQewYGFcygbh4bTbDdT7uPirUZUcg9oXB2ZGyoLPCyrD7eNfp8qtEJW0vPAp5gR1oNHcBu
wPuEJOMZ3ybpdLGos2vtkiiyvS1c2ojn6Nz39aEjFNuvA3Z9cQ0iOjSkOPKxvVu8mLk9RYEwrQj8
nPnJ6nAF8gkJWtVcVNnFcsgh+By7gvsGAyqsCXHK+/WR5gPursXAVF8/ZJMWIiXxtuaiFYye8eqP
2Wvmepea+qLNnIFgluAUN1EvuZtEk3f459D7fuhZnEJ/M4QlTFmv/37iqa/648TT2XbjqFcLaGhE
CqLwxwBmgi3HOciEpVErqUIwv5143zlrrM2JX+JjUKC1P048S8OKaHOR/M6n+m/FYNv8Nw+RRW5G
pTYdG+0ZvNVP54P64U3RFvDDXfZ3FhqIbslPk+vAUm7FTZPwDO7X9JIXBgzPBUwbtCYaWJDLWLC9
12N6YSHzyIepCEiK4yA2/WbTxwQRPfPgFSPbq2hbQgySkv+F643nBJCOqb/09hAQJE9g2iTbfm5f
Eze7LMP47mbJViIvDoI08qI3pPisNwbWfbywlqGrlF1eWo6HrOkOne+f+yymc8zerQaQYrMjdU1R
s4Ndy+VQlUYyYvq2UixkxmuBfdHQtGd0W3vnRrBcGyawfUcWPPCRmDeW05/QogHFgK4aDHHwzWyb
J9kDkIaGIcKkHrKZ7yrdIhXjNTsgjiTCeXFnUHtGsHqSnFmlVxvieje+WXwDZtfsFwOvTRrnkACW
6BE8E6k1eq60CqxK1WeXnALiMI1pNK+mpggwD+BYm+uF6c7bUv1wSuyhCmNZPA12J05lW4WjV98l
AJI3FYZ4ymQQ9+zh4lfGY5uMe3aOd5ykgiZPqIxLKVFnvA9d4AIQRnU3J8T+Lc9/yTL9HigXMbuo
dpnvzDJYHPNxLdOXvGpDWRBPTD0OAzNNryzdP2et9gG2wTmQeaeEOx2XbdI7dNJE5t04JJ+TjNcf
w7BmYaCgLo11GB0qsprKtLbwy97rLEf0LkIJNNZKeyIwg07Dd8rP0TASLhFltnWVPDMl388dqPTa
a3gcm+M+jl1gpxVIgmEBNiEzvo71oB/qZW7ty3q8oSL8s61H/L334K/1ud1oZfOij+kVDXNXXerT
AB7rHuEkJmnLqFj70/UOj8skyT7QpmzW16Cgrlqqb0jgolvFfXqtZfVLm7UpwExFHUipjWaP6khe
qJwIwurFdGh17dYw+qCxJeYOPTp38Xjsq+ZpFNO+7qtLUtc7y5nJ+Jcp6kA/+azpJKjfImHXp03P
a5u+9xMrlGzey7SBQVZBo62c+gZG02d7cW9rLjlB7k8PXl7sBu3UrtfDdIlEuls0/xjP1Y1uV7fG
FB0Ke70Ro8NmYZngDJOEHilS48xcQ2Mll+UQ1+UNmkaBI5KIYZ5ldcU3rUoM9KhGZSAtjrtSmz6S
fM7DuTTdLdB9Pqp0dc1Ih7L22DDM47EWLf6U0ff3emUfE721wzWyym6DAyPdeJU/7wVEu609m1FQ
u4nc+cLjSgPxLZ4TuCdRnqEKW99Ge7B2kIW/1eb0TB3T2+rKbFv36BexKW+XMeOWlTporoMzbHkc
TWZgj5XRnY24GM48e0ghew2blblFhq/K4WhXHNPQMRrHfoLp7nn7BDFnP8JS47PUVhQLunO3MkHH
M33sFbC3TTuRsTmwjyN615mIAdeiKpfxwde+4yb9TpjncR7rs7SrInnuVsuYbvKhOdQxWeYm435U
W7m1S0lkbFptfdW7+L6PTAD8VOxaVjXuOtGxBxHO2XbnNIQTaG3Gwnlr67rnuuVg18is51w4XpBM
cNh0bXVOZs2bOa88rL6WysDZ9Zcmsl6TrDPCwcOxaq7wqfxkouNPLdkraWw0jSxiNzCYL/l8WcBL
zamf7fJGXKyquxPReC69+suUyo+VG5Cc0Yp7fdY2cWMXQW/Op2RBZsFEAmbvNc0JtKURu3nDJviI
T57QtnzQjOw66v0rkS0vRWJ8rLrGd4ntj3wqEaOBy60nY5nZstvdNoq7+3xWxBEQEDTdzsW5SNyL
lhfU4sy14mQfE9PswPTMTtDSqU3ZQHntuMrdY/sE64W4I7xmhNK1V66542XVaHS3gQ3zW2go0225
qNZwbU0oxiglDa6V1AVDw/qxisTjkIerHX82up5pyMoi9osgArzcl/xwlHtlkzBXn1UKiiTke8h/
0uMiX86NhOglrxpPJX48dimx7t6ksroAA0fPozbAr7DFlz1R4+HV8eWyJXPysBDkJxCNbSzyOUDs
bHyKxrEPR1l9rol2ZAK+nDuuz2PrJ0hZUH7zAYGCrJcIunp4733/iQf0TmvwX5eJwj2aBzOrn+Dh
7EXqzgGw/yN4gtuJDZhv119TDjqQNdq1pQ1n2kSjACtTxCpX74CfdMdYTBwJg4w3hs12I8nzo28v
3maKqwCOYbvv7VQGqdXf5OlIb6a7q4zh01Sy9MmBH5H+4g04WvM210ixoheTeMkjdy9i/qtL8j50
6DmshND3DjPfceAXGvRJcQPjMtt47nCCPwhRwfFP2HueiqrWtkvNIcgjayfSNd4TLToXKJUBGFVW
g3zSzrFuIGJC7BY9u+eh0srjaoB4mqIIJ4nZRkHmUgFkpbfJmDFYg7FkAYwVI414wNnysJYGHwnb
uzW6aWXVx3bGqec37OqfTbtFa3PfVst8mx1t1/TOc53HlC02DrzF9BiVzbNWewfT6h4kY42Zwd4z
ljzQiuRsdPI1Lov96Brvfr6eqCG5g4bCbmfQHipLPcSFzTq0S4J/rt2/XrtRXv7m2v0r46R47f7q
7s2X/nD35llA2QCPBpLkP6lN9E2yvjBti8agH3uByJ9DZlXpHMtVJlSMHb/7MJxfPMZtA2IK4xnu
4/9q+YHV9U9qECqQx6ICkDJNZtz1uTz9+e7t6rFeFJ1d3xgeZzI3NsUcU/tC9YQ05lg/SggUhbkc
q7Iy4LRWyUvpu6dySnceKGEeH9fu2B7BEd+sItpqrOWDInPrqyJ1sSqk3adFs549v+GG0StFXwzb
ackfnS6iDWhY2ebG+PTrzL2bY4BAG3pwG21bEA4G6m5LbctpcE2hzBQit077JEpI7dl8qiptSGgb
8rdrBqlZj5dQ92KsBnWKf9OuufLJMhTUrs6YP+ith/CFJ8kOE8VonSbtadIHCJ7LVhpDzxrdytXO
ptsAYX1z+HMGjULKtz6u1HFiOcAKmMxLlb35bGW2SwRicQTugkskOTLqR8eiYSDH2LKtKwKCWk1g
0raFvALq7Cu/VxVYXfaUtiXp/IKDGuXohr0Gz+MFB+xq7QZnfOzSlhtl3j6B071pQLFsuO5fWYDv
dzxg1Oq2GsNKFA3XI6wOvtqS5O14aRruJvlSF7t1Eij89smuDICmE5Z0ldWR+NRWqR9ckyabJU+/
TfgS4mq9Xo1ywldAp86Ydc/FILhJ1aq4pbka6WbYNHioabQcA7Fij6lzkj59TWVDM2RmWBjOMRuc
uzxauJcBVeRuF29bq/R2UtRvrYG3F3sDxCy5tVqxB41DYU56gxp4Nk1Sh6XVn9uJ90w09rdt6gwb
KDV6oE3LuLV8NPIKqHA27tvWvLh2goHGp9sYTkrNDbcKuUfsu0yQiqj7y5qTkbfhX6I/OPeGY1z8
pqi33TLNgVVaVBLnQDbNeiXabg3EJ3LNxYwXbfu4f5wp29lNWXWJrejL0k7LrhDePu5NJ7QH7ZPV
tl8ys3VDvcjCpR2c0Evju1jqV/qs/Ckz5gn/W+fIJizBrJDsd45xizMF79LVMPY3ad234q6u3WJ9
X2bKkAH1c2Q1n/IobgMCyudeOS6qUQV1B/+lzrV75iywKUvQcaFo1niHDBo2vTz5g9h1mnGuKW9P
6/o0Z/11VRe3U5XnOIIYvYpopI46sj9WR4wIoNK09ukYubRBVNP6YDjrJW4RFPUilTt2KvCZTYef
a+3xVOylkiFBtR0kumRnv/RKpixH/6lCIKNQ69wZgHrLwWbjb3JTW2/H1cCWgkFgscc7HnaYCIYQ
OQJXaApJIEInNfvhClWhBkY+nBnZ7xEE1PL0YcW9vHGU2Joo2dXoqNixSmCyfqxzSVfyrIlOC5EA
yK2Sbg0l4tZKzhUj75yqwVdTKbG3RPWFrfrsWtVHjRpcKlkYIsSntYqvbHqa6TpGOqa0ApOiItvg
T/rqKdYNAdlLqug3i6bdljUDJ/Q5/UaCyDEVK0cDmjP2uPBLZ743JTwdE7CODmCntbTnBeAOJvGd
rwg8pWLxeBZUnhngdaU4PexSATgseCnqUGu6Wx+gj+YQ7lXqoQ3qJ1PMH8i3BxjRXEjAAXl4lvjJ
XKV961FXxKBEsYPWFopQo3hCrTAusyIMuaCG0IEPgGixAisKkUs1hKG4RKkiFNmgivizpvhZeyvw
UyQOxTMaFNnIAXFEr+pH7L+lgI96AEg5vxPOAZ2iM9hIA5Ak9s87TVGTIsVPwjlC3kAxleSU7ZMW
ylKqeEsL4KWUb+cpEpNtQ+kAzZRkRr5xFK3JUtwm/kIhOBnz/VwVDMwNpbeK8jR61cH/zn2iG+Y4
13DyBIZkKIeUCqAHuF801J8jj2PGNWwhsTXvRNI+GLClCPl0GOacETCkctBDoMoNar9Eb+47Baea
2vYSK1wVXq+HEX4VBZgZq8J2P3L/s/PmWirUVQPzKh7me22ptyIylx1twOcaOpbQwWQl6zLuJOSs
3Gd72bvuXYlORFKbtsV/7lPf71M2quN/vk+9jF//4iKlvuaHixS4GwsmHEu47/eef4mY+i+OCZ+Z
XlXQO3+ixYHZ5wMCLwIHCksodb35/SLl/eKrsief/6Sap/87Fwk22Z8vUnAtuKshZVJI7cDO+PNF
qhiw2/HW1W6GrH5GP7LJrZj0P4iRSxPuAcAKkjtJhQtOFaTsat75wdBbp6620XAqRuvU8u2rrsNM
ZXk5cr10WMZDVPbm5tKtImgmiK+D96azBAlpWmXXz1NixZ/t49MGxq2FCPR7aJBc930MHjginiTu
bouuuMc2jnENNM0b3cI8f5unTmcTblGoSC1d+1You3itjOMtDvJZWcljnG3VHTHBPcka61aYzjlC
cdoO30mPUkQEFKA/FmAgF3CQYFXfotKTWA0AXsWKGYn0gqW/Fvc8R4pbX5ElS8WYLExA99HiumGE
B5V+OhSsKlpu8fx32w5MZQ+uMrHba0/xK5skf04N83Go/SYUIC4bluYEkuOnDk5eCpJiRELi6a8f
IvCYmuJkZgnobsCZlZZdesd4KQFqZqv/qOOlBPwIa7MztEeQSCSR+EsY6LsJCkXmNAb7dRlhdfZu
/+wpeid1ARhMbfQmS7v1FOEzidK7lA4r5CsJ1GxZtC7Ac/ahdc1Jc6prb03P01LHRzPr75HAwBzZ
NBasXdkHrlNsMqcQG2xtdMTmqD1CUNdR+QYPVh90Ug49riu3FCl6N77RLPuC9eZmcrIj+z2fh1n3
brRULvqrG98JbPqbNbVx5E8YOBfjo4D44Gw6B9QFj1+ovCCTAmbdHLKbHYeDTYtWVRCGibESJ1xx
GSC9G25rCOEOrUPxUn+gZZrIMPVp7Izrpm7YI3FZ2wwp8D595OKr22KfzZMVTPr4xWmST3nODbEb
6bSkZgfbNfdiaEbGpqhoKPN6wCvpokCkX+la2I9wYk5WJe50r/mwkmU7JvN+ZMEXVLnTBRom6aND
PqdxytM82FsrNm8WPb+h2XsOfLWW1OrssyajJ7sU/YFUWh0kwn3qhtjmZRtXUWP0mHFHkK0t9PdR
0+7LZThpMt23eXafpviWxuJFat1XnBs1+zVWCUs/XXtdPmIpQhOttepie/xybUucQKlbe0dTkwAO
n7DCO661+ptnrGbYD8vnxjTGzaQ3TO3UH9TD2obLPB3zaNXQPbRrWcivCb/rrULTB5WTtiCaaRur
mouPe8bx6l2WmP3GwwxFZ9fO7dqSGUG2LAep/8wziMBL3mL1JD1XLfY3VTEpW7YhpZddtVFnBGlT
AhcxjH2W9F+8rD2XhD30fP2ki/6O1wcIi6PTlz6Wck5fXnAYr5PEYJRfvHaeQTZo9xBivyyD31Ah
w5RFbfp8EvkijnWJ+7WCfTzl7YNFjUzS5PeeU9nMSNz1ydNF/TFy+S5rl9gHoMfbLsLzm5miOJYl
FHuNJhBK9xDU9B4YTO2CLa55Ey9eMXHVcG+otKSdWtZFyIAHlzme72ispJDR1t7Y9GT/nLO/5keU
vfE/n7MP6Xv3l5IFX/XHSasStTonI+XhP9OfsHLa2GDYjNlwOJSa8btBxv/FVUs8xAwIIMDp+Ia/
n7SEbX0dU4uLicKwlNDxe674N7sKkeT/GLz/C7+mhV2UMx3ZhJAuuJE/n7SrmZSJUafajekRbIrK
Nds6+pc6/garmRozmD1gmlNvUqXmvnElG/59R2zTAeo8QmBzgDwXwJ7ZIAXU1cz7Pk+eq87egxq6
Nyvv0ihOdO++cNqTsAMgvQKSHmy3ZxPDGt2IRwKX1SPsCVqWfK0I2hYlQQNJTa03GrFxthcaw0FW
r6CfdBDWhiXaoARqndjcghXlOl/TQ4/VZ5MBwNZj9yAVEdvKB+UDecn47K4gs/2sfaYSiKocYNoC
tbYFrp3rJb0k4LY7X+xW8Nupz26MP9m+8cG2sxJiNiURaEYo9S747oHIAfs7crGVtXcBfHf9RHQS
5HcreYQ0w+Ie6fCDVx9Z50wrMPZJcSCEBy2VnPFhFMu+tuaj8R0r7tzLZryni7Z7KgCPF4pA7mCM
i0GSa6V9pnCqDBptvsSKWi5jV2xtQObDhF9vBm1ugTgHu1Wz7bNPi/6tB4EeR+PTgtgDVw9SEfvL
L7lGbrJg6C8AqJuKpO7b+pOj2OpSg7IucCsMirtOvtqBdbscMpDsnie3DY+psed3Fitqu/yV4J5/
x7nT2aUn28jN6v1gM/Seh5pTabUabTjWHuLR4PqoSMYA+K+ttY59U2pF07bv2fC9FlMrETtsY0Bb
1uZyMzMIWkFJaS2tMJQ6xkxDyP2EZ8eWrHZtvlVJ126QoIzQJJHLCFLzT1IL5dq/gWxiHMvbD/An
DitHZAUMOpjUMbDHdn7vrlQccue8FonhBYPR8D00dmQieS5m66XyZhoB5umBOEaCHZ/ePqu1v2VN
/8Gq430d8FpMbvEpdizeCqZ50Sb6NfLeOHeVSLfEVs2tZat4thmHpp8frKR78XJ72JnCKrZ25L0s
A9NbYzkZoHH5DSsNdpBCzrxz2HdWae8FWubHlyKmDealmDgW41NFuMOaoaqWvF/QbqAVnylO2Wd1
czeZ7NTZ5T01VtrQshjvCxZ/tMAx12nO56hBwLb5N54uP8dre0flYLBYor+S/Utl20SRFlGfheuu
aci3mhXgnd6gRIDfYpUokh7m5EywW5W1ZUl7j085PuZJcl65lJGHONHX9OH4VgdkfmIJT6ase/tn
fvtVDwew8XfnSk+Tcz1yinynPxy//e///HYe8XV/nCwAGcADQBKDhIrLErfJD0YUpjON9/r304Np
7PeTxcKvCefU1lQagKI+C3X9t5MFIwpt9hxUtOsSklc6+U8nyd+dLAQIfp7hLDDkHGEgDBk0QQv+
+WShVZfCLG7Ot3OnsXCaLLmxGouLuyUPCXZAwAM45rFKc/aYtnbWihKThZO6+ZHoQP2c0g96YYJF
IjDN9iFjkXaw57G/lnnUfGuGqNy7BY+npHAX4NRQXIMGaxqMcEwRt31XDjdtllkvQnOGnR4RVQjY
LEF4q6LqOo8b/5sHLQ/10L6JdV2cjDiR+9VzyqfBW2w+gqC5pWGPl6FPXJKLVY2JexT5Trdx7Juj
hu/N7I332h6LZ1srqkNsE/2D9ta/TiQ3tonm0bHQ+XLvZrKjY3dq7iT85GJMB2TCuAknqVs41kVl
TW81aRzrrFP5tczAC/Nxr6+qY9CK/Sy5Tr63ELZRX3U3boJ9wo31OXlIMp+tpxzpMFxZyrny2vMB
rYMQsJj+dnUhPRekztRIEdps1WE0igr7SDoWy9dsMtpya0h/52MPfXGk4icK16437GqrHToQRwoo
gYdB1uurWnkwVxqpdo4l50oa6/4+aqb4K++kNNCqdX2N+mR9d9L5uRPtrorTk3CR2UqdHb+0u+Yg
GhlDn9bHZZ8vHoQFfViu8nomijb4DG9zWYuCi0ac7vpyMNkXTCVGk7z9bLkpBHVffzJZWB4a0QKv
1ajjtQnmQU3onQcvacrjICiSabTWuZ79Vgs5TZjBGELrx6jXSBNNhf9VuFKczGKg3XcubzJPF2E3
TGSzBLh2ik/bdgjnKCVvKer+CPCyuscNpuIJq/MlZg8Yrr6bPc3YHK5cGlMvPYaJF50+v0Cu7nLV
52v9so6zOPPmJUPmVvIGz2z07K2lfKqyDhB6PeOBTefmNpnIsVeQXCkctqyJLugeGO6U+XSh97Pd
hzEJWTeIiVQejIl1pIPoXJgnd5bmHRB9L2Z6c/R3xsp11yrnoc+uc0NezN788yz+9VnMvftvnsXj
MPwVNcfiq358EvMkNUzbpIaSUskfnsQ6HGtSprCqeVLDHPzjSWwqao563MIZ/K1/8vcnsQk1h2cm
mDZENkUh/K8I11Q8/fwkpnMJ/g7FmfjqceLz+n60jE8G2/5W+MsN50W/00RRbXuE23yTmwS0uWNm
s81HzRYCLylTtEQn4/K5Z2JHOFMSWppo9tWsZLUpY/YcEXk4Q7SgWMx+Z+iDf42ruj6QumruDItF
n2MN4kwQyt73KHi+GjkFs2eFwI9leL0rU3hikRpQRTORI2dmpf98Cio1xsYNA21aS677XszyAFo+
jazGHRJgcZxK3L4lZnZNDcdCjckYIvqjzhPaIzbOGJ0yT1NU+y6ZrwkoXjVq4O4gthwzNYTHflEE
qxrMtdH5YhjGva9G9ojZnYyDxEZGvlaN9RHzvcac36qBnw7POw0FoETsY5I4pygD2Iz3mZIK0lUa
Aen0K8tWZxp6wtp431YlMCxKavCM6bwo8QEjexuIcaAGxiGfjkKRK6nCRrOI0C5c0V5YDD9nqUoM
KXkjVUKHtJeva2pcM0DwfzCFpJQocV80W++2Nz0mCjGqZDCzfhDxWAxaXOKejvrX1HuD4jmNQ8jA
OzLq/k7v1vfV42iy3elczTYcjc6lnqhn6ViNvVIxszLoPNh5fszSUBrW52YsLqPgbttazXaaDbK8
y3vkOlv2AKrCK379P+ydV1Mcybbvv8rEfS+ivHm4J+K0xzQgQAL0UtEYlfe+Pv39JWYGQUt3azcR
p0/E7nmYGSGqq7IyV65c62+GAdsty8PFMTLSWa2PmHzINY6mMXp+JTU0y0QVhrYqEMdxYxf45img
QRHtzcxpqaMyAzDusAWWEobZl0ZOZPJQxG+FW+RYIFCZlFNfS6l2mV/6zrtGgMaZ1EmFSk8dz1oJ
3IoNSIXqGKyHIPJoRg+YRFpxGuBiWqF+4rk15U3nW+6i+5Z4xRRC3bHb2Zw3igomkRFsEBv2kAnK
NlYPZAltzGBWSe64cuuMw08dRfPc0+nVqdj4ITGUAxtEvdCrvUvLtZhTdIhWapJAPKPt0qSRA99/
lJCKsejn6jq+o90XBJ9wMtTcSdon9hwe2kliqivTtpFW8JyzPq0qNHhV0KI+DugeEd3MFTqxHYy+
MO7Psl46BEUET7iL7puwuQ4T7S4fuvNQB3+qeMkjQQqlAi8R3OPTtjPkOZqO8C4qzD2doTrXcu0B
a0cwvbm/0kgEupAyuppeBmkcThNjRM2nlieVZHgL2wjDRS5wVLVr3lZZAXrfp+YaRo/h2BarQXWX
Y8MOBcjdnFS6KDt5QsvIo9XuBfFcyqPrtMuuldJHg77VN6UcfscGHn+1OqsnOX6yorO2bjL7W1hK
x4rXHtlOInMKNeamj8pQZsDUz3BeRRlsQr5zWxcDGVV2Ql0X0SYL70F042/qERHnyNOcVZtbGEsn
KHh2+MxMaCXrZ2qU2dKsEFTA/2yLT9uiwS7y623x6tHfJNuaTPzWm20RhXLVAHvDHvakpPvmgCKb
yKELKyAKYKLM9oqUl3Exp7yFKohwEjeExNs/pS9SSdwDOcDQH/rDJpOhCNHCn2RThGSKKKUBksdQ
gl32p20R9TdNjrmNsxb/wIryqvbVM2SEI1IJEy0P6hB8V0NA69y2OYTfq0yyRDXnSusc1UZkTnMq
ewsvHK5sKaMDGjIdUyXAMNBM5mGT33tqz5Qli8dWzzSzRpppUvOtskf9YkA+ZGmWJhxHfQD10Vu4
1KjaNLfacs1G3kwMT/UXvaXc1W71Q0bzaJV3Kes6VDDFyapoDlbyYlD6L+DzzC8Fx31wJR1qpXGK
2hzHmEnsCLehxskng0OwRIpybvfRIvQaaaWEmAqG2LFACg4elFTt2fOEKledhu3KrFzQkPmIWJUG
wTpyU+XMVek99E3Kn/lOurKQ4pjkfP0YxKgcWDKYPQe8zwjJHJitQBBqHfUmcEmZT6lAXdUlexpq
2Zs61pDc9Vj4Wd0a4P3Ci8yoppGZHbcSTbnSRLePDXBYjj6GCmWD6mkDELH0TSBRtvQ1H6tLpyxX
UBnsQ6MYz8suGmaa6VyDKbnPyuwUAz8L0Rn/CDncc6N2r7wWu4WONKBFv6XM9UO5cdZGhSyYWkkm
wiC6BVgjuwm7+AgNlNs+rJHLcKQfvWf7GMc7iyBuvxup85in+MQpGDNOw7S22bUYFjoaQGF8zz8J
sBIBQVQF39U0O7eH8BuwmASlB0p0cUqjDbH7bp5kANXHqro22+rWNkHEo9w2jzxMlwcPpi78jW8Z
ZaRFIoPL6G3Tm1Vyf5Xx6uMnmHTQyvU8HRXoUlDIpp7enOcCVy0LhDUJ272e1zfIpD+gE6cvXE15
yAUq2xf47NRV4dKB2PZSq12YAsU9FpXH1yNQQXMHZbYnuHcgkN+5rh1KAgvuYRMw1eyMhQBQfAAw
rgMc1wSC3EH9Zq6EVTRrzOoHcucmdysapjYqWblAoSOPheKPCw8McgcoYNaIizvfpBX4dRdjbo5j
2qQD2u61YNx9uz/TAL2rgN99QPBmZEMoDhaNSvuDrGztcM1Kry9zgZ83AdJHiXltOckZDAe2BC0c
Zi6g+0gB+yRA+Gl9YwlUftazb2Zh7swryymnmYOlUh3i/xTla1VtlpWUfK2A+UeFd1InqN0pEAAC
dThXIQQgvkcFWHAEyr4/S2J1PLLl+NaHT2CYnMhNubMOw8I6UZ3kNIB7EAsSAjA9FZxXhAaQoCh4
PmQFGAvBYQN/QYXHAHLjNhbEBltQHEy4DrplXDdldaYKEoQPA3vWC2KE4SNrVwqyBNsdoLemXnp6
gomhOfZTNMwuOtO9RhuInnMO6WeEfzEKIgZI1p4cJZ7l8DTcsXwsBHFDHWMBx1NXCPhjTi7oHQ7D
Om1hfKgwP+oOOWVNkEHasNJnUVuaqwimiAFjRIc5Evg+fEJBJolhlciwS0ZTu3KFEkIpiCdFTVc2
gotiwElRXPDsnpZ+UQVdRYG3YjrNshZEliK1XQQT2y8lQCsXrkvrV1RXBfkFxmYg6DCulXyJ4cf0
ViAd+TBmAkGdkev+yIRL03rxMAFpaQgCfTw1U8xmYkG+GWV/PQo6jkE2NpPK+Ic3uldFzoliUKjF
aoLG0/vhQ5lTAcqoPcmC6kO/hFRe0H86OumrGkaQJTDLYzF+GQRZCGU+sIGOd9nDFmwEnwhekeMk
7ULPyyPYzqTRiu/Rx4CGpHUmPX0T8iSszJuEMinK2RvyzQDPA2hMNnwmkqGvKvym0YICSYFlrrf6
ooQBhfTUcQAjKkT5bTUyiSgwmAE9VHk5WMr9CI/K8IjZvRBuohpcKOUjtJh1DfNqhKFhCSpWNaCk
rCm3mY1nd0QTowejhyvXyoLFJXv1Qm+ZBDLxSNC8KLPYM0NQv/rBuoKiu6bRiTk3gTLQzGyOz9yK
xd1PahhkCvZak75yzkoHiLcKyyxm3pKywxK2BDq6VenMQ+aHL9lS9h6zpTx4G/bOcp4FfoOdOQAh
WdPMM9sGH0jtSV2WVXkTRMqlkTbxFI+Nr4pV34YRleySuIBHCFMDFRuFCKLAD7Pv6Mz0y9IpF9zf
XRkWGInZ2UOFWRhaHviDpb42nqZRaMzcvDhnz1t3Oj/rcv+4drCPqFuM9XIpQ9OoeXCF9YRsFQ+a
n56FoVOBnnLBdyECq+QmWBJv8BdO5rQzDw8M3FjRqWKVFVPXNk59S2aV5QFUMTwOs8ZbDSimzy3i
pET23knp5ZDhRh5I4XfkYu8N8mb6b8kS7fcleQTvwG0vFQN9i6ItLCQyrEO8NdmKU+C09G4sELrj
MDUlpToTcgnekPyI5Cibotd0hsN9TNLuncgIIWIjnP+wpRSChe7cdkLgTCoS0F6puYl8w5jknnQj
F437pbTTNdG8cty13vpLP9ANVFoBqx7KQAGK0yyOMx8IRCDTH8J9uB0hCDiF/6x9/tmqzP/7ZH8M
0srf5NENqPfHj4V+8VuveTQGamCaWAaaSnR9yohf82gF3270BW0ImfhpO28K/Zp5gJQ8UC3ZkF/J
qK95tHEAL5QMiKyclU9p6k8K/R/LS3wxjQTkVUU7wQYN/nMe7bmFXOC90pwifkswCprv1Cz9SRRR
YpXbeDaUseDwBdMhc9cBhYWZoXTVtEzb86TKDi28QTGfUNEHbgvO28ExfI/1YCEamiEVAADpoYX3
hFJVi3ibBOHZ7dR1NtLudWXTmyaVMBWVr4mN39VKv3EKnM1s3yHvEepcjjQuYl2S5kXn0zRENcxC
XHOCr9c3cO/f8yH72voBlpM1pQ/XNDG3rg/TPr2uHenaTYdj37RoUATrNvJPaHF+rzI7Ecbi56Vm
IP/r2fOEB4O7HZhLepJHjZLdJoM8zPVQgzNbQyop4m5F3vd1UPNy7tXdQtdhj6shCqx6RzIUSfZD
4aNsZsfmSVXHV106RlPbM+ZGZF9gz/3AIfacHivqKrB1Ke+H9dztqPbnLYZD6T0Filu3QAM+S+9p
GsEZj0pv3qQd0dpKzml2rKhXTfTQ+x6rCAvlsZ3POrSgCYPZfac4UHWQiUmGspvkqjbOBj0h5S0I
jXSKTuoKKyLdPUk92ifsSIsBDQW57CilOStPNS6Gsf2BEO8jbgFXGqg55PhuEm9ELk20JHhJjgxG
ressZ6rKYQEXojC/kPyufaf/EYdONnMB+Wd4PE+bMkRNSFavdc+40OvBpf8eXeme+qNRzfZwCMSv
G02zAL90k0jNqsp86o2GuWjqJphxUAo5bMW3SFVEC8wq8K00ZCpC1GcAFhgTGVsjc4wWspXTirXl
ZVH7GSbKOa3OnLcGQLebqgDUGp0MqhjthRlUiEVU+XHgJsXRmETerAzRVDS68cKKjWWXGoum0Iup
PrrAAiJOQSQn9DnGKpyxI5KB0HKY2iOTeKh4h4mae/OuHC8zr+RbU3vhue3ClZvL0daOgg5otaVy
qqoK15t5MRDitonu66y/sVPMiywzv5OVrITn4aJQS+myk4MV3kIY1kr+Ska3eSZZaCHIcrY0B3mp
yLgpVLLkrJDCGiZaaz8mYXECCw5v7yrMAQnWh6Y3DAiUgwH0ElzsCwM9CnDpzMZkYmr1XcVBciqX
GM3rIxj1pDfVYz2NSMuQKfMOY9XxtVkUddeqHZXtvJQqP/jGMLj1mVpbSD6YgaEtTOy20ysLtfwM
7agcfBcuJJU/VezEOmeTDMzzoQj8c63ovdugyedVzBSa6L7unuZVBaeXfMqmbS4bHl1EsjC/kCW0
uYz+ixxLaFIXAdJLFj5Qk8aOxxmHp6o4RMfQpRIU9HUwxW8tRmh30ODmxHAIzL5YUkpVb6KOw88a
MF9DnIl9DHNN6172GuTaI3MogRPgGesIYWHdKOZBoFrelVxbcXWruq0H8VADqTcr5MR0v0dG4Otr
WS0TiXN43+T/QVw9d7gN2si/2y6zuEnSbRsmv/f3hukc0HFRkOOl6fEstvC6YaryAboIsMAslQbL
TxumfaCzxSKlqz6VnUQX53XDxN2JXg2bJo2apx75n2yY5jsvbCHho9PagXCm0moX3Z+fN0ylNZgW
eFqfjYZ/hHPgRG8zjvmspRGA56I1oIyGbrzW8zhaGJq+khtlGeT1md9Ih9RoETdX0SuQwJEqR12V
b6JGv3UrmFxpve5H5cRz9NXog9uIpGyY+pZ3iy7PF4iV0dxMkg2qguYUpChHq5iZObIO6NXAc4gj
Ngk7qdPrTPOPG2qyJ6kGC8RnoyDpBRtrQWF1ojsT/qPmKpzOs7O8NOA1OeFNp7SCdU4yb4BWVBtw
VBGqrmeoBTyYWYYYBeUHFE0tcxq0kXIIQ/Wkrq1DzU2uNFA2gz6uK925i93qilpAhgCft8zMBnsm
gQNtzTMjs47iGoNPxze+apI0G7P6e+ebi6olkJYY6k06xz4HA4NODXy5LjoNO+rXkuJifAzLIrQ4
lSqldO0INlpGBV82whM6EmAtAQhRcmHvN3AoSKJRWfimkyyk0Pnes4cabXOiI9FwmhdfQCMtkiiA
1YOInOEsGq2nFNcizIJ6kVYqG02BTBdLN63uXnOUXJgN6FmHWjz19uQuGMC8STIufQDFJkofng4t
Q1dEzRe5d/tZFZnJt0I/xPsa/6TaxmKPwlZ76skoLXfUzRIDD9KhaS99oHH8N9KGJgIMdZF+a7gN
F9n3aRRIWDN02dIIQEuXtjLN5AF2GO8hDHFlCGU7nmWDDWp00C4CG/575z7oBbtiYJpXemZeSJRu
p8j8nTiYPyBbavnoWFBg4VR+IRnuoQHFCcUoKLx9EV5hoHUPhhDr2gRCR/QQpuU3zyEDo2HaoY8Q
mavcVTrQVeySHMm9KSfthabDnAksd0ruGCGJ09BdF9LH0VLW21WkavE8bXqY1whN4CGcz3QTlVY2
75ssS+aOkscnGAf5pFhVgIcESWPaK+jvVHjAS7ZF+bUfMsoqTr6G3PK1GKMLN2/sqS6HlIICCV5P
jy9A0lA1jcvsWEayiJpMtGjs6iYwrROUvy7SNgumVuAkU0kZx2WShg0I+xLlgyFlZmrq9zwtLu2W
F2903mwwxlO5cfFlkJQZJsHIMNsXDWaynUZFVnHdQ4uMj7Yl52gEYxY9rc9pSQ0SNGRUTfKOLCws
0DyWxmEDjbOaIjTkQQTlt2uE4UH/zeSIQvSAALQSwwDkcLBEljeZD9EFrg2YfyDq6o0b8MabujWv
vL69imLIQb19DqyZQoKHNHanos6LL9k3sBgp7CRrLuTy/aE1jzA2IBMU+VJjwIwHM7LhvQ5HNOrm
WY73YYTW6EyV9Ee1r9axLK17uYY+YA/pnC7aBlrgashrvIJNSGWyRbcJHIM1GUrYkGrRXSZWl9GB
q5Wli4elcE7kflpsVrqGGcif/1BjUqXBiN1JpIs6dSxdFI38WCVMCd1MAgzFra95WZxWMQw0aCmP
eY4RpNQtqhCvBkmN9TkJsLowFSqf8lieuApOk6nO22bEj4uUh6ZgCF+zTm91FCIXmUQM9gLbQUi5
1OGieisXiY9VpgybwkTPzCE06hG6IeiNTjHtXI+1f1YJqwXa7ijlBNoloqYdpCrM6it5ibPqVT4S
KzPlUvEKKoEjnTg5szYe1puYFx+pPNysC2QTfYDmq2SOyhTcazGPQ4QiSoNJHVXubWuOt2VdXPiV
7q28WKKRqjRCgjya6HVzmdtKMisj3q8m0fjVym7aYYs+8ZLyDrwJoQIpa985I9AtvcKH9KdXV6g3
f4vU+rosEK6Oo+Zad2iYKmqnzGRZBeZXhS3Cjb4xHTC3pn8K5gb57cOyCi9TU1uOOWLubqTcdlEP
f4I+rYEZytR2InWi5SaJnfqtNb901dHo3nTBse5rX1KSd6Bi30IKrYGW8GrSemmm2amaY5+Zx0q1
kkPzUSHQw1R2ztvAZGnrkruSDPQeLHMM5rFFmTzQ9VnmdCdVHl+0VDGtPib8BsN8HJRLwDLHfkY5
BYGta6tGBEMu6qOiPm1NSoUGsnGe5Z0jLhfM4swJliq+LFOortfKMC4hcIcnqUT4H6Vy7WC2vYA+
Gy20ug8no6JB5cht3pYr3OW8I0OY2lSYfgBWyDynQEeBJjD1x0dczfx1l9ag3uB7GtZ1CPB/iayo
YA8W43Cq+HIw9SveM61qc+XZ9KcRcMmIX0duPTpnilaiFTNShXSrWj9sUfCPKYLZm0YfaI700Mv9
HCMjNo8QDJe3SAxlrebGIdHoyOTAHdk65NEalwmp1LFKsXIiRFt4E72SVn6hnwIf9lapLz9qg/wI
ffSOLQdCM6KcgyzNEtuaqbjBajX3WGlKNov6+L4PYAQZng+gAEpK7VInTj3zxu+TdolTcDjvqHkV
KAqC0MV9pJVIuS3z2GOw8ztEbhTdvUBcYiVJnYraGYfrHLGPoEmUKaohXxl+dnElfoSYedRCZljk
yM6XlbkMbVrjBniqBcd9jlKlLLRtEadWiu4mrbFs6eNLQx9mZmx8TRx4VEWI1esYHXa6uSgDKL2s
E/jW/UKp8yvEDO8Jruc1Dq1TeD30nMziQpHKBQFOWXY6TW9HgQvsQ7u2oEOlZq0KeeAzSpqAf10f
OXRs2OdlDz6cuB/PfHPET8es5kmPEnFuoosbZOpmRPoVajQ4wAAstGKbpyS5N2WZn/RWbE2zRJor
KNFiigKzKly0nXpRFu0xK3dlqaYMh8wXPS+hlhOvO4WtNlJOArc+duPsmmrhDaoC7BGpdV2p/Trj
9INlAsDAEPtNvAq9b5Qj0qkCeGYMjkq9XPeet8g7lYZNYMMMy9mjJfNrk7frsUc3OA3uYt04KiKF
gqI2nCAL1qyGcqDl1JvrRMHd3UwIhJK/lI0AET1DX0UZ5AB5PG5KTUObEDK6ieph2CXJuebK48yr
bWkidYjbtL4OkVScJjtd1SZGkg7TvILkgm/uqqIRBlQnvLM6chi7b86tHPKpU7bZEkf56iQpUJ8s
tO4YWQRbgDrwTXalpZN0ITmnW7O4jJgO65VZS0eASZOl6WeHDtkW7INcC83JiBBz8B9w3MtxjFPQ
r49jtwhSbKld8juvRzHkyjnuoCuuwA+FO8op7e+jmHoAOkA2ZPTqZAFQ+xsDAP4NiLIOxUVwStFW
faPYgamKgsmJzbGJtr1APf8BSJk2P0etnzAANCFNzn0ApS0V7Q5u4i00ri4B5MZq2J+BJ5YmOerI
llte1SpOSaFKRWxU0uwqaJWYIkaSXFZCYFmSlWbVjC4WqvCXgUihw1zo2qlm6fKccgnqTFYI0x3U
ay0EnH2UnJ2mQ3xZiDtHQubZYfufwimzpk7jZlc6atClTNmhRh+6DXzUiTxMvjohHg2dBdSToWpz
D8eqWaUoX+Fmxqs4RkAtdLQl9huHGnrUXoEwdS8kqk0hVh0L2WpKgd/BP3crB0XrVEhbFxwJ1r6Q
u2aHQYYiSnu637F6Fii2i6Zy7ayQraIh1qnASJ9ANAJOEwtgTZ4KzWiwNhlqlWxreKalTXLS0KmP
wOV0AqBTg9RxBGTHALsjN/o8sjx5roLqiUD30NHCa01ZZwL2IwsAEOe7BAM8/7sBNqg3nX4CkPDa
K6JrIRI0x04C5VcQRbWAFmkCZKSlSB2YHrrjIwAkyQTwJCBJfWoemeiq0pkilXcEbqkWCCbf7WSE
N8dbXnSI53t+mUnuqQ7sCWLpSnNpg+oAolyAUcjDtSeIiqEFW6OUXgCfQuiIBo87nhoZr7TO+1kB
1CoCcqVq5fUIBEtycw4Svn8UAc4yBUqL5hT+agK5xQ53aKDjTz8FFkcHvAuFSPByiQ7EwjzJBAIs
E1gwTjC3uTd+wX8RPT7QYpLAjaFAgVuEwJKZdhHZZ2zSoXYnq6YxHFrUZOdYaBxDiBnpuSqlN4sN
um++ZTxKVbTA/AHGkTQsnmg+LjZ1tFXjI6x/S3QFQUOoiXKiWZzdY6FJ5soKnBvDDpaDEc3tAsMe
FBrYiAyjnbZ2iYqEFyFBQuo/+ORZARJq8yx0FtTnqaNGWO9BYnEPpaEqiP94KXYs8KnMTNW8/CJO
U2RiAv2wtzHYyKNEvkp9FxKKjlRyliJEifcbvUIzIYh3qJzL6UQb3MdhUFcBNgCHkWFclbULrCKt
p4guT2GOn3IaidncDRPbmUZGqsE8lOxSPyPnA6sCNHyK8Lm5QHTwso0E+rI2TuSgw+oYZYipLBlH
JWD8I2XIjgs9Vg6LjFzcqx1ECG8qxT2TOm8BprtfUKVHPLMMoimFg2U10CSkETizi/jOj42FneUs
dZZJnls9A5t8z/3qqLe6/DCSLHsWB4py5ne5RnkazgH5PdweaOmUKN3TtpDQynfAUg7YoMWYGFCh
pa/vIko5KKDbUGim/D6M9qRRVXdFLsteWWX6cvBcZyZLULbzIj2GMmbNB6/RjlBvHI+KUJGWelbI
8wxQrinRIB2j4QiB35tcSrRzNSTlIPqh3QhVfuqjlCLRj/B6z6WZnN8WVuj9qFJkVXyW8RcrDB/H
cCQDAq0OiuJp2/hf0P17ucWtnqx/813ET8+zIK2vsvkTI+eNq+u/9Jde96jtF/ojk1ehlfDTjvx0
Y0839NvrxBvsaJsHbGTZXtnukFUwdMSJ+UAPijPoGM8/lhS6ihYfoOLg8viuN2P0q1H4/QN+9L/9
eJ1f3/zbDMOg0flvPD8P+M/jWwckFybkJweEPR/Kr+8fn+KxatHNfB6ffRgEEpP3ZDDlfan8z2eC
caABpCTDMn85FKj9OQpKwns6CPLzFH1mPP+9vP5oOTgHKohSyvFkquLDUP80H1TBmbNJEfXnZPh/
eDl8mAliFf8ba0I85ttFgX2DTYKsPc953vf7QVDpmViCxvc/HxI+jAGvjmW8c1zUxFlEtZlTPz+8
TEB8Ysc/h4znr9q3ecAYPL+c3RYDkOinkPA8D97vDeJAR7hQFHVvB2H3sGiL/qFKxw/4zNaIQBfR
FjFDf9Zh2r+Z8KGN+ud7g0AdiQYlvu5Pn/fbJK1UzcbghUL/voaE98WLPx8E+0Dsf46mYYUtPh+W
g3qgaLptQG/Y10F4nqI7xATMCyxqMJYqRkJ8PuwNOjuorrE37OvmoO6eND+pyHJWB0+wdTmQNMPy
tNBzAQ4nPvs6H54zuR3mg6CnIldDyen5QcWjftguBSSQTs7rUO1lyqDsnjKoB9QMbQMY5fOsIBT+
NBSKcYBYsQH5aL+HQn4OX7vMCgCnAGt41JdT0/tZIU6VNvB3W9nPNFrUqXdOIcHjUtJWcC16NxE4
RMD1Fjab+xojhcnNbgk0CiKUDGD7ab/Km1RSBkXGGmdf8yYh6b3zIAhNTV3/OAX0AwWxTcwMXvbR
Pd0htN3TJsIi+HKD0PhuGYBlV5gg9HUo5IjPno6BsvtJCm15WSUaWC9Vtg/xUJwyHBNm976mjtrO
qaOG06MtIzILx/b5824+EBYRpQClKUwl9zNJ2L3AZB5QP6N4or/M+Q8zAWFdfsaRel+rbC9b9i7p
gXPAEQGPEiQGnz4ssJ8yJWYCnBQF1cO93Rs+I0eirkAKYL2UGrecqQEGI6AstJX3cznsHBPIEnRa
D3TvnyeC/D5nFhhtfqxDT9rTQTB2jwkcmTEL0eRfFRbIllHjVGSsz/d0EF6C1S4xQUcAVVU1+zUw
fsgW7AMsXSjKEjfEZ19Lji/dkV2GgtdtwjDQwMM8fT4sCsRiFToQurO34fE5ZO0yCJQcLbRoDfml
svB+PrBHQN4gLog63F6GR2HXvNv5QeOUQGAgQ37ZKN/PBFJoyrJYj+7rFvHSGdhlIkDgEVmzZb2U
VT7skxoVR8vUcCnY04nwUgrdZRCsA4BujgkD4Dl1/rAa2EiRliM4Qifis6/R8YOI9p+X4SmrYEnB
wfn5SbelDPwQRVNBrtrjoXhplewwKyjG05ARXGuYaOLDdvBzHk0RBjlYnab9vi6N3WMkeQHolL9X
xoeOhMieEHbCjmRvg+TuRRbzwLQgMmryS7Xt/UZBqxbaM/W4ve3ZCxHNHXdLdgoNiUbOzs/L4UOQ
ZBCQTaCLua9500stdIeYQENGdagvMAhP0e9jeFQ5bZAz0Lza15jwnNDtMggarRh6Tohhb58J5E04
oslQ4fZ1o1R3Xw42hpZPw/DStN8SEyhIcq5UnwdpX8Oj8KHYOTI4mFTRpXyJDGSK7zdKagzspC/1
7v0DcQg5lx0HwWDhq7BbEa59+nxIpKm10JkEzrO3M+F5te4WGRxbNiB5PI+BWP8/zQQigwbUh/Lr
3g7C7u0Im94csF8mwvPK/7AcRGIp/gH8JT77GiS157R2l/lAZ8YgJ6AQ+3cQ/Gk+kDhhhiPTxNvX
nEF7PvbuMgjUWqi06EIT/OmzZadQHXoWjrPfR6qXxtFuQ0HFHb7I63z4sDRIn5BuZ3Hs66Iwdg6S
VOXxk8JUyng5V24ZBJFBKuCk9zSH1HfPGXTRjRT1xV9jWEwHZzVG4Tl07OlQfBBv/uOSC/MBzJJJ
ff4XQ0EtFvwrIVJ5DiB7Oyt2Xho0sUUPgsblrwpxygENboXi/L4im/Td8wdT1OaR+XutO304aMOS
oOQCiGpfN02hw7RjOg1zCi8NEQffpZCkDPzAwql2b9fBzk8vcMBYFXKeeAV+vh8EFZ0s4I60sPc0
Lr4kdLskC6L0SJlB1N2ePrzvn5NH1oHuUIfe2+TxgyLpH28OiIvSnRKB/xfcgKfutYiJLzyE/Ttb
C02BnYOBruHaCVPwFxn0EwoOE2vBJ+K79nAQdi8wII2ny6BazV/Beuhb4/MAgeL5u/ZvED54qf/5
chDtSgXkM/2Gp88HbBOkKXBNNrX4f30m/Asj9Tf3eOoH8cMTNRk1+23k5F/9hVfe7sefv6GbPpFu
f/qbV0P++Pzlz6RU8f//tXlIgnQWVHUZ3Nfq03R/89PX6f/0TS+///KIH7/8py97fa7XP1xhu7sp
73GyfuJiv9zo6SaB2/zfMf962Lwny4qS8Oufie/+v//n55t9Ewt+f3XEux9fL/SPLaPgZP/zqP/u
xZPNQ1a+XujNxdlhdr74RNiYvV7nzbWZqTtfe7qJNy2vpHq91pvrM993vz6an9WHV0pVgrD6CRdP
63Lz1zSr6m1fQdK081fMHuO/TrNy6/iTK+98/Xn81ywrmTyv13oz/uxyO19/UeKQse3iRPSdL76M
H9P09TpvbvwzluuqSe6y+KH+eHkB89/51g+T/LEMNvHrpf65e0Es2v3y6bBl0AUwfedLHz+WW8Zc
AAZ2v3SQelsCgfIZa/VkE22JYQKbvPNtn2yq6nHbmHzGAj3Jqr/+O/Ue48dtI/MZS3S9eSAAv47D
m4n4GUt0vSmDbUPzGUtUXBtpxy23LiibO7/W9WP6kN0H26KXQKl9wvXL+8eH1wv9M+4C/bX7xTPu
/fU6b679Gct0nW0dk89YpVwax9THYcudf8ZKPd3k22bLZ6zT08d28zF3NHCoe32WHXLHs3JDCHi9
0JvX+RlL9Dze3G9zqRVd3Z3n4TlqlNuSO9Gj3/niFwGpYxU8bBkZYf238/UvN/clR4K03rKXap+x
Si836V+TR3wXtn3BZyzV5y8o0035sDWQCcjxJwxT+tcsePS2PcRnrFrxEAtWwH1Q3W/7js9YvuI7
jrJN0WzbrUTH9FNG6aQJqr/O7oIq3/Ycn7GYxXOsN/Xjtut/xnrm+vXmr8mmvNtsyxlEG+0zRorv
mGJutCVYizbqZ31D2YyvF/snpop2x+5f4G+2ngkFT3r3i1PD2Do0n7KYgyoKhqx5vc83A/MpazmL
N9uyB1Hw3n1gSEy2GcuKeu3uF683iFDGm6Z6vdibofmUpfs7t/inatUOGcRvPXd3vjg5flBvSdoE
tGDngb/6nc3Zzrfe/NYUZtfLf+Ppm21rVbAAdx6Z30go73rjt83dluAryt3/n7veVpb9u33xsVj7
qu647dd+rkWLv3EfP27K//p/AAAA//8=</cx:binary>
              </cx:geoCache>
            </cx:geography>
          </cx:layoutPr>
          <cx:valueColors>
            <cx:minColor>
              <a:schemeClr val="accent4">
                <a:lumMod val="20000"/>
                <a:lumOff val="80000"/>
              </a:schemeClr>
            </cx:minColor>
            <cx:maxColor>
              <a:schemeClr val="accent4">
                <a:lumMod val="50000"/>
              </a:schemeClr>
            </cx:maxColor>
          </cx:valueColors>
        </cx:series>
      </cx:plotAreaRegion>
    </cx:plotArea>
  </cx:chart>
</cx: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microsoft.com/office/2014/relationships/chartEx" Target="../charts/chartEx2.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2.emf"/><Relationship Id="rId7" Type="http://schemas.microsoft.com/office/2014/relationships/chartEx" Target="../charts/chartEx4.xml"/><Relationship Id="rId2" Type="http://schemas.openxmlformats.org/officeDocument/2006/relationships/chart" Target="../charts/chart7.xml"/><Relationship Id="rId1" Type="http://schemas.openxmlformats.org/officeDocument/2006/relationships/chart" Target="../charts/chart6.xml"/><Relationship Id="rId6" Type="http://schemas.microsoft.com/office/2014/relationships/chartEx" Target="../charts/chartEx3.xml"/><Relationship Id="rId5" Type="http://schemas.openxmlformats.org/officeDocument/2006/relationships/chart" Target="../charts/chart9.xml"/><Relationship Id="rId4" Type="http://schemas.openxmlformats.org/officeDocument/2006/relationships/chart" Target="../charts/chart8.xml"/><Relationship Id="rId9"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2</xdr:col>
      <xdr:colOff>924560</xdr:colOff>
      <xdr:row>37</xdr:row>
      <xdr:rowOff>91440</xdr:rowOff>
    </xdr:from>
    <xdr:to>
      <xdr:col>7</xdr:col>
      <xdr:colOff>902150</xdr:colOff>
      <xdr:row>49</xdr:row>
      <xdr:rowOff>113378</xdr:rowOff>
    </xdr:to>
    <xdr:graphicFrame macro="">
      <xdr:nvGraphicFramePr>
        <xdr:cNvPr id="10" name="Chart 9">
          <a:extLst>
            <a:ext uri="{FF2B5EF4-FFF2-40B4-BE49-F238E27FC236}">
              <a16:creationId xmlns:a16="http://schemas.microsoft.com/office/drawing/2014/main" id="{785B85AF-64C9-8857-B40B-5AB9EE49D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176965</xdr:colOff>
      <xdr:row>56</xdr:row>
      <xdr:rowOff>168518</xdr:rowOff>
    </xdr:from>
    <xdr:to>
      <xdr:col>8</xdr:col>
      <xdr:colOff>23602</xdr:colOff>
      <xdr:row>82</xdr:row>
      <xdr:rowOff>17426</xdr:rowOff>
    </xdr:to>
    <xdr:graphicFrame macro="">
      <xdr:nvGraphicFramePr>
        <xdr:cNvPr id="4" name="Chart 3">
          <a:extLst>
            <a:ext uri="{FF2B5EF4-FFF2-40B4-BE49-F238E27FC236}">
              <a16:creationId xmlns:a16="http://schemas.microsoft.com/office/drawing/2014/main" id="{419A2D3B-F3AC-459B-8C14-CA9F13BFA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661205</xdr:colOff>
      <xdr:row>52</xdr:row>
      <xdr:rowOff>67688</xdr:rowOff>
    </xdr:from>
    <xdr:to>
      <xdr:col>17</xdr:col>
      <xdr:colOff>738759</xdr:colOff>
      <xdr:row>67</xdr:row>
      <xdr:rowOff>139895</xdr:rowOff>
    </xdr:to>
    <xdr:graphicFrame macro="">
      <xdr:nvGraphicFramePr>
        <xdr:cNvPr id="5" name="Chart 4">
          <a:extLst>
            <a:ext uri="{FF2B5EF4-FFF2-40B4-BE49-F238E27FC236}">
              <a16:creationId xmlns:a16="http://schemas.microsoft.com/office/drawing/2014/main" id="{EAC5172A-8EF9-2B1D-944A-995E9A74C8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515842</xdr:colOff>
      <xdr:row>150</xdr:row>
      <xdr:rowOff>138097</xdr:rowOff>
    </xdr:from>
    <xdr:to>
      <xdr:col>8</xdr:col>
      <xdr:colOff>188253</xdr:colOff>
      <xdr:row>165</xdr:row>
      <xdr:rowOff>103913</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002085C5-3E47-7696-C04F-0F57DCCA644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5712432" y="28719343"/>
              <a:ext cx="3907132" cy="277647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537092</xdr:colOff>
      <xdr:row>150</xdr:row>
      <xdr:rowOff>164832</xdr:rowOff>
    </xdr:from>
    <xdr:to>
      <xdr:col>17</xdr:col>
      <xdr:colOff>737017</xdr:colOff>
      <xdr:row>170</xdr:row>
      <xdr:rowOff>62460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E75655DC-1A3C-B42F-4DDE-2DB685CFD3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028895" y="28746078"/>
              <a:ext cx="4597040" cy="364516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886390</xdr:colOff>
      <xdr:row>169</xdr:row>
      <xdr:rowOff>30200</xdr:rowOff>
    </xdr:from>
    <xdr:to>
      <xdr:col>5</xdr:col>
      <xdr:colOff>452584</xdr:colOff>
      <xdr:row>184</xdr:row>
      <xdr:rowOff>2491</xdr:rowOff>
    </xdr:to>
    <xdr:graphicFrame macro="">
      <xdr:nvGraphicFramePr>
        <xdr:cNvPr id="9" name="Chart 8">
          <a:extLst>
            <a:ext uri="{FF2B5EF4-FFF2-40B4-BE49-F238E27FC236}">
              <a16:creationId xmlns:a16="http://schemas.microsoft.com/office/drawing/2014/main" id="{7C8ECACE-E697-BBAA-DF4E-807A9A878C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1367091</xdr:colOff>
      <xdr:row>192</xdr:row>
      <xdr:rowOff>160090</xdr:rowOff>
    </xdr:from>
    <xdr:to>
      <xdr:col>16</xdr:col>
      <xdr:colOff>146998</xdr:colOff>
      <xdr:row>208</xdr:row>
      <xdr:rowOff>55533</xdr:rowOff>
    </xdr:to>
    <xdr:graphicFrame macro="">
      <xdr:nvGraphicFramePr>
        <xdr:cNvPr id="11" name="Chart 10">
          <a:extLst>
            <a:ext uri="{FF2B5EF4-FFF2-40B4-BE49-F238E27FC236}">
              <a16:creationId xmlns:a16="http://schemas.microsoft.com/office/drawing/2014/main" id="{31D39A37-B3EA-C25D-8C48-7CE4AB084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204</xdr:row>
      <xdr:rowOff>17726</xdr:rowOff>
    </xdr:from>
    <xdr:to>
      <xdr:col>2</xdr:col>
      <xdr:colOff>63081</xdr:colOff>
      <xdr:row>213</xdr:row>
      <xdr:rowOff>127588</xdr:rowOff>
    </xdr:to>
    <mc:AlternateContent xmlns:mc="http://schemas.openxmlformats.org/markup-compatibility/2006">
      <mc:Choice xmlns:a14="http://schemas.microsoft.com/office/drawing/2010/main" Requires="a14">
        <xdr:graphicFrame macro="">
          <xdr:nvGraphicFramePr>
            <xdr:cNvPr id="12" name="Order Mode">
              <a:extLst>
                <a:ext uri="{FF2B5EF4-FFF2-40B4-BE49-F238E27FC236}">
                  <a16:creationId xmlns:a16="http://schemas.microsoft.com/office/drawing/2014/main" id="{F430F560-8890-C52F-F495-2F87CAFA9153}"/>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0" y="38681289"/>
              <a:ext cx="1825206" cy="1752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745083</xdr:colOff>
      <xdr:row>203</xdr:row>
      <xdr:rowOff>157440</xdr:rowOff>
    </xdr:from>
    <xdr:to>
      <xdr:col>3</xdr:col>
      <xdr:colOff>668377</xdr:colOff>
      <xdr:row>212</xdr:row>
      <xdr:rowOff>13342</xdr:rowOff>
    </xdr:to>
    <mc:AlternateContent xmlns:mc="http://schemas.openxmlformats.org/markup-compatibility/2006">
      <mc:Choice xmlns:a14="http://schemas.microsoft.com/office/drawing/2010/main" Requires="a14">
        <xdr:graphicFrame macro="">
          <xdr:nvGraphicFramePr>
            <xdr:cNvPr id="13" name="Gender Value">
              <a:extLst>
                <a:ext uri="{FF2B5EF4-FFF2-40B4-BE49-F238E27FC236}">
                  <a16:creationId xmlns:a16="http://schemas.microsoft.com/office/drawing/2014/main" id="{F8CA9997-8B13-B0DE-8C99-64DA152E6365}"/>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634083" y="38638440"/>
              <a:ext cx="1812419" cy="1498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166415</xdr:colOff>
      <xdr:row>203</xdr:row>
      <xdr:rowOff>140034</xdr:rowOff>
    </xdr:from>
    <xdr:to>
      <xdr:col>4</xdr:col>
      <xdr:colOff>1020334</xdr:colOff>
      <xdr:row>213</xdr:row>
      <xdr:rowOff>124919</xdr:rowOff>
    </xdr:to>
    <mc:AlternateContent xmlns:mc="http://schemas.openxmlformats.org/markup-compatibility/2006">
      <mc:Choice xmlns:a14="http://schemas.microsoft.com/office/drawing/2010/main" Requires="a14">
        <xdr:graphicFrame macro="">
          <xdr:nvGraphicFramePr>
            <xdr:cNvPr id="14" name="Rating C">
              <a:extLst>
                <a:ext uri="{FF2B5EF4-FFF2-40B4-BE49-F238E27FC236}">
                  <a16:creationId xmlns:a16="http://schemas.microsoft.com/office/drawing/2014/main" id="{9B3F12A0-5039-AFB8-3F57-B72565B4D189}"/>
                </a:ext>
              </a:extLst>
            </xdr:cNvPr>
            <xdr:cNvGraphicFramePr/>
          </xdr:nvGraphicFramePr>
          <xdr:xfrm>
            <a:off x="0" y="0"/>
            <a:ext cx="0" cy="0"/>
          </xdr:xfrm>
          <a:graphic>
            <a:graphicData uri="http://schemas.microsoft.com/office/drawing/2010/slicer">
              <sle:slicer xmlns:sle="http://schemas.microsoft.com/office/drawing/2010/slicer" name="Rating C"/>
            </a:graphicData>
          </a:graphic>
        </xdr:graphicFrame>
      </mc:Choice>
      <mc:Fallback>
        <xdr:sp macro="" textlink="">
          <xdr:nvSpPr>
            <xdr:cNvPr id="0" name=""/>
            <xdr:cNvSpPr>
              <a:spLocks noTextEdit="1"/>
            </xdr:cNvSpPr>
          </xdr:nvSpPr>
          <xdr:spPr>
            <a:xfrm>
              <a:off x="2944540" y="38621034"/>
              <a:ext cx="1822294" cy="18105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1</xdr:col>
      <xdr:colOff>8021</xdr:colOff>
      <xdr:row>2</xdr:row>
      <xdr:rowOff>184484</xdr:rowOff>
    </xdr:to>
    <xdr:sp macro="" textlink="">
      <xdr:nvSpPr>
        <xdr:cNvPr id="2" name="Rectangle 1">
          <a:extLst>
            <a:ext uri="{FF2B5EF4-FFF2-40B4-BE49-F238E27FC236}">
              <a16:creationId xmlns:a16="http://schemas.microsoft.com/office/drawing/2014/main" id="{AE3D22F9-3721-D66D-453C-F55FB0518D40}"/>
            </a:ext>
          </a:extLst>
        </xdr:cNvPr>
        <xdr:cNvSpPr/>
      </xdr:nvSpPr>
      <xdr:spPr>
        <a:xfrm>
          <a:off x="0" y="0"/>
          <a:ext cx="1243263" cy="553452"/>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400" b="1" i="0" u="sng" strike="noStrike">
              <a:solidFill>
                <a:schemeClr val="dk1"/>
              </a:solidFill>
              <a:effectLst/>
              <a:latin typeface="+mn-lt"/>
              <a:ea typeface="+mn-ea"/>
              <a:cs typeface="+mn-cs"/>
            </a:rPr>
            <a:t>KPIs</a:t>
          </a:r>
          <a:r>
            <a:rPr lang="en-IN" sz="1400" b="1" u="sng">
              <a:effectLst/>
            </a:rPr>
            <a:t> </a:t>
          </a:r>
          <a:endParaRPr lang="en-IN" sz="1400" b="1" u="sng"/>
        </a:p>
      </xdr:txBody>
    </xdr:sp>
    <xdr:clientData/>
  </xdr:twoCellAnchor>
  <xdr:twoCellAnchor editAs="oneCell">
    <xdr:from>
      <xdr:col>3</xdr:col>
      <xdr:colOff>350345</xdr:colOff>
      <xdr:row>13</xdr:row>
      <xdr:rowOff>43793</xdr:rowOff>
    </xdr:from>
    <xdr:to>
      <xdr:col>7</xdr:col>
      <xdr:colOff>1371724</xdr:colOff>
      <xdr:row>27</xdr:row>
      <xdr:rowOff>159276</xdr:rowOff>
    </xdr:to>
    <xdr:pic>
      <xdr:nvPicPr>
        <xdr:cNvPr id="15" name="Picture 14">
          <a:extLst>
            <a:ext uri="{FF2B5EF4-FFF2-40B4-BE49-F238E27FC236}">
              <a16:creationId xmlns:a16="http://schemas.microsoft.com/office/drawing/2014/main" id="{0507F5E4-4C95-D6E8-3E9C-A7B8BD580CEE}"/>
            </a:ext>
          </a:extLst>
        </xdr:cNvPr>
        <xdr:cNvPicPr>
          <a:picLocks noChangeAspect="1"/>
        </xdr:cNvPicPr>
      </xdr:nvPicPr>
      <xdr:blipFill>
        <a:blip xmlns:r="http://schemas.openxmlformats.org/officeDocument/2006/relationships" r:embed="rId8"/>
        <a:stretch>
          <a:fillRect/>
        </a:stretch>
      </xdr:blipFill>
      <xdr:spPr>
        <a:xfrm>
          <a:off x="4221655" y="2837793"/>
          <a:ext cx="4609524" cy="2800000"/>
        </a:xfrm>
        <a:prstGeom prst="rect">
          <a:avLst/>
        </a:prstGeom>
      </xdr:spPr>
    </xdr:pic>
    <xdr:clientData/>
  </xdr:twoCellAnchor>
  <xdr:twoCellAnchor>
    <xdr:from>
      <xdr:col>0</xdr:col>
      <xdr:colOff>933850</xdr:colOff>
      <xdr:row>29</xdr:row>
      <xdr:rowOff>58615</xdr:rowOff>
    </xdr:from>
    <xdr:to>
      <xdr:col>8</xdr:col>
      <xdr:colOff>55152</xdr:colOff>
      <xdr:row>32</xdr:row>
      <xdr:rowOff>35169</xdr:rowOff>
    </xdr:to>
    <xdr:sp macro="" textlink="">
      <xdr:nvSpPr>
        <xdr:cNvPr id="16" name="Arrow: Striped Right 15">
          <a:extLst>
            <a:ext uri="{FF2B5EF4-FFF2-40B4-BE49-F238E27FC236}">
              <a16:creationId xmlns:a16="http://schemas.microsoft.com/office/drawing/2014/main" id="{ECE3D054-9164-65DF-9392-30936ECEEAF3}"/>
            </a:ext>
          </a:extLst>
        </xdr:cNvPr>
        <xdr:cNvSpPr/>
      </xdr:nvSpPr>
      <xdr:spPr>
        <a:xfrm>
          <a:off x="933850" y="5700346"/>
          <a:ext cx="8543725" cy="518746"/>
        </a:xfrm>
        <a:prstGeom prst="stripedRightArrow">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Which sources</a:t>
          </a:r>
          <a:r>
            <a:rPr lang="en-IN" sz="1100" baseline="0">
              <a:solidFill>
                <a:schemeClr val="dk1"/>
              </a:solidFill>
              <a:effectLst/>
              <a:latin typeface="+mn-lt"/>
              <a:ea typeface="+mn-ea"/>
              <a:cs typeface="+mn-cs"/>
            </a:rPr>
            <a:t> they most buying based on gender</a:t>
          </a:r>
          <a:endParaRPr lang="en-IN">
            <a:effectLst/>
          </a:endParaRPr>
        </a:p>
        <a:p>
          <a:pPr algn="l"/>
          <a:endParaRPr lang="en-IN" sz="1100"/>
        </a:p>
      </xdr:txBody>
    </xdr:sp>
    <xdr:clientData/>
  </xdr:twoCellAnchor>
  <xdr:twoCellAnchor>
    <xdr:from>
      <xdr:col>0</xdr:col>
      <xdr:colOff>299803</xdr:colOff>
      <xdr:row>51</xdr:row>
      <xdr:rowOff>174886</xdr:rowOff>
    </xdr:from>
    <xdr:to>
      <xdr:col>11</xdr:col>
      <xdr:colOff>87443</xdr:colOff>
      <xdr:row>55</xdr:row>
      <xdr:rowOff>37475</xdr:rowOff>
    </xdr:to>
    <xdr:sp macro="" textlink="">
      <xdr:nvSpPr>
        <xdr:cNvPr id="17" name="Arrow: Striped Right 16">
          <a:extLst>
            <a:ext uri="{FF2B5EF4-FFF2-40B4-BE49-F238E27FC236}">
              <a16:creationId xmlns:a16="http://schemas.microsoft.com/office/drawing/2014/main" id="{B04FCAAE-4B72-C218-6676-DAB3CF1E4033}"/>
            </a:ext>
          </a:extLst>
        </xdr:cNvPr>
        <xdr:cNvSpPr/>
      </xdr:nvSpPr>
      <xdr:spPr>
        <a:xfrm>
          <a:off x="299803" y="11067738"/>
          <a:ext cx="11529935" cy="612098"/>
        </a:xfrm>
        <a:prstGeom prst="striped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Q 5. </a:t>
          </a:r>
          <a:r>
            <a:rPr lang="en-IN" sz="1100" b="0" i="0" u="none" strike="noStrike">
              <a:solidFill>
                <a:schemeClr val="lt1"/>
              </a:solidFill>
              <a:effectLst/>
              <a:latin typeface="+mn-lt"/>
              <a:ea typeface="+mn-ea"/>
              <a:cs typeface="+mn-cs"/>
            </a:rPr>
            <a:t>Overall gender split</a:t>
          </a:r>
          <a:r>
            <a:rPr lang="en-IN">
              <a:effectLst/>
            </a:rPr>
            <a:t> </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857251</xdr:colOff>
      <xdr:row>47</xdr:row>
      <xdr:rowOff>1118</xdr:rowOff>
    </xdr:to>
    <xdr:grpSp>
      <xdr:nvGrpSpPr>
        <xdr:cNvPr id="5" name="Group 4">
          <a:extLst>
            <a:ext uri="{FF2B5EF4-FFF2-40B4-BE49-F238E27FC236}">
              <a16:creationId xmlns:a16="http://schemas.microsoft.com/office/drawing/2014/main" id="{730FFEF7-B2CF-5D84-D08F-94C5FE5844F3}"/>
            </a:ext>
          </a:extLst>
        </xdr:cNvPr>
        <xdr:cNvGrpSpPr/>
      </xdr:nvGrpSpPr>
      <xdr:grpSpPr>
        <a:xfrm>
          <a:off x="0" y="0"/>
          <a:ext cx="15659807" cy="8623007"/>
          <a:chOff x="0" y="0"/>
          <a:chExt cx="15659807" cy="8623007"/>
        </a:xfrm>
      </xdr:grpSpPr>
      <xdr:sp macro="" textlink="">
        <xdr:nvSpPr>
          <xdr:cNvPr id="3" name="Rectangle 2">
            <a:extLst>
              <a:ext uri="{FF2B5EF4-FFF2-40B4-BE49-F238E27FC236}">
                <a16:creationId xmlns:a16="http://schemas.microsoft.com/office/drawing/2014/main" id="{A5EABB85-06C0-457B-8CD1-181D0258ECCD}"/>
              </a:ext>
            </a:extLst>
          </xdr:cNvPr>
          <xdr:cNvSpPr/>
        </xdr:nvSpPr>
        <xdr:spPr>
          <a:xfrm>
            <a:off x="1433691" y="0"/>
            <a:ext cx="14226116" cy="8622978"/>
          </a:xfrm>
          <a:prstGeom prst="rect">
            <a:avLst/>
          </a:prstGeom>
          <a:solidFill>
            <a:schemeClr val="accent4">
              <a:lumMod val="40000"/>
              <a:lumOff val="60000"/>
            </a:schemeClr>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IN" sz="1400"/>
          </a:p>
        </xdr:txBody>
      </xdr:sp>
      <xdr:sp macro="" textlink="">
        <xdr:nvSpPr>
          <xdr:cNvPr id="2" name="Rectangle 1">
            <a:extLst>
              <a:ext uri="{FF2B5EF4-FFF2-40B4-BE49-F238E27FC236}">
                <a16:creationId xmlns:a16="http://schemas.microsoft.com/office/drawing/2014/main" id="{ADEA69CE-E03F-87BE-3986-9C2DD56F86EA}"/>
              </a:ext>
            </a:extLst>
          </xdr:cNvPr>
          <xdr:cNvSpPr/>
        </xdr:nvSpPr>
        <xdr:spPr>
          <a:xfrm>
            <a:off x="0" y="0"/>
            <a:ext cx="1440850" cy="8623007"/>
          </a:xfrm>
          <a:prstGeom prst="rect">
            <a:avLst/>
          </a:prstGeom>
          <a:solidFill>
            <a:schemeClr val="accent5">
              <a:lumMod val="50000"/>
            </a:schemeClr>
          </a:solidFill>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sp macro="" textlink="PivoteTable!J9">
        <xdr:nvSpPr>
          <xdr:cNvPr id="4" name="Rectangle 3">
            <a:extLst>
              <a:ext uri="{FF2B5EF4-FFF2-40B4-BE49-F238E27FC236}">
                <a16:creationId xmlns:a16="http://schemas.microsoft.com/office/drawing/2014/main" id="{6A2DFE9C-B586-C1E5-41EE-18C64ED07A03}"/>
              </a:ext>
            </a:extLst>
          </xdr:cNvPr>
          <xdr:cNvSpPr/>
        </xdr:nvSpPr>
        <xdr:spPr>
          <a:xfrm>
            <a:off x="71215" y="560736"/>
            <a:ext cx="831171" cy="322953"/>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l"/>
            <a:r>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rPr>
              <a:t> </a:t>
            </a:r>
            <a:fld id="{83A144A0-B977-4355-9F68-A9274AE693E5}" type="TxLink">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rPr>
              <a:pPr algn="l"/>
              <a:t>2,400</a:t>
            </a:fld>
            <a:endParaRPr lang="en-IN" sz="1600" b="1">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endParaRPr>
          </a:p>
        </xdr:txBody>
      </xdr:sp>
      <xdr:sp macro="" textlink="PivoteTable!K9">
        <xdr:nvSpPr>
          <xdr:cNvPr id="7" name="Rectangle 6">
            <a:extLst>
              <a:ext uri="{FF2B5EF4-FFF2-40B4-BE49-F238E27FC236}">
                <a16:creationId xmlns:a16="http://schemas.microsoft.com/office/drawing/2014/main" id="{FD076CA3-9EC1-444D-99FB-C41AC420DDBC}"/>
              </a:ext>
            </a:extLst>
          </xdr:cNvPr>
          <xdr:cNvSpPr/>
        </xdr:nvSpPr>
        <xdr:spPr>
          <a:xfrm>
            <a:off x="14243" y="1063825"/>
            <a:ext cx="964301" cy="297934"/>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l"/>
            <a:r>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rPr>
              <a:t> </a:t>
            </a:r>
            <a:fld id="{A37622FB-0796-461D-8872-88A277121729}" type="TxLink">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rPr>
              <a:pPr marL="0" indent="0" algn="l"/>
              <a:t>11,997</a:t>
            </a:fld>
            <a:endParaRPr lang="en-IN"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endParaRPr>
          </a:p>
        </xdr:txBody>
      </xdr:sp>
      <xdr:sp macro="" textlink="PivoteTable!L9">
        <xdr:nvSpPr>
          <xdr:cNvPr id="8" name="Rectangle 7">
            <a:extLst>
              <a:ext uri="{FF2B5EF4-FFF2-40B4-BE49-F238E27FC236}">
                <a16:creationId xmlns:a16="http://schemas.microsoft.com/office/drawing/2014/main" id="{3F53B8DF-6CBE-43F3-B9DA-D0D57CA81731}"/>
              </a:ext>
            </a:extLst>
          </xdr:cNvPr>
          <xdr:cNvSpPr/>
        </xdr:nvSpPr>
        <xdr:spPr>
          <a:xfrm>
            <a:off x="14243" y="1557877"/>
            <a:ext cx="1025889" cy="346147"/>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l"/>
            <a:r>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rPr>
              <a:t> </a:t>
            </a:r>
            <a:fld id="{C20127B0-F2A4-467C-9DA3-BA935847FC4B}" type="TxLink">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rPr>
              <a:pPr marL="0" indent="0" algn="l"/>
              <a:t>$649.0K</a:t>
            </a:fld>
            <a:endParaRPr lang="en-IN"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endParaRPr>
          </a:p>
        </xdr:txBody>
      </xdr:sp>
      <xdr:sp macro="" textlink="PivoteTable!N9">
        <xdr:nvSpPr>
          <xdr:cNvPr id="9" name="Rectangle 8">
            <a:extLst>
              <a:ext uri="{FF2B5EF4-FFF2-40B4-BE49-F238E27FC236}">
                <a16:creationId xmlns:a16="http://schemas.microsoft.com/office/drawing/2014/main" id="{CD0CC861-9DEB-45FA-8B21-10BAA46199E4}"/>
              </a:ext>
            </a:extLst>
          </xdr:cNvPr>
          <xdr:cNvSpPr/>
        </xdr:nvSpPr>
        <xdr:spPr>
          <a:xfrm>
            <a:off x="28486" y="2580111"/>
            <a:ext cx="946766" cy="372667"/>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rPr>
              <a:t> </a:t>
            </a:r>
            <a:fld id="{38859B42-9FA6-453B-98F8-2EFEC6ECE068}" type="TxLink">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rPr>
              <a:pPr marL="0" indent="0" algn="l"/>
              <a:t>2.34</a:t>
            </a:fld>
            <a:endParaRPr lang="en-IN"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endParaRPr>
          </a:p>
        </xdr:txBody>
      </xdr:sp>
      <xdr:sp macro="" textlink="PivoteTable!M9">
        <xdr:nvSpPr>
          <xdr:cNvPr id="10" name="Rectangle 9">
            <a:extLst>
              <a:ext uri="{FF2B5EF4-FFF2-40B4-BE49-F238E27FC236}">
                <a16:creationId xmlns:a16="http://schemas.microsoft.com/office/drawing/2014/main" id="{4E883002-CA86-4392-B28F-24A23E66DA67}"/>
              </a:ext>
            </a:extLst>
          </xdr:cNvPr>
          <xdr:cNvSpPr/>
        </xdr:nvSpPr>
        <xdr:spPr>
          <a:xfrm>
            <a:off x="56972" y="2093634"/>
            <a:ext cx="816591" cy="28495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marL="0" indent="0" algn="l"/>
            <a:r>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rPr>
              <a:t> </a:t>
            </a:r>
            <a:fld id="{1940BA7C-76DE-4259-8B4B-D6E5CEC47CC7}" type="TxLink">
              <a:rPr lang="en-US"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rPr>
              <a:pPr marL="0" indent="0" algn="l"/>
              <a:t>3.96</a:t>
            </a:fld>
            <a:endParaRPr lang="en-IN" sz="1600" b="1" i="0" u="none" strike="noStrike">
              <a:gradFill>
                <a:gsLst>
                  <a:gs pos="0">
                    <a:schemeClr val="bg1">
                      <a:lumMod val="95000"/>
                    </a:schemeClr>
                  </a:gs>
                  <a:gs pos="88000">
                    <a:schemeClr val="bg1">
                      <a:lumMod val="65000"/>
                    </a:schemeClr>
                  </a:gs>
                </a:gsLst>
                <a:lin ang="5400000" scaled="1"/>
              </a:gradFill>
              <a:effectLst>
                <a:innerShdw blurRad="63500" dist="50800" dir="16200000">
                  <a:prstClr val="black">
                    <a:alpha val="40000"/>
                  </a:prstClr>
                </a:innerShdw>
              </a:effectLst>
              <a:latin typeface="Aptos Narrow"/>
              <a:ea typeface="+mn-ea"/>
              <a:cs typeface="+mn-cs"/>
            </a:endParaRPr>
          </a:p>
        </xdr:txBody>
      </xdr:sp>
      <xdr:sp macro="" textlink="">
        <xdr:nvSpPr>
          <xdr:cNvPr id="14" name="TextBox 13">
            <a:extLst>
              <a:ext uri="{FF2B5EF4-FFF2-40B4-BE49-F238E27FC236}">
                <a16:creationId xmlns:a16="http://schemas.microsoft.com/office/drawing/2014/main" id="{197A1D79-1B2F-C2A9-48A1-8258D5826597}"/>
              </a:ext>
            </a:extLst>
          </xdr:cNvPr>
          <xdr:cNvSpPr txBox="1"/>
        </xdr:nvSpPr>
        <xdr:spPr>
          <a:xfrm>
            <a:off x="28486" y="878649"/>
            <a:ext cx="1184769" cy="2083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0" i="0">
                <a:solidFill>
                  <a:schemeClr val="dk1"/>
                </a:solidFill>
                <a:effectLst/>
                <a:latin typeface="+mn-lt"/>
                <a:ea typeface="+mn-ea"/>
                <a:cs typeface="+mn-cs"/>
              </a:rPr>
              <a:t>👕</a:t>
            </a:r>
            <a:r>
              <a:rPr lang="en-IN" sz="1100">
                <a:solidFill>
                  <a:schemeClr val="dk1"/>
                </a:solidFill>
                <a:effectLst/>
                <a:latin typeface="+mn-lt"/>
                <a:ea typeface="+mn-ea"/>
                <a:cs typeface="+mn-cs"/>
              </a:rPr>
              <a:t> </a:t>
            </a:r>
            <a:r>
              <a:rPr lang="en-IN" sz="1400" b="1">
                <a:solidFill>
                  <a:schemeClr val="bg1"/>
                </a:solidFill>
                <a:effectLst/>
                <a:latin typeface="+mn-lt"/>
                <a:ea typeface="+mn-ea"/>
                <a:cs typeface="+mn-cs"/>
              </a:rPr>
              <a:t>Quantity</a:t>
            </a:r>
            <a:r>
              <a:rPr lang="en-IN" sz="1100">
                <a:solidFill>
                  <a:schemeClr val="bg1"/>
                </a:solidFill>
                <a:effectLst/>
                <a:latin typeface="+mn-lt"/>
                <a:ea typeface="+mn-ea"/>
                <a:cs typeface="+mn-cs"/>
              </a:rPr>
              <a:t> </a:t>
            </a:r>
            <a:endParaRPr lang="en-IN" sz="1100">
              <a:solidFill>
                <a:schemeClr val="bg1"/>
              </a:solidFill>
            </a:endParaRPr>
          </a:p>
        </xdr:txBody>
      </xdr:sp>
      <xdr:sp macro="" textlink="">
        <xdr:nvSpPr>
          <xdr:cNvPr id="18" name="TextBox 17">
            <a:extLst>
              <a:ext uri="{FF2B5EF4-FFF2-40B4-BE49-F238E27FC236}">
                <a16:creationId xmlns:a16="http://schemas.microsoft.com/office/drawing/2014/main" id="{912AA872-8702-4F32-B517-1E141496A55F}"/>
              </a:ext>
            </a:extLst>
          </xdr:cNvPr>
          <xdr:cNvSpPr txBox="1"/>
        </xdr:nvSpPr>
        <xdr:spPr>
          <a:xfrm>
            <a:off x="7121" y="1356719"/>
            <a:ext cx="1131592" cy="234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0" i="0" baseline="0">
                <a:solidFill>
                  <a:schemeClr val="bg1"/>
                </a:solidFill>
                <a:effectLst/>
                <a:latin typeface="+mn-lt"/>
                <a:ea typeface="+mn-ea"/>
                <a:cs typeface="+mn-cs"/>
              </a:rPr>
              <a:t>💰</a:t>
            </a:r>
            <a:r>
              <a:rPr lang="en-IN" sz="1400" baseline="0">
                <a:solidFill>
                  <a:schemeClr val="bg1"/>
                </a:solidFill>
                <a:effectLst/>
                <a:latin typeface="+mn-lt"/>
                <a:ea typeface="+mn-ea"/>
                <a:cs typeface="+mn-cs"/>
              </a:rPr>
              <a:t> </a:t>
            </a:r>
            <a:r>
              <a:rPr lang="en-IN" sz="1400" b="1" i="0" baseline="0">
                <a:solidFill>
                  <a:schemeClr val="bg1"/>
                </a:solidFill>
                <a:effectLst/>
                <a:latin typeface="+mn-lt"/>
                <a:ea typeface="+mn-ea"/>
                <a:cs typeface="+mn-cs"/>
              </a:rPr>
              <a:t>Amount</a:t>
            </a:r>
            <a:r>
              <a:rPr lang="en-IN" sz="1400" baseline="0">
                <a:solidFill>
                  <a:schemeClr val="bg1"/>
                </a:solidFill>
                <a:effectLst/>
                <a:latin typeface="+mn-lt"/>
                <a:ea typeface="+mn-ea"/>
                <a:cs typeface="+mn-cs"/>
              </a:rPr>
              <a:t> </a:t>
            </a:r>
            <a:endParaRPr lang="en-IN" sz="1400" baseline="0">
              <a:solidFill>
                <a:schemeClr val="bg1"/>
              </a:solidFill>
            </a:endParaRPr>
          </a:p>
        </xdr:txBody>
      </xdr:sp>
      <xdr:sp macro="" textlink="">
        <xdr:nvSpPr>
          <xdr:cNvPr id="19" name="TextBox 18">
            <a:extLst>
              <a:ext uri="{FF2B5EF4-FFF2-40B4-BE49-F238E27FC236}">
                <a16:creationId xmlns:a16="http://schemas.microsoft.com/office/drawing/2014/main" id="{3A821D90-FAD7-4DD8-94A4-E7E07A685876}"/>
              </a:ext>
            </a:extLst>
          </xdr:cNvPr>
          <xdr:cNvSpPr txBox="1"/>
        </xdr:nvSpPr>
        <xdr:spPr>
          <a:xfrm>
            <a:off x="49850" y="404896"/>
            <a:ext cx="1053323" cy="193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a:solidFill>
                  <a:schemeClr val="dk1"/>
                </a:solidFill>
                <a:effectLst/>
                <a:latin typeface="+mn-lt"/>
                <a:ea typeface="+mn-ea"/>
                <a:cs typeface="+mn-cs"/>
              </a:rPr>
              <a:t>🛒 </a:t>
            </a:r>
            <a:r>
              <a:rPr lang="en-IN" sz="1400" b="1">
                <a:solidFill>
                  <a:schemeClr val="bg1"/>
                </a:solidFill>
                <a:effectLst/>
                <a:latin typeface="+mn-lt"/>
                <a:ea typeface="+mn-ea"/>
                <a:cs typeface="+mn-cs"/>
              </a:rPr>
              <a:t>Order</a:t>
            </a:r>
            <a:endParaRPr lang="en-IN" sz="1400" b="1">
              <a:solidFill>
                <a:schemeClr val="bg1"/>
              </a:solidFill>
              <a:effectLst/>
            </a:endParaRPr>
          </a:p>
        </xdr:txBody>
      </xdr:sp>
      <xdr:sp macro="" textlink="">
        <xdr:nvSpPr>
          <xdr:cNvPr id="20" name="TextBox 19">
            <a:extLst>
              <a:ext uri="{FF2B5EF4-FFF2-40B4-BE49-F238E27FC236}">
                <a16:creationId xmlns:a16="http://schemas.microsoft.com/office/drawing/2014/main" id="{1BD99F46-1CBA-4C85-8E63-31255C249B89}"/>
              </a:ext>
            </a:extLst>
          </xdr:cNvPr>
          <xdr:cNvSpPr txBox="1"/>
        </xdr:nvSpPr>
        <xdr:spPr>
          <a:xfrm>
            <a:off x="0" y="2410706"/>
            <a:ext cx="1552504" cy="2281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i="0">
                <a:solidFill>
                  <a:schemeClr val="dk1"/>
                </a:solidFill>
                <a:effectLst/>
                <a:latin typeface="+mn-lt"/>
                <a:ea typeface="+mn-ea"/>
                <a:cs typeface="+mn-cs"/>
              </a:rPr>
              <a:t>📅</a:t>
            </a:r>
            <a:r>
              <a:rPr lang="en-IN" sz="1400" b="1">
                <a:solidFill>
                  <a:schemeClr val="dk1"/>
                </a:solidFill>
                <a:effectLst/>
                <a:latin typeface="+mn-lt"/>
                <a:ea typeface="+mn-ea"/>
                <a:cs typeface="+mn-cs"/>
              </a:rPr>
              <a:t> </a:t>
            </a:r>
            <a:r>
              <a:rPr lang="en-IN" sz="1400" b="1">
                <a:solidFill>
                  <a:schemeClr val="bg1"/>
                </a:solidFill>
                <a:effectLst/>
                <a:latin typeface="+mn-lt"/>
                <a:ea typeface="+mn-ea"/>
                <a:cs typeface="+mn-cs"/>
              </a:rPr>
              <a:t>Days</a:t>
            </a:r>
            <a:r>
              <a:rPr lang="en-IN" sz="1400" b="1" i="0">
                <a:solidFill>
                  <a:schemeClr val="dk1"/>
                </a:solidFill>
                <a:effectLst/>
                <a:latin typeface="+mn-lt"/>
                <a:ea typeface="+mn-ea"/>
                <a:cs typeface="+mn-cs"/>
              </a:rPr>
              <a:t> </a:t>
            </a:r>
            <a:r>
              <a:rPr lang="en-IN" sz="1400" b="1">
                <a:solidFill>
                  <a:schemeClr val="bg1"/>
                </a:solidFill>
                <a:effectLst/>
                <a:latin typeface="+mn-lt"/>
                <a:ea typeface="+mn-ea"/>
                <a:cs typeface="+mn-cs"/>
              </a:rPr>
              <a:t>to</a:t>
            </a:r>
            <a:r>
              <a:rPr lang="en-IN" sz="1400" b="1" i="0">
                <a:solidFill>
                  <a:schemeClr val="dk1"/>
                </a:solidFill>
                <a:effectLst/>
                <a:latin typeface="+mn-lt"/>
                <a:ea typeface="+mn-ea"/>
                <a:cs typeface="+mn-cs"/>
              </a:rPr>
              <a:t> </a:t>
            </a:r>
            <a:r>
              <a:rPr lang="en-IN" sz="1400" b="1">
                <a:solidFill>
                  <a:schemeClr val="bg1"/>
                </a:solidFill>
                <a:effectLst/>
                <a:latin typeface="+mn-lt"/>
                <a:ea typeface="+mn-ea"/>
                <a:cs typeface="+mn-cs"/>
              </a:rPr>
              <a:t>deliver</a:t>
            </a:r>
            <a:r>
              <a:rPr lang="en-IN" sz="1400" b="1">
                <a:solidFill>
                  <a:schemeClr val="dk1"/>
                </a:solidFill>
                <a:effectLst/>
                <a:latin typeface="+mn-lt"/>
                <a:ea typeface="+mn-ea"/>
                <a:cs typeface="+mn-cs"/>
              </a:rPr>
              <a:t> </a:t>
            </a:r>
            <a:endParaRPr lang="en-IN" sz="1400" b="1"/>
          </a:p>
        </xdr:txBody>
      </xdr:sp>
      <xdr:sp macro="" textlink="">
        <xdr:nvSpPr>
          <xdr:cNvPr id="21" name="TextBox 20">
            <a:extLst>
              <a:ext uri="{FF2B5EF4-FFF2-40B4-BE49-F238E27FC236}">
                <a16:creationId xmlns:a16="http://schemas.microsoft.com/office/drawing/2014/main" id="{66375BC8-2140-497F-A592-A9D4A3C2B85C}"/>
              </a:ext>
            </a:extLst>
          </xdr:cNvPr>
          <xdr:cNvSpPr txBox="1"/>
        </xdr:nvSpPr>
        <xdr:spPr>
          <a:xfrm>
            <a:off x="21364" y="1923611"/>
            <a:ext cx="1004203" cy="200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b="1" i="0">
                <a:solidFill>
                  <a:schemeClr val="dk1"/>
                </a:solidFill>
                <a:effectLst/>
                <a:latin typeface="+mn-lt"/>
                <a:ea typeface="+mn-ea"/>
                <a:cs typeface="+mn-cs"/>
              </a:rPr>
              <a:t>⭐</a:t>
            </a:r>
            <a:r>
              <a:rPr lang="en-IN" sz="1400" b="1">
                <a:solidFill>
                  <a:schemeClr val="dk1"/>
                </a:solidFill>
                <a:effectLst/>
                <a:latin typeface="+mn-lt"/>
                <a:ea typeface="+mn-ea"/>
                <a:cs typeface="+mn-cs"/>
              </a:rPr>
              <a:t> </a:t>
            </a:r>
            <a:r>
              <a:rPr lang="en-IN" sz="1400" b="1">
                <a:solidFill>
                  <a:schemeClr val="bg1"/>
                </a:solidFill>
                <a:effectLst/>
                <a:latin typeface="+mn-lt"/>
                <a:ea typeface="+mn-ea"/>
                <a:cs typeface="+mn-cs"/>
              </a:rPr>
              <a:t>Rating</a:t>
            </a:r>
            <a:r>
              <a:rPr lang="en-IN" sz="1400" b="1">
                <a:solidFill>
                  <a:schemeClr val="dk1"/>
                </a:solidFill>
                <a:effectLst/>
                <a:latin typeface="+mn-lt"/>
                <a:ea typeface="+mn-ea"/>
                <a:cs typeface="+mn-cs"/>
              </a:rPr>
              <a:t> </a:t>
            </a:r>
            <a:endParaRPr lang="en-IN" sz="1400" b="1"/>
          </a:p>
        </xdr:txBody>
      </xdr:sp>
      <xdr:graphicFrame macro="">
        <xdr:nvGraphicFramePr>
          <xdr:cNvPr id="26" name="Chart 25">
            <a:extLst>
              <a:ext uri="{FF2B5EF4-FFF2-40B4-BE49-F238E27FC236}">
                <a16:creationId xmlns:a16="http://schemas.microsoft.com/office/drawing/2014/main" id="{FCB6B565-6329-4D55-AD03-D18221CEA184}"/>
              </a:ext>
            </a:extLst>
          </xdr:cNvPr>
          <xdr:cNvGraphicFramePr>
            <a:graphicFrameLocks/>
          </xdr:cNvGraphicFramePr>
        </xdr:nvGraphicFramePr>
        <xdr:xfrm>
          <a:off x="1700662" y="180553"/>
          <a:ext cx="4561977" cy="272395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1" name="Chart 40">
            <a:extLst>
              <a:ext uri="{FF2B5EF4-FFF2-40B4-BE49-F238E27FC236}">
                <a16:creationId xmlns:a16="http://schemas.microsoft.com/office/drawing/2014/main" id="{AB1AFBB9-B013-45C1-8E89-2895753DADC0}"/>
              </a:ext>
            </a:extLst>
          </xdr:cNvPr>
          <xdr:cNvGraphicFramePr>
            <a:graphicFrameLocks/>
          </xdr:cNvGraphicFramePr>
        </xdr:nvGraphicFramePr>
        <xdr:xfrm>
          <a:off x="11176543" y="164263"/>
          <a:ext cx="4250601" cy="2735228"/>
        </xdr:xfrm>
        <a:graphic>
          <a:graphicData uri="http://schemas.openxmlformats.org/drawingml/2006/chart">
            <c:chart xmlns:c="http://schemas.openxmlformats.org/drawingml/2006/chart" xmlns:r="http://schemas.openxmlformats.org/officeDocument/2006/relationships" r:id="rId2"/>
          </a:graphicData>
        </a:graphic>
      </xdr:graphicFrame>
      <xdr:grpSp>
        <xdr:nvGrpSpPr>
          <xdr:cNvPr id="44" name="Group 43">
            <a:extLst>
              <a:ext uri="{FF2B5EF4-FFF2-40B4-BE49-F238E27FC236}">
                <a16:creationId xmlns:a16="http://schemas.microsoft.com/office/drawing/2014/main" id="{036D0FCC-13F4-4977-2662-950F1D16F3AE}"/>
              </a:ext>
            </a:extLst>
          </xdr:cNvPr>
          <xdr:cNvGrpSpPr/>
        </xdr:nvGrpSpPr>
        <xdr:grpSpPr>
          <a:xfrm>
            <a:off x="6425149" y="192570"/>
            <a:ext cx="4550683" cy="2697153"/>
            <a:chOff x="6447299" y="142761"/>
            <a:chExt cx="4543085" cy="2797778"/>
          </a:xfrm>
        </xdr:grpSpPr>
        <xdr:sp macro="" textlink="">
          <xdr:nvSpPr>
            <xdr:cNvPr id="39" name="Rectangle 38">
              <a:extLst>
                <a:ext uri="{FF2B5EF4-FFF2-40B4-BE49-F238E27FC236}">
                  <a16:creationId xmlns:a16="http://schemas.microsoft.com/office/drawing/2014/main" id="{4E1D4513-B0A2-F52D-AE34-F97DADCEA2E2}"/>
                </a:ext>
              </a:extLst>
            </xdr:cNvPr>
            <xdr:cNvSpPr/>
          </xdr:nvSpPr>
          <xdr:spPr>
            <a:xfrm>
              <a:off x="6447299" y="142761"/>
              <a:ext cx="4543085" cy="2797778"/>
            </a:xfrm>
            <a:prstGeom prst="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mc:AlternateContent xmlns:mc="http://schemas.openxmlformats.org/markup-compatibility/2006">
          <mc:Choice xmlns:a14="http://schemas.microsoft.com/office/drawing/2010/main" Requires="a14">
            <xdr:pic>
              <xdr:nvPicPr>
                <xdr:cNvPr id="43" name="Picture 42">
                  <a:extLst>
                    <a:ext uri="{FF2B5EF4-FFF2-40B4-BE49-F238E27FC236}">
                      <a16:creationId xmlns:a16="http://schemas.microsoft.com/office/drawing/2014/main" id="{FBA8CB41-90BE-A124-38A1-0C349DED2AB3}"/>
                    </a:ext>
                  </a:extLst>
                </xdr:cNvPr>
                <xdr:cNvPicPr>
                  <a:picLocks noChangeAspect="1" noChangeArrowheads="1"/>
                  <a:extLst>
                    <a:ext uri="{84589F7E-364E-4C9E-8A38-B11213B215E9}">
                      <a14:cameraTool cellRange="PivoteTable!$R$34:$V$39" spid="_x0000_s5164"/>
                    </a:ext>
                  </a:extLst>
                </xdr:cNvPicPr>
              </xdr:nvPicPr>
              <xdr:blipFill>
                <a:blip xmlns:r="http://schemas.openxmlformats.org/officeDocument/2006/relationships" r:embed="rId3"/>
                <a:srcRect/>
                <a:stretch>
                  <a:fillRect/>
                </a:stretch>
              </xdr:blipFill>
              <xdr:spPr bwMode="auto">
                <a:xfrm>
                  <a:off x="6673842" y="410668"/>
                  <a:ext cx="4073769" cy="2452077"/>
                </a:xfrm>
                <a:prstGeom prst="rect">
                  <a:avLst/>
                </a:prstGeom>
                <a:noFill/>
                <a:extLst>
                  <a:ext uri="{909E8E84-426E-40DD-AFC4-6F175D3DCCD1}">
                    <a14:hiddenFill>
                      <a:solidFill>
                        <a:srgbClr val="FFFFFF"/>
                      </a:solidFill>
                    </a14:hiddenFill>
                  </a:ext>
                </a:extLst>
              </xdr:spPr>
            </xdr:pic>
          </mc:Choice>
          <mc:Fallback/>
        </mc:AlternateContent>
      </xdr:grpSp>
      <xdr:grpSp>
        <xdr:nvGrpSpPr>
          <xdr:cNvPr id="16" name="Group 15">
            <a:extLst>
              <a:ext uri="{FF2B5EF4-FFF2-40B4-BE49-F238E27FC236}">
                <a16:creationId xmlns:a16="http://schemas.microsoft.com/office/drawing/2014/main" id="{26772F07-AE39-3B75-675D-6EAA78CE8175}"/>
              </a:ext>
            </a:extLst>
          </xdr:cNvPr>
          <xdr:cNvGrpSpPr/>
        </xdr:nvGrpSpPr>
        <xdr:grpSpPr>
          <a:xfrm>
            <a:off x="1716969" y="3071636"/>
            <a:ext cx="4539545" cy="5294489"/>
            <a:chOff x="1705152" y="3200033"/>
            <a:chExt cx="5367564" cy="4902200"/>
          </a:xfrm>
        </xdr:grpSpPr>
        <xdr:graphicFrame macro="">
          <xdr:nvGraphicFramePr>
            <xdr:cNvPr id="6" name="Chart 5">
              <a:extLst>
                <a:ext uri="{FF2B5EF4-FFF2-40B4-BE49-F238E27FC236}">
                  <a16:creationId xmlns:a16="http://schemas.microsoft.com/office/drawing/2014/main" id="{41D2C42C-D9E1-4222-9E29-E481B33C736C}"/>
                </a:ext>
              </a:extLst>
            </xdr:cNvPr>
            <xdr:cNvGraphicFramePr>
              <a:graphicFrameLocks/>
            </xdr:cNvGraphicFramePr>
          </xdr:nvGraphicFramePr>
          <xdr:xfrm>
            <a:off x="1705152" y="3200033"/>
            <a:ext cx="5367564" cy="49022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1" name="Chart 10">
              <a:extLst>
                <a:ext uri="{FF2B5EF4-FFF2-40B4-BE49-F238E27FC236}">
                  <a16:creationId xmlns:a16="http://schemas.microsoft.com/office/drawing/2014/main" id="{681CFBF3-A0C5-49F7-A315-641F356DF51C}"/>
                </a:ext>
              </a:extLst>
            </xdr:cNvPr>
            <xdr:cNvGraphicFramePr>
              <a:graphicFrameLocks/>
            </xdr:cNvGraphicFramePr>
          </xdr:nvGraphicFramePr>
          <xdr:xfrm>
            <a:off x="4385196" y="5811910"/>
            <a:ext cx="2631452" cy="2218614"/>
          </xdr:xfrm>
          <a:graphic>
            <a:graphicData uri="http://schemas.openxmlformats.org/drawingml/2006/chart">
              <c:chart xmlns:c="http://schemas.openxmlformats.org/drawingml/2006/chart" xmlns:r="http://schemas.openxmlformats.org/officeDocument/2006/relationships" r:id="rId5"/>
            </a:graphicData>
          </a:graphic>
        </xdr:graphicFrame>
      </xdr:grpSp>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13B0A331-03C3-466B-8059-408DCEA0595B}"/>
                  </a:ext>
                </a:extLst>
              </xdr:cNvPr>
              <xdr:cNvGraphicFramePr/>
            </xdr:nvGraphicFramePr>
            <xdr:xfrm>
              <a:off x="6402918" y="3090151"/>
              <a:ext cx="4564943" cy="5275974"/>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02918" y="3090151"/>
                <a:ext cx="4564943" cy="52759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837C7F99-450E-401B-ADEE-6EB14C548B55}"/>
                  </a:ext>
                </a:extLst>
              </xdr:cNvPr>
              <xdr:cNvGraphicFramePr/>
            </xdr:nvGraphicFramePr>
            <xdr:xfrm>
              <a:off x="9084550" y="3889807"/>
              <a:ext cx="1701470" cy="205546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084550" y="3889807"/>
                <a:ext cx="1701470" cy="20554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7" name="Chart 16">
            <a:extLst>
              <a:ext uri="{FF2B5EF4-FFF2-40B4-BE49-F238E27FC236}">
                <a16:creationId xmlns:a16="http://schemas.microsoft.com/office/drawing/2014/main" id="{00F42B78-523E-4E54-B81B-704614CE5995}"/>
              </a:ext>
            </a:extLst>
          </xdr:cNvPr>
          <xdr:cNvGraphicFramePr>
            <a:graphicFrameLocks/>
          </xdr:cNvGraphicFramePr>
        </xdr:nvGraphicFramePr>
        <xdr:xfrm>
          <a:off x="11171030" y="3089361"/>
          <a:ext cx="4264996" cy="2635928"/>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2" name="Chart 21">
            <a:extLst>
              <a:ext uri="{FF2B5EF4-FFF2-40B4-BE49-F238E27FC236}">
                <a16:creationId xmlns:a16="http://schemas.microsoft.com/office/drawing/2014/main" id="{E05181A0-9E32-4BA1-BA3C-853A78DEBB13}"/>
              </a:ext>
            </a:extLst>
          </xdr:cNvPr>
          <xdr:cNvGraphicFramePr>
            <a:graphicFrameLocks/>
          </xdr:cNvGraphicFramePr>
        </xdr:nvGraphicFramePr>
        <xdr:xfrm>
          <a:off x="11161889" y="5864141"/>
          <a:ext cx="4264718" cy="2495963"/>
        </xdr:xfrm>
        <a:graphic>
          <a:graphicData uri="http://schemas.openxmlformats.org/drawingml/2006/chart">
            <c:chart xmlns:c="http://schemas.openxmlformats.org/drawingml/2006/chart" xmlns:r="http://schemas.openxmlformats.org/officeDocument/2006/relationships" r:id="rId9"/>
          </a:graphicData>
        </a:graphic>
      </xdr:graphicFrame>
      <mc:AlternateContent xmlns:mc="http://schemas.openxmlformats.org/markup-compatibility/2006">
        <mc:Choice xmlns:a14="http://schemas.microsoft.com/office/drawing/2010/main" Requires="a14">
          <xdr:graphicFrame macro="">
            <xdr:nvGraphicFramePr>
              <xdr:cNvPr id="23" name="Order Mode 1">
                <a:extLst>
                  <a:ext uri="{FF2B5EF4-FFF2-40B4-BE49-F238E27FC236}">
                    <a16:creationId xmlns:a16="http://schemas.microsoft.com/office/drawing/2014/main" id="{547D45D9-6C84-4846-B4C1-5886C6C1EE88}"/>
                  </a:ext>
                </a:extLst>
              </xdr:cNvPr>
              <xdr:cNvGraphicFramePr/>
            </xdr:nvGraphicFramePr>
            <xdr:xfrm>
              <a:off x="65012" y="3044722"/>
              <a:ext cx="1342823" cy="1833691"/>
            </xdr:xfrm>
            <a:graphic>
              <a:graphicData uri="http://schemas.microsoft.com/office/drawing/2010/slicer">
                <sle:slicer xmlns:sle="http://schemas.microsoft.com/office/drawing/2010/slicer" name="Order Mode 1"/>
              </a:graphicData>
            </a:graphic>
          </xdr:graphicFrame>
        </mc:Choice>
        <mc:Fallback>
          <xdr:sp macro="" textlink="">
            <xdr:nvSpPr>
              <xdr:cNvPr id="0" name=""/>
              <xdr:cNvSpPr>
                <a:spLocks noTextEdit="1"/>
              </xdr:cNvSpPr>
            </xdr:nvSpPr>
            <xdr:spPr>
              <a:xfrm>
                <a:off x="65012" y="3044722"/>
                <a:ext cx="1342823" cy="18336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Gender Value 1">
                <a:extLst>
                  <a:ext uri="{FF2B5EF4-FFF2-40B4-BE49-F238E27FC236}">
                    <a16:creationId xmlns:a16="http://schemas.microsoft.com/office/drawing/2014/main" id="{1973188C-D5AE-49AC-BAD6-EDE0F1879299}"/>
                  </a:ext>
                </a:extLst>
              </xdr:cNvPr>
              <xdr:cNvGraphicFramePr/>
            </xdr:nvGraphicFramePr>
            <xdr:xfrm>
              <a:off x="56287" y="5005215"/>
              <a:ext cx="1336430" cy="1551412"/>
            </xdr:xfrm>
            <a:graphic>
              <a:graphicData uri="http://schemas.microsoft.com/office/drawing/2010/slicer">
                <sle:slicer xmlns:sle="http://schemas.microsoft.com/office/drawing/2010/slicer" name="Gender Value 1"/>
              </a:graphicData>
            </a:graphic>
          </xdr:graphicFrame>
        </mc:Choice>
        <mc:Fallback>
          <xdr:sp macro="" textlink="">
            <xdr:nvSpPr>
              <xdr:cNvPr id="0" name=""/>
              <xdr:cNvSpPr>
                <a:spLocks noTextEdit="1"/>
              </xdr:cNvSpPr>
            </xdr:nvSpPr>
            <xdr:spPr>
              <a:xfrm>
                <a:off x="56287" y="5005215"/>
                <a:ext cx="1336430" cy="1551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Rating C 1">
                <a:extLst>
                  <a:ext uri="{FF2B5EF4-FFF2-40B4-BE49-F238E27FC236}">
                    <a16:creationId xmlns:a16="http://schemas.microsoft.com/office/drawing/2014/main" id="{B35C9558-FC94-4E20-A2F0-9E4B68C501EE}"/>
                  </a:ext>
                </a:extLst>
              </xdr:cNvPr>
              <xdr:cNvGraphicFramePr/>
            </xdr:nvGraphicFramePr>
            <xdr:xfrm>
              <a:off x="68036" y="6712857"/>
              <a:ext cx="1308806" cy="1793624"/>
            </xdr:xfrm>
            <a:graphic>
              <a:graphicData uri="http://schemas.microsoft.com/office/drawing/2010/slicer">
                <sle:slicer xmlns:sle="http://schemas.microsoft.com/office/drawing/2010/slicer" name="Rating C 1"/>
              </a:graphicData>
            </a:graphic>
          </xdr:graphicFrame>
        </mc:Choice>
        <mc:Fallback>
          <xdr:sp macro="" textlink="">
            <xdr:nvSpPr>
              <xdr:cNvPr id="0" name=""/>
              <xdr:cNvSpPr>
                <a:spLocks noTextEdit="1"/>
              </xdr:cNvSpPr>
            </xdr:nvSpPr>
            <xdr:spPr>
              <a:xfrm>
                <a:off x="68036" y="6712857"/>
                <a:ext cx="1308806" cy="1793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27" name="TextBox 26">
            <a:extLst>
              <a:ext uri="{FF2B5EF4-FFF2-40B4-BE49-F238E27FC236}">
                <a16:creationId xmlns:a16="http://schemas.microsoft.com/office/drawing/2014/main" id="{26D2C91F-86C8-ED5A-D966-EE4CE9969CAE}"/>
              </a:ext>
            </a:extLst>
          </xdr:cNvPr>
          <xdr:cNvSpPr txBox="1"/>
        </xdr:nvSpPr>
        <xdr:spPr>
          <a:xfrm>
            <a:off x="7107787" y="279697"/>
            <a:ext cx="3249977" cy="19948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mn-lt"/>
              </a:rPr>
              <a:t>Which sources</a:t>
            </a:r>
            <a:r>
              <a:rPr lang="en-IN" sz="1100" baseline="0">
                <a:latin typeface="+mn-lt"/>
              </a:rPr>
              <a:t> they most buying based on gender</a:t>
            </a:r>
            <a:endParaRPr lang="en-IN" sz="1100">
              <a:latin typeface="+mn-lt"/>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rudatta Patil" refreshedDate="46198.824530902777" createdVersion="8" refreshedVersion="8" minRefreshableVersion="3" recordCount="2400" xr:uid="{34C32B7D-8801-4699-8E6D-80DE0E4340E6}">
  <cacheSource type="worksheet">
    <worksheetSource name="orders"/>
  </cacheSource>
  <cacheFields count="20">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ount="1764">
        <n v="10.9"/>
        <n v="61.2"/>
        <n v="328.20000000000005"/>
        <n v="263.90000000000003"/>
        <n v="170.10000000000002"/>
        <n v="1002"/>
        <n v="55.3"/>
        <n v="80.599999999999994"/>
        <n v="392.70000000000005"/>
        <n v="156.79999999999998"/>
        <n v="108.8"/>
        <n v="98"/>
        <n v="830.19999999999993"/>
        <n v="2386.8000000000002"/>
        <n v="66.7"/>
        <n v="309"/>
        <n v="93.300000000000011"/>
        <n v="109.80000000000001"/>
        <n v="408.8"/>
        <n v="25.2"/>
        <n v="219"/>
        <n v="560.40000000000009"/>
        <n v="1518.1000000000001"/>
        <n v="211.2"/>
        <n v="710.4"/>
        <n v="175"/>
        <n v="348.3"/>
        <n v="228.8"/>
        <n v="254.5"/>
        <n v="287"/>
        <n v="133.70000000000002"/>
        <n v="830.5"/>
        <n v="89.699999999999989"/>
        <n v="130.19999999999999"/>
        <n v="64"/>
        <n v="31.6"/>
        <n v="3452.7"/>
        <n v="507"/>
        <n v="26.5"/>
        <n v="43.1"/>
        <n v="417"/>
        <n v="80.7"/>
        <n v="109"/>
        <n v="205.79999999999998"/>
        <n v="543.6"/>
        <n v="283.60000000000002"/>
        <n v="318.5"/>
        <n v="29.7"/>
        <n v="80.400000000000006"/>
        <n v="27"/>
        <n v="41.4"/>
        <n v="48.6"/>
        <n v="125.10000000000001"/>
        <n v="36"/>
        <n v="273.89999999999998"/>
        <n v="154.4"/>
        <n v="821.6"/>
        <n v="299.7"/>
        <n v="128.4"/>
        <n v="69.300000000000011"/>
        <n v="142.19999999999999"/>
        <n v="23"/>
        <n v="1314.8"/>
        <n v="26.8"/>
        <n v="93.6"/>
        <n v="226.4"/>
        <n v="168"/>
        <n v="178.2"/>
        <n v="97.7"/>
        <n v="390.8"/>
        <n v="89.6"/>
        <n v="511.2"/>
        <n v="35.799999999999997"/>
        <n v="96.8"/>
        <n v="177.6"/>
        <n v="829.6"/>
        <n v="234.4"/>
        <n v="219.2"/>
        <n v="236.39999999999998"/>
        <n v="184"/>
        <n v="303.60000000000002"/>
        <n v="110.39999999999999"/>
        <n v="376.2"/>
        <n v="77.3"/>
        <n v="79.2"/>
        <n v="62"/>
        <n v="46.8"/>
        <n v="257.40000000000003"/>
        <n v="273.5"/>
        <n v="783"/>
        <n v="100.8"/>
        <n v="799.5"/>
        <n v="120.4"/>
        <n v="374"/>
        <n v="194.70000000000002"/>
        <n v="101"/>
        <n v="441"/>
        <n v="280.79999999999995"/>
        <n v="1242"/>
        <n v="320"/>
        <n v="115.5"/>
        <n v="106"/>
        <n v="55.5"/>
        <n v="253.5"/>
        <n v="218.4"/>
        <n v="586.80000000000007"/>
        <n v="181.6"/>
        <n v="1440"/>
        <n v="75.599999999999994"/>
        <n v="32"/>
        <n v="74.599999999999994"/>
        <n v="119.8"/>
        <n v="52.8"/>
        <n v="459"/>
        <n v="457"/>
        <n v="1111.1999999999998"/>
        <n v="360.6"/>
        <n v="132.89999999999998"/>
        <n v="189.89999999999998"/>
        <n v="66.8"/>
        <n v="119.4"/>
        <n v="552"/>
        <n v="175.2"/>
        <n v="232.6"/>
        <n v="263.5"/>
        <n v="102.60000000000001"/>
        <n v="23.3"/>
        <n v="673.4"/>
        <n v="1592.1"/>
        <n v="227.39999999999998"/>
        <n v="404.09999999999997"/>
        <n v="97.6"/>
        <n v="20.3"/>
        <n v="254.79999999999998"/>
        <n v="19"/>
        <n v="17.8"/>
        <n v="837.59999999999991"/>
        <n v="31.7"/>
        <n v="210.4"/>
        <n v="95.6"/>
        <n v="208.20000000000002"/>
        <n v="309.60000000000002"/>
        <n v="105.6"/>
        <n v="62.8"/>
        <n v="39.700000000000003"/>
        <n v="124.4"/>
        <n v="351"/>
        <n v="228.4"/>
        <n v="449.5"/>
        <n v="336.7"/>
        <n v="58.6"/>
        <n v="115.2"/>
        <n v="202.5"/>
        <n v="911.39999999999986"/>
        <n v="161.19999999999999"/>
        <n v="259"/>
        <n v="183.89999999999998"/>
        <n v="490"/>
        <n v="112.5"/>
        <n v="300"/>
        <n v="120"/>
        <n v="308"/>
        <n v="172.8"/>
        <n v="50.7"/>
        <n v="122"/>
        <n v="39.799999999999997"/>
        <n v="78.3"/>
        <n v="197.6"/>
        <n v="36.1"/>
        <n v="34.6"/>
        <n v="61"/>
        <n v="4346.2"/>
        <n v="76.099999999999994"/>
        <n v="444.6"/>
        <n v="151.5"/>
        <n v="262.5"/>
        <n v="315.7"/>
        <n v="364"/>
        <n v="13.3"/>
        <n v="47.099999999999994"/>
        <n v="51.2"/>
        <n v="43.4"/>
        <n v="300.59999999999997"/>
        <n v="1045"/>
        <n v="70.800000000000011"/>
        <n v="936"/>
        <n v="103.6"/>
        <n v="172.5"/>
        <n v="5654.5"/>
        <n v="334.59999999999997"/>
        <n v="20.399999999999999"/>
        <n v="328"/>
        <n v="355.59999999999997"/>
        <n v="118.80000000000001"/>
        <n v="139"/>
        <n v="260.8"/>
        <n v="98.2"/>
        <n v="98.8"/>
        <n v="455.69999999999993"/>
        <n v="104.2"/>
        <n v="516.79999999999995"/>
        <n v="1554.2"/>
        <n v="24.9"/>
        <n v="148.19999999999999"/>
        <n v="45.4"/>
        <n v="545.5"/>
        <n v="215.6"/>
        <n v="551.19999999999993"/>
        <n v="276"/>
        <n v="138.60000000000002"/>
        <n v="487"/>
        <n v="105"/>
        <n v="65.400000000000006"/>
        <n v="192"/>
        <n v="204.60000000000002"/>
        <n v="107.8"/>
        <n v="248.4"/>
        <n v="231.70000000000002"/>
        <n v="176"/>
        <n v="96.300000000000011"/>
        <n v="38.1"/>
        <n v="65.2"/>
        <n v="386.40000000000003"/>
        <n v="137.69999999999999"/>
        <n v="174.89999999999998"/>
        <n v="44.6"/>
        <n v="213"/>
        <n v="2369.7999999999997"/>
        <n v="202.79999999999998"/>
        <n v="400.20000000000005"/>
        <n v="212.4"/>
        <n v="172.2"/>
        <n v="290.5"/>
        <n v="95.4"/>
        <n v="94.5"/>
        <n v="391.3"/>
        <n v="72.8"/>
        <n v="236.5"/>
        <n v="247.5"/>
        <n v="14.3"/>
        <n v="345.6"/>
        <n v="427.20000000000005"/>
        <n v="30.2"/>
        <n v="195.89999999999998"/>
        <n v="90.2"/>
        <n v="431.90000000000003"/>
        <n v="135.30000000000001"/>
        <n v="113.5"/>
        <n v="17.600000000000001"/>
        <n v="22.6"/>
        <n v="160.19999999999999"/>
        <n v="562.1"/>
        <n v="55"/>
        <n v="33.5"/>
        <n v="59.5"/>
        <n v="94"/>
        <n v="49.7"/>
        <n v="176.8"/>
        <n v="22.1"/>
        <n v="272.70000000000005"/>
        <n v="133.5"/>
        <n v="193.79999999999998"/>
        <n v="243.5"/>
        <n v="527.20000000000005"/>
        <n v="209.5"/>
        <n v="337.5"/>
        <n v="60.4"/>
        <n v="212.79999999999998"/>
        <n v="49"/>
        <n v="317.70000000000005"/>
        <n v="621.59999999999991"/>
        <n v="200.39999999999998"/>
        <n v="336.9"/>
        <n v="564.59999999999991"/>
        <n v="40.700000000000003"/>
        <n v="142.80000000000001"/>
        <n v="280.8"/>
        <n v="151.19999999999999"/>
        <n v="84.300000000000011"/>
        <n v="308.39999999999998"/>
        <n v="195.4"/>
        <n v="255.2"/>
        <n v="40.200000000000003"/>
        <n v="16.2"/>
        <n v="566.30000000000007"/>
        <n v="571.20000000000005"/>
        <n v="563.20000000000005"/>
        <n v="53.5"/>
        <n v="381.70000000000005"/>
        <n v="306.90000000000003"/>
        <n v="1435.7"/>
        <n v="55.2"/>
        <n v="78"/>
        <n v="28.4"/>
        <n v="204.29999999999998"/>
        <n v="297"/>
        <n v="95.1"/>
        <n v="121.6"/>
        <n v="102.4"/>
        <n v="69.8"/>
        <n v="256.20000000000005"/>
        <n v="23.9"/>
        <n v="124.3"/>
        <n v="215.39999999999998"/>
        <n v="138.19999999999999"/>
        <n v="58.4"/>
        <n v="555.90000000000009"/>
        <n v="170.79999999999998"/>
        <n v="200"/>
        <n v="129"/>
        <n v="322"/>
        <n v="114.8"/>
        <n v="165.3"/>
        <n v="279.89999999999998"/>
        <n v="3005.7999999999997"/>
        <n v="149.80000000000001"/>
        <n v="182"/>
        <n v="225"/>
        <n v="151.6"/>
        <n v="48.5"/>
        <n v="296.70000000000005"/>
        <n v="610.79999999999995"/>
        <n v="508.20000000000005"/>
        <n v="20.7"/>
        <n v="520.19999999999993"/>
        <n v="213.8"/>
        <n v="226"/>
        <n v="449.8"/>
        <n v="43.8"/>
        <n v="36.700000000000003"/>
        <n v="81.599999999999994"/>
        <n v="58.2"/>
        <n v="76.800000000000011"/>
        <n v="21.2"/>
        <n v="96.4"/>
        <n v="333.6"/>
        <n v="135.89999999999998"/>
        <n v="42"/>
        <n v="196.20000000000002"/>
        <n v="385.2"/>
        <n v="135"/>
        <n v="39.6"/>
        <n v="239.39999999999998"/>
        <n v="254.4"/>
        <n v="927"/>
        <n v="193.6"/>
        <n v="288"/>
        <n v="324"/>
        <n v="431.2"/>
        <n v="435.59999999999997"/>
        <n v="99.8"/>
        <n v="155.10000000000002"/>
        <n v="125.39999999999999"/>
        <n v="144.80000000000001"/>
        <n v="150.9"/>
        <n v="310.39999999999998"/>
        <n v="327.5"/>
        <n v="270.29999999999995"/>
        <n v="216.6"/>
        <n v="179.7"/>
        <n v="2363"/>
        <n v="261.89999999999998"/>
        <n v="169.2"/>
        <n v="828.8"/>
        <n v="181.8"/>
        <n v="1614.4"/>
        <n v="180"/>
        <n v="499.79999999999995"/>
        <n v="1025.0999999999999"/>
        <n v="721.8"/>
        <n v="340"/>
        <n v="948"/>
        <n v="74"/>
        <n v="302"/>
        <n v="138.6"/>
        <n v="405"/>
        <n v="124.5"/>
        <n v="139.4"/>
        <n v="418"/>
        <n v="150.5"/>
        <n v="112.80000000000001"/>
        <n v="140.4"/>
        <n v="25.4"/>
        <n v="137"/>
        <n v="122.6"/>
        <n v="129.4"/>
        <n v="365.6"/>
        <n v="66.2"/>
        <n v="139.19999999999999"/>
        <n v="494.19999999999993"/>
        <n v="32.200000000000003"/>
        <n v="55.8"/>
        <n v="47.1"/>
        <n v="170"/>
        <n v="178"/>
        <n v="304.5"/>
        <n v="579.5"/>
        <n v="215.4"/>
        <n v="1484.6000000000001"/>
        <n v="1117"/>
        <n v="310.09999999999997"/>
        <n v="766.4"/>
        <n v="158.20000000000002"/>
        <n v="204.8"/>
        <n v="868.8"/>
        <n v="666.9"/>
        <n v="31.2"/>
        <n v="90.9"/>
        <n v="60.6"/>
        <n v="159"/>
        <n v="1078.2"/>
        <n v="91.4"/>
        <n v="184.4"/>
        <n v="52.5"/>
        <n v="109.5"/>
        <n v="95"/>
        <n v="228"/>
        <n v="998"/>
        <n v="67.800000000000011"/>
        <n v="1903.5"/>
        <n v="200.6"/>
        <n v="442.8"/>
        <n v="94.6"/>
        <n v="285.59999999999997"/>
        <n v="393.6"/>
        <n v="28.5"/>
        <n v="73.599999999999994"/>
        <n v="100.5"/>
        <n v="375"/>
        <n v="1916"/>
        <n v="557.40000000000009"/>
        <n v="132.30000000000001"/>
        <n v="11.4"/>
        <n v="83.7"/>
        <n v="46.4"/>
        <n v="162.1"/>
        <n v="196.8"/>
        <n v="531"/>
        <n v="44.8"/>
        <n v="376.5"/>
        <n v="42.6"/>
        <n v="245"/>
        <n v="93.9"/>
        <n v="170.8"/>
        <n v="160"/>
        <n v="77"/>
        <n v="115.6"/>
        <n v="19.2"/>
        <n v="688.8"/>
        <n v="338.8"/>
        <n v="366"/>
        <n v="97.2"/>
        <n v="292.20000000000005"/>
        <n v="64.400000000000006"/>
        <n v="206.4"/>
        <n v="189.6"/>
        <n v="1420"/>
        <n v="292.8"/>
        <n v="50.400000000000006"/>
        <n v="393.79999999999995"/>
        <n v="64.900000000000006"/>
        <n v="207"/>
        <n v="82.4"/>
        <n v="37.799999999999997"/>
        <n v="85.2"/>
        <n v="152"/>
        <n v="55.4"/>
        <n v="249.60000000000002"/>
        <n v="145.4"/>
        <n v="42.4"/>
        <n v="83"/>
        <n v="530.1"/>
        <n v="57.1"/>
        <n v="57.2"/>
        <n v="70.2"/>
        <n v="52.1"/>
        <n v="179.39999999999998"/>
        <n v="333.2"/>
        <n v="495.59999999999997"/>
        <n v="80"/>
        <n v="41.6"/>
        <n v="758.80000000000007"/>
        <n v="77.8"/>
        <n v="21.6"/>
        <n v="629.19999999999993"/>
        <n v="87.6"/>
        <n v="50.2"/>
        <n v="196.79999999999998"/>
        <n v="114.6"/>
        <n v="411.3"/>
        <n v="1628"/>
        <n v="78.400000000000006"/>
        <n v="1065.9000000000001"/>
        <n v="120.2"/>
        <n v="45.8"/>
        <n v="75.2"/>
        <n v="39.200000000000003"/>
        <n v="90.5"/>
        <n v="372.9"/>
        <n v="65.599999999999994"/>
        <n v="49.9"/>
        <n v="396"/>
        <n v="312"/>
        <n v="72"/>
        <n v="41.2"/>
        <n v="1672"/>
        <n v="2235"/>
        <n v="157.19999999999999"/>
        <n v="68.5"/>
        <n v="67.5"/>
        <n v="48"/>
        <n v="65.699999999999989"/>
        <n v="454.30000000000007"/>
        <n v="52.9"/>
        <n v="76.5"/>
        <n v="155.69999999999999"/>
        <n v="46.3"/>
        <n v="136.4"/>
        <n v="40.299999999999997"/>
        <n v="35.700000000000003"/>
        <n v="127"/>
        <n v="54.2"/>
        <n v="164.2"/>
        <n v="214.5"/>
        <n v="416.9"/>
        <n v="22.4"/>
        <n v="1038.7"/>
        <n v="70.599999999999994"/>
        <n v="49.5"/>
        <n v="193.2"/>
        <n v="101.7"/>
        <n v="134.5"/>
        <n v="844"/>
        <n v="84.4"/>
        <n v="26.6"/>
        <n v="53"/>
        <n v="258.8"/>
        <n v="289.3"/>
        <n v="47.8"/>
        <n v="128.39999999999998"/>
        <n v="234"/>
        <n v="641"/>
        <n v="89.1"/>
        <n v="249.29999999999998"/>
        <n v="122.69999999999999"/>
        <n v="251.4"/>
        <n v="61.8"/>
        <n v="36.6"/>
        <n v="113"/>
        <n v="209.29999999999998"/>
        <n v="85.8"/>
        <n v="1065.5999999999999"/>
        <n v="281.2"/>
        <n v="124"/>
        <n v="489.59999999999997"/>
        <n v="1457.5"/>
        <n v="80.2"/>
        <n v="117.60000000000001"/>
        <n v="30.8"/>
        <n v="505.6"/>
        <n v="214.20000000000002"/>
        <n v="524"/>
        <n v="150.80000000000001"/>
        <n v="1482.4"/>
        <n v="69.2"/>
        <n v="116.4"/>
        <n v="532"/>
        <n v="306.60000000000002"/>
        <n v="105.4"/>
        <n v="57.7"/>
        <n v="125"/>
        <n v="55.800000000000004"/>
        <n v="58.8"/>
        <n v="44.2"/>
        <n v="114.9"/>
        <n v="379"/>
        <n v="103"/>
        <n v="203.70000000000002"/>
        <n v="50.6"/>
        <n v="110.5"/>
        <n v="128.69999999999999"/>
        <n v="686.4"/>
        <n v="327.59999999999997"/>
        <n v="45"/>
        <n v="283.2"/>
        <n v="283"/>
        <n v="95.8"/>
        <n v="627.20000000000005"/>
        <n v="1709.3999999999999"/>
        <n v="167.4"/>
        <n v="391.6"/>
        <n v="15"/>
        <n v="283.79999999999995"/>
        <n v="118.19999999999999"/>
        <n v="46.7"/>
        <n v="172"/>
        <n v="243"/>
        <n v="173.6"/>
        <n v="246.4"/>
        <n v="146.10000000000002"/>
        <n v="261.39999999999998"/>
        <n v="26"/>
        <n v="472"/>
        <n v="448.79999999999995"/>
        <n v="1987.2"/>
        <n v="513.9"/>
        <n v="167.29999999999998"/>
        <n v="34.1"/>
        <n v="154"/>
        <n v="210"/>
        <n v="74.400000000000006"/>
        <n v="75"/>
        <n v="169.9"/>
        <n v="144.4"/>
        <n v="20"/>
        <n v="232"/>
        <n v="86.2"/>
        <n v="672.30000000000007"/>
        <n v="128.19999999999999"/>
        <n v="106.8"/>
        <n v="189"/>
        <n v="452.90000000000003"/>
        <n v="111.2"/>
        <n v="72.400000000000006"/>
        <n v="126"/>
        <n v="144.30000000000001"/>
        <n v="86.8"/>
        <n v="31.8"/>
        <n v="126.4"/>
        <n v="259.2"/>
        <n v="54.4"/>
        <n v="87.3"/>
        <n v="129.6"/>
        <n v="177.4"/>
        <n v="140.19999999999999"/>
        <n v="399.5"/>
        <n v="57.6"/>
        <n v="597"/>
        <n v="150"/>
        <n v="138.4"/>
        <n v="87.2"/>
        <n v="122.2"/>
        <n v="223.2"/>
        <n v="99.2"/>
        <n v="359.70000000000005"/>
        <n v="90"/>
        <n v="102.2"/>
        <n v="97.5"/>
        <n v="78.099999999999994"/>
        <n v="661.2"/>
        <n v="258.89999999999998"/>
        <n v="441.59999999999997"/>
        <n v="880.1"/>
        <n v="853.19999999999993"/>
        <n v="412.2"/>
        <n v="48.4"/>
        <n v="434.70000000000005"/>
        <n v="164"/>
        <n v="357"/>
        <n v="109.2"/>
        <n v="71.400000000000006"/>
        <n v="104.8"/>
        <n v="226.79999999999998"/>
        <n v="2011.6"/>
        <n v="1299.6000000000001"/>
        <n v="1101.6000000000001"/>
        <n v="235"/>
        <n v="211.4"/>
        <n v="401.09999999999997"/>
        <n v="585.9"/>
        <n v="18.600000000000001"/>
        <n v="1015.3"/>
        <n v="245.10000000000002"/>
        <n v="81.8"/>
        <n v="283.8"/>
        <n v="145.6"/>
        <n v="59.1"/>
        <n v="1266.5"/>
        <n v="549.20000000000005"/>
        <n v="214.8"/>
        <n v="706.30000000000007"/>
        <n v="83.6"/>
        <n v="355.6"/>
        <n v="62.5"/>
        <n v="140.69999999999999"/>
        <n v="135.60000000000002"/>
        <n v="474.8"/>
        <n v="57.8"/>
        <n v="19.5"/>
        <n v="149.6"/>
        <n v="181.5"/>
        <n v="400.40000000000003"/>
        <n v="224"/>
        <n v="67.400000000000006"/>
        <n v="106.80000000000001"/>
        <n v="1064"/>
        <n v="602.40000000000009"/>
        <n v="87.4"/>
        <n v="33.299999999999997"/>
        <n v="591"/>
        <n v="86.699999999999989"/>
        <n v="166.8"/>
        <n v="66.300000000000011"/>
        <n v="1391.6000000000001"/>
        <n v="399.59999999999997"/>
        <n v="45.2"/>
        <n v="1202.3999999999999"/>
        <n v="83.2"/>
        <n v="717.5"/>
        <n v="446.40000000000003"/>
        <n v="973.4"/>
        <n v="296.5"/>
        <n v="591.59999999999991"/>
        <n v="389.2"/>
        <n v="76.8"/>
        <n v="379.79999999999995"/>
        <n v="46"/>
        <n v="114"/>
        <n v="797"/>
        <n v="244"/>
        <n v="339.5"/>
        <n v="247.2"/>
        <n v="46.1"/>
        <n v="264"/>
        <n v="191.4"/>
        <n v="94.4"/>
        <n v="117.2"/>
        <n v="171"/>
        <n v="303.5"/>
        <n v="304"/>
        <n v="323"/>
        <n v="21.9"/>
        <n v="400.79999999999995"/>
        <n v="51.7"/>
        <n v="339.6"/>
        <n v="685.3"/>
        <n v="39.5"/>
        <n v="92.699999999999989"/>
        <n v="844.8"/>
        <n v="157.80000000000001"/>
        <n v="1632"/>
        <n v="1382"/>
        <n v="90.6"/>
        <n v="230.2"/>
        <n v="316"/>
        <n v="68.2"/>
        <n v="539.5"/>
        <n v="630.5"/>
        <n v="104.10000000000001"/>
        <n v="16.8"/>
        <n v="167.7"/>
        <n v="266"/>
        <n v="312.60000000000002"/>
        <n v="38"/>
        <n v="254.39999999999998"/>
        <n v="255.6"/>
        <n v="196.5"/>
        <n v="232.4"/>
        <n v="91.6"/>
        <n v="161.10000000000002"/>
        <n v="216"/>
        <n v="568.20000000000005"/>
        <n v="167.2"/>
        <n v="201.60000000000002"/>
        <n v="296.39999999999998"/>
        <n v="222"/>
        <n v="175.5"/>
        <n v="592"/>
        <n v="1332"/>
        <n v="129.19999999999999"/>
        <n v="285.89999999999998"/>
        <n v="77.400000000000006"/>
        <n v="23.2"/>
        <n v="52.3"/>
        <n v="1122"/>
        <n v="173"/>
        <n v="225.6"/>
        <n v="497.7"/>
        <n v="2114"/>
        <n v="23.6"/>
        <n v="141.4"/>
        <n v="86.4"/>
        <n v="630"/>
        <n v="41"/>
        <n v="482.40000000000003"/>
        <n v="361.5"/>
        <n v="90.4"/>
        <n v="88.4"/>
        <n v="282.29999999999995"/>
        <n v="53.699999999999996"/>
        <n v="368.90000000000003"/>
        <n v="36.799999999999997"/>
        <n v="267.60000000000002"/>
        <n v="106.4"/>
        <n v="112.19999999999999"/>
        <n v="435.2"/>
        <n v="192.5"/>
        <n v="465"/>
        <n v="20.9"/>
        <n v="107.6"/>
        <n v="73.800000000000011"/>
        <n v="212.70000000000002"/>
        <n v="95.699999999999989"/>
        <n v="40.799999999999997"/>
        <n v="37.200000000000003"/>
        <n v="241.5"/>
        <n v="110.8"/>
        <n v="108"/>
        <n v="184.1"/>
        <n v="721"/>
        <n v="699"/>
        <n v="161"/>
        <n v="66"/>
        <n v="50.4"/>
        <n v="412.20000000000005"/>
        <n v="66.599999999999994"/>
        <n v="252"/>
        <n v="89.8"/>
        <n v="214.79999999999998"/>
        <n v="277.5"/>
        <n v="955.5"/>
        <n v="67.599999999999994"/>
        <n v="229.5"/>
        <n v="127.80000000000001"/>
        <n v="147.30000000000001"/>
        <n v="85.3"/>
        <n v="172.4"/>
        <n v="184.8"/>
        <n v="47.2"/>
        <n v="1101.5999999999999"/>
        <n v="24.7"/>
        <n v="154.70000000000002"/>
        <n v="18.100000000000001"/>
        <n v="117.6"/>
        <n v="61.6"/>
        <n v="24"/>
        <n v="17.899999999999999"/>
        <n v="77.2"/>
        <n v="163.5"/>
        <n v="222.8"/>
        <n v="481.79999999999995"/>
        <n v="117.8"/>
        <n v="150.89999999999998"/>
        <n v="270"/>
        <n v="268.20000000000005"/>
        <n v="495"/>
        <n v="224.5"/>
        <n v="329.7"/>
        <n v="130.5"/>
        <n v="334"/>
        <n v="335.8"/>
        <n v="311.40000000000003"/>
        <n v="105.30000000000001"/>
        <n v="37.9"/>
        <n v="96"/>
        <n v="101.2"/>
        <n v="408.5"/>
        <n v="101.4"/>
        <n v="1278.7"/>
        <n v="1348.6"/>
        <n v="32.9"/>
        <n v="201.6"/>
        <n v="100.4"/>
        <n v="67.2"/>
        <n v="39.299999999999997"/>
        <n v="488"/>
        <n v="582.4"/>
        <n v="369.6"/>
        <n v="2659.2"/>
        <n v="343.2"/>
        <n v="1515.8"/>
        <n v="377.3"/>
        <n v="106.2"/>
        <n v="224.8"/>
        <n v="773"/>
        <n v="751.4"/>
        <n v="631.5"/>
        <n v="205.20000000000002"/>
        <n v="513.29999999999995"/>
        <n v="28"/>
        <n v="351.40000000000003"/>
        <n v="112"/>
        <n v="76.599999999999994"/>
        <n v="111.5"/>
        <n v="66.900000000000006"/>
        <n v="188"/>
        <n v="61.4"/>
        <n v="452.5"/>
        <n v="126.5"/>
        <n v="174.3"/>
        <n v="224.70000000000002"/>
        <n v="65"/>
        <n v="310"/>
        <n v="173.39999999999998"/>
        <n v="342.4"/>
        <n v="315.2"/>
        <n v="199.20000000000002"/>
        <n v="143.6"/>
        <n v="55.1"/>
        <n v="274.3"/>
        <n v="169"/>
        <n v="224.4"/>
        <n v="58.5"/>
        <n v="84.2"/>
        <n v="208"/>
        <n v="157.5"/>
        <n v="810"/>
        <n v="276.60000000000002"/>
        <n v="396.90000000000003"/>
        <n v="297.7"/>
        <n v="1018.4"/>
        <n v="500.40000000000003"/>
        <n v="372.29999999999995"/>
        <n v="946.39999999999986"/>
        <n v="353.4"/>
        <n v="162"/>
        <n v="445"/>
        <n v="282"/>
        <n v="110.4"/>
        <n v="1398.6"/>
        <n v="443.6"/>
        <n v="403.79999999999995"/>
        <n v="209.10000000000002"/>
        <n v="39.1"/>
        <n v="625.79999999999995"/>
        <n v="83.4"/>
        <n v="147"/>
        <n v="132.5"/>
        <n v="30.3"/>
        <n v="476.40000000000003"/>
        <n v="589"/>
        <n v="348.2"/>
        <n v="141.6"/>
        <n v="57"/>
        <n v="2132"/>
        <n v="359.1"/>
        <n v="73.3"/>
        <n v="51.6"/>
        <n v="44.9"/>
        <n v="108.6"/>
        <n v="33"/>
        <n v="481.20000000000005"/>
        <n v="392"/>
        <n v="417.6"/>
        <n v="32.799999999999997"/>
        <n v="44"/>
        <n v="258"/>
        <n v="544"/>
        <n v="263.7"/>
        <n v="122.7"/>
        <n v="160.29999999999998"/>
        <n v="255"/>
        <n v="70.199999999999989"/>
        <n v="342"/>
        <n v="51.9"/>
        <n v="132"/>
        <n v="148.80000000000001"/>
        <n v="61.800000000000004"/>
        <n v="197.2"/>
        <n v="48.2"/>
        <n v="261.60000000000002"/>
        <n v="223.20000000000002"/>
        <n v="45.6"/>
        <n v="156.80000000000001"/>
        <n v="51.8"/>
        <n v="74.7"/>
        <n v="67.199999999999989"/>
        <n v="125.6"/>
        <n v="22.3"/>
        <n v="81"/>
        <n v="598.4"/>
        <n v="516.4"/>
        <n v="484.79999999999995"/>
        <n v="145.5"/>
        <n v="92.5"/>
        <n v="189.4"/>
        <n v="232.79999999999998"/>
        <n v="204"/>
        <n v="445.90000000000003"/>
        <n v="132.4"/>
        <n v="96.899999999999991"/>
        <n v="133.80000000000001"/>
        <n v="302.39999999999998"/>
        <n v="177"/>
        <n v="230"/>
        <n v="218.6"/>
        <n v="133.19999999999999"/>
        <n v="238.5"/>
        <n v="92"/>
        <n v="235.79999999999998"/>
        <n v="286"/>
        <n v="217"/>
        <n v="341"/>
        <n v="1129"/>
        <n v="303.3"/>
        <n v="353"/>
        <n v="136.80000000000001"/>
        <n v="319.39999999999998"/>
        <n v="76"/>
        <n v="546.59999999999991"/>
        <n v="470.5"/>
        <n v="189.9"/>
        <n v="107.10000000000001"/>
        <n v="77.099999999999994"/>
        <n v="284.40000000000003"/>
        <n v="64.2"/>
        <n v="111.6"/>
        <n v="56.2"/>
        <n v="289.79999999999995"/>
        <n v="225.40000000000003"/>
        <n v="1358"/>
        <n v="318.29999999999995"/>
        <n v="70.5"/>
        <n v="71.2"/>
        <n v="580.30000000000007"/>
        <n v="321.29999999999995"/>
        <n v="62.7"/>
        <n v="242.39999999999998"/>
        <n v="357.6"/>
        <n v="765.59999999999991"/>
        <n v="178.8"/>
        <n v="15.9"/>
        <n v="157.4"/>
        <n v="355.20000000000005"/>
        <n v="86"/>
        <n v="1288.5999999999999"/>
        <n v="169.8"/>
        <n v="1098.5"/>
        <n v="527"/>
        <n v="275.8"/>
        <n v="62.3"/>
        <n v="245.5"/>
        <n v="974.59999999999991"/>
        <n v="99.4"/>
        <n v="29"/>
        <n v="60.7"/>
        <n v="349.6"/>
        <n v="311.5"/>
        <n v="141"/>
        <n v="50.099999999999994"/>
        <n v="155"/>
        <n v="326"/>
        <n v="192.6"/>
        <n v="68.599999999999994"/>
        <n v="241"/>
        <n v="51.4"/>
        <n v="586"/>
        <n v="88.2"/>
        <n v="134.4"/>
        <n v="105.2"/>
        <n v="479.5"/>
        <n v="404.70000000000005"/>
        <n v="303"/>
        <n v="87"/>
        <n v="374.2"/>
        <n v="221.6"/>
        <n v="469.3"/>
        <n v="24.1"/>
        <n v="91.5"/>
        <n v="409.79999999999995"/>
        <n v="129.89999999999998"/>
        <n v="108.4"/>
        <n v="102"/>
        <n v="46.2"/>
        <n v="612.5"/>
        <n v="153"/>
        <n v="212"/>
        <n v="440.6"/>
        <n v="137.10000000000002"/>
        <n v="235.5"/>
        <n v="978"/>
        <n v="127.19999999999999"/>
        <n v="745"/>
        <n v="284.39999999999998"/>
        <n v="51.900000000000006"/>
        <n v="311.60000000000002"/>
        <n v="29.1"/>
        <n v="126.60000000000001"/>
        <n v="701.1"/>
        <n v="926"/>
        <n v="164.39999999999998"/>
        <n v="681.59999999999991"/>
        <n v="1557.6000000000001"/>
        <n v="270.60000000000002"/>
        <n v="22"/>
        <n v="61.5"/>
        <n v="190.4"/>
        <n v="121.9"/>
        <n v="895.19999999999993"/>
        <n v="54.1"/>
        <n v="54.8"/>
        <n v="395.2"/>
        <n v="628.79999999999995"/>
        <n v="134.80000000000001"/>
        <n v="215.5"/>
        <n v="161.4"/>
        <n v="144.20000000000002"/>
        <n v="111.30000000000001"/>
        <n v="118"/>
        <n v="64.599999999999994"/>
        <n v="59.2"/>
        <n v="81.2"/>
        <n v="26.2"/>
        <n v="1320"/>
        <n v="262.39999999999998"/>
        <n v="391.20000000000005"/>
        <n v="1824.9"/>
        <n v="54.5"/>
        <n v="344.5"/>
        <n v="124.8"/>
        <n v="488.40000000000003"/>
        <n v="49.6"/>
        <n v="2996.9999999999995"/>
        <n v="79.199999999999989"/>
        <n v="34.4"/>
        <n v="464.8"/>
        <n v="27.1"/>
        <n v="40.5"/>
        <n v="233.70000000000002"/>
        <n v="148.4"/>
        <n v="154.80000000000001"/>
        <n v="294"/>
        <n v="289.8"/>
        <n v="272"/>
        <n v="66.3"/>
        <n v="287.70000000000005"/>
        <n v="156.19999999999999"/>
        <n v="113.6"/>
        <n v="163.4"/>
        <n v="113.4"/>
        <n v="210.6"/>
        <n v="190.2"/>
        <n v="345.2"/>
        <n v="80.099999999999994"/>
        <n v="136.19999999999999"/>
        <n v="81.7"/>
        <n v="251"/>
        <n v="20.2"/>
        <n v="624"/>
        <n v="38.4"/>
        <n v="292.59999999999997"/>
        <n v="224.39999999999998"/>
        <n v="180.60000000000002"/>
        <n v="183"/>
        <n v="278.5"/>
        <n v="153.4"/>
        <n v="592.19999999999993"/>
        <n v="466"/>
        <n v="78.2"/>
        <n v="543.59999999999991"/>
        <n v="237.29999999999998"/>
        <n v="41.9"/>
        <n v="92.4"/>
        <n v="340.8"/>
        <n v="70"/>
        <n v="88"/>
        <n v="222.29999999999998"/>
        <n v="161.9"/>
        <n v="32.1"/>
        <n v="419.2"/>
        <n v="404.40000000000003"/>
        <n v="230.4"/>
        <n v="730.40000000000009"/>
        <n v="817.19999999999993"/>
        <n v="162.5"/>
        <n v="183.60000000000002"/>
        <n v="229.6"/>
        <n v="229.20000000000002"/>
        <n v="211.20000000000002"/>
        <n v="223.79999999999998"/>
        <n v="1089"/>
        <n v="101.39999999999999"/>
        <n v="85.7"/>
        <n v="184.2"/>
        <n v="195.29999999999998"/>
        <n v="142.1"/>
        <n v="59.6"/>
        <n v="57.3"/>
        <n v="108.9"/>
        <n v="594.9"/>
        <n v="183.5"/>
        <n v="328.1"/>
        <n v="82.8"/>
        <n v="164.10000000000002"/>
        <n v="41.1"/>
        <n v="348"/>
        <n v="205.6"/>
        <n v="79.599999999999994"/>
        <n v="305"/>
        <n v="166.1"/>
        <n v="499.09999999999997"/>
        <n v="25.8"/>
        <n v="198"/>
        <n v="128"/>
        <n v="1457.6"/>
        <n v="43.6"/>
        <n v="92.6"/>
        <n v="62.2"/>
        <n v="321.3"/>
        <n v="219.6"/>
        <n v="18.2"/>
        <n v="59.7"/>
        <n v="210.89999999999998"/>
        <n v="413.6"/>
        <n v="246"/>
        <n v="87.9"/>
        <n v="251.8"/>
        <n v="146.5"/>
        <n v="126.8"/>
        <n v="131.5"/>
        <n v="199"/>
        <n v="412.5"/>
        <n v="45.1"/>
        <n v="344"/>
        <n v="453.59999999999997"/>
        <n v="533.4"/>
        <n v="85.6"/>
        <n v="100"/>
        <n v="753.5"/>
        <n v="19.600000000000001"/>
        <n v="63.599999999999994"/>
        <n v="297.5"/>
        <n v="34"/>
        <n v="103.2"/>
        <n v="147.6"/>
        <n v="812.40000000000009"/>
        <n v="306.59999999999997"/>
        <n v="431.40000000000003"/>
        <n v="52.6"/>
        <n v="32.700000000000003"/>
        <n v="155.6"/>
        <n v="242"/>
        <n v="1339.8"/>
        <n v="77.7"/>
        <n v="241.2"/>
        <n v="248.2"/>
        <n v="462"/>
        <n v="7446.6"/>
        <n v="321.5"/>
        <n v="109.6"/>
        <n v="792.5"/>
        <n v="287.60000000000002"/>
        <n v="59"/>
        <n v="167.6"/>
        <n v="323.39999999999998"/>
        <n v="718.19999999999993"/>
        <n v="22.9"/>
        <n v="48.599999999999994"/>
        <n v="238"/>
        <n v="131"/>
        <n v="118.4"/>
        <n v="166"/>
        <n v="805.19999999999993"/>
        <n v="57.4"/>
        <n v="528.4"/>
        <n v="657.4"/>
        <n v="166.5"/>
        <n v="800.40000000000009"/>
        <n v="378.90000000000003"/>
        <n v="410.90000000000003"/>
        <n v="54"/>
        <n v="93.4"/>
        <n v="144.69999999999999"/>
        <n v="818.1"/>
        <n v="289.5"/>
        <n v="132.60000000000002"/>
        <n v="267.5"/>
        <n v="249.6"/>
        <n v="123.5"/>
        <n v="308.5"/>
        <n v="91"/>
        <n v="160.5"/>
        <n v="130.80000000000001"/>
        <n v="1350"/>
        <n v="84.6"/>
        <n v="181"/>
        <n v="63.900000000000006"/>
        <n v="36.299999999999997"/>
        <n v="331.5"/>
        <n v="228.20000000000002"/>
        <n v="626.40000000000009"/>
        <n v="57.300000000000004"/>
        <n v="218.2"/>
        <n v="42.2"/>
        <n v="170.4"/>
        <n v="72.900000000000006"/>
        <n v="43.3"/>
        <n v="123"/>
        <n v="162.30000000000001"/>
        <n v="72.300000000000011"/>
        <n v="261.5"/>
        <n v="275.2"/>
        <n v="257.60000000000002"/>
        <n v="48.3"/>
        <n v="136.5"/>
        <n v="1377"/>
        <n v="122.39999999999999"/>
        <n v="60.8"/>
        <n v="143"/>
        <n v="501.6"/>
        <n v="99.5"/>
        <n v="468.90000000000003"/>
        <n v="1159"/>
        <n v="774"/>
        <n v="515.19999999999993"/>
        <n v="326.2"/>
        <n v="253.79999999999998"/>
        <n v="581"/>
        <n v="326.90000000000003"/>
        <n v="53.7"/>
        <n v="247.8"/>
        <n v="107.69999999999999"/>
        <n v="1599.5"/>
        <n v="1301.3"/>
        <n v="74.2"/>
        <n v="606.4"/>
        <n v="243.2"/>
        <n v="267.40000000000003"/>
        <n v="462.8"/>
        <n v="596.40000000000009"/>
        <n v="38.700000000000003"/>
        <n v="71"/>
        <n v="373.2"/>
        <n v="31.4"/>
        <n v="85.9"/>
        <n v="72.599999999999994"/>
        <n v="100.19999999999999"/>
        <n v="195.60000000000002"/>
        <n v="589.5"/>
        <n v="158.39999999999998"/>
        <n v="153.60000000000002"/>
        <n v="84.9"/>
        <n v="126.89999999999999"/>
        <n v="1306.4000000000001"/>
        <n v="331.09999999999997"/>
        <n v="436.8"/>
        <n v="209.39999999999998"/>
        <n v="174.4"/>
        <n v="878.5"/>
        <n v="498.4"/>
        <n v="279.3"/>
        <n v="299.2"/>
        <n v="52.2"/>
        <n v="193"/>
        <n v="159.6"/>
        <n v="165.89999999999998"/>
        <n v="731.5"/>
        <n v="306.39999999999998"/>
        <n v="191.39999999999998"/>
        <n v="21.4"/>
        <n v="176.4"/>
        <n v="460.8"/>
        <n v="40.6"/>
        <n v="423.6"/>
        <n v="336.59999999999997"/>
        <n v="158"/>
        <n v="57.900000000000006"/>
        <n v="356.5"/>
        <n v="332.4"/>
        <n v="231"/>
        <n v="86.1"/>
        <n v="577"/>
        <n v="706"/>
        <n v="146.69999999999999"/>
        <n v="54.300000000000004"/>
        <n v="237"/>
        <n v="413.7"/>
        <n v="137.6"/>
        <n v="292.5"/>
        <n v="798"/>
        <n v="266.39999999999998"/>
        <n v="257.5"/>
        <n v="190.8"/>
        <n v="368"/>
        <n v="638.4"/>
        <n v="289.60000000000002"/>
        <n v="784"/>
        <n v="348.8"/>
        <n v="378"/>
        <n v="566.1"/>
        <n v="511"/>
        <n v="295.79999999999995"/>
        <n v="338.4"/>
        <n v="344.8"/>
        <n v="154.6"/>
        <n v="189.60000000000002"/>
        <n v="913.1"/>
        <n v="137.39999999999998"/>
        <n v="152.39999999999998"/>
        <n v="103.8"/>
        <n v="186.8"/>
        <n v="143.19999999999999"/>
        <n v="444.4"/>
        <n v="2498.5"/>
        <n v="64.3"/>
        <n v="174.60000000000002"/>
        <n v="236.8"/>
        <n v="296"/>
        <n v="1050.3999999999999"/>
        <n v="154.19999999999999"/>
        <n v="40.4"/>
        <n v="145.19999999999999"/>
        <n v="119.39999999999999"/>
        <n v="128.80000000000001"/>
        <n v="230.39999999999998"/>
        <n v="83.8"/>
        <n v="429.09999999999997"/>
        <n v="54.7"/>
        <n v="847"/>
        <n v="280.20000000000005"/>
        <n v="144"/>
        <n v="135.80000000000001"/>
        <n v="233.09999999999997"/>
        <n v="113.39999999999999"/>
        <n v="537.70000000000005"/>
        <n v="125.2"/>
        <n v="208.5"/>
        <n v="33.4"/>
        <n v="310.8"/>
        <n v="142.4"/>
        <n v="285"/>
        <n v="688.4"/>
        <n v="43.5"/>
        <n v="131.6"/>
        <n v="425.70000000000005"/>
        <n v="7264.5"/>
        <n v="15.5"/>
        <n v="140.80000000000001"/>
        <n v="207.60000000000002"/>
        <n v="21.3"/>
        <n v="273"/>
        <n v="214.9"/>
        <n v="123.2"/>
        <n v="217.2"/>
        <n v="174"/>
        <n v="144.60000000000002"/>
        <n v="13.7"/>
        <n v="221"/>
        <n v="1407"/>
        <n v="270.2"/>
        <n v="2101"/>
        <n v="25.5"/>
        <n v="486"/>
        <n v="80.8"/>
        <n v="299.5"/>
        <n v="165"/>
        <n v="543.9"/>
        <n v="46.6"/>
        <n v="62.099999999999994"/>
        <n v="114.60000000000001"/>
        <n v="1390"/>
        <n v="192.4"/>
        <n v="181.2"/>
        <n v="741.6"/>
        <n v="103.7"/>
        <n v="31.5"/>
        <n v="44.7"/>
        <n v="139.6"/>
        <n v="186.89999999999998"/>
        <n v="99.600000000000009"/>
        <n v="298"/>
        <n v="823.19999999999993"/>
        <n v="509.59999999999997"/>
        <n v="338"/>
        <n v="372.6"/>
        <n v="41.8"/>
        <n v="114.4"/>
        <n v="94.2"/>
        <n v="259.20000000000005"/>
        <n v="525"/>
        <n v="533"/>
        <n v="857.6"/>
        <n v="651"/>
        <n v="194.6"/>
        <n v="49.8"/>
        <n v="163"/>
        <n v="67.3"/>
        <n v="1222.0999999999999"/>
        <n v="59.099999999999994"/>
        <n v="217.6"/>
        <n v="314.10000000000002"/>
        <n v="65.5"/>
        <n v="12.5"/>
        <n v="111.4"/>
        <n v="115.4"/>
        <n v="514.20000000000005"/>
        <n v="260.70000000000005"/>
        <n v="92.8"/>
        <n v="76.199999999999989"/>
        <n v="143.39999999999998"/>
        <n v="349.59999999999997"/>
        <n v="345"/>
        <n v="18.7"/>
        <n v="30.1"/>
        <n v="16.3"/>
        <n v="517.30000000000007"/>
        <n v="324.5"/>
        <n v="265.3"/>
        <n v="56.5"/>
        <n v="259.5"/>
        <n v="20.6"/>
        <n v="149.10000000000002"/>
        <n v="480"/>
        <n v="693"/>
        <n v="502.79999999999995"/>
        <n v="309.2"/>
        <n v="153.80000000000001"/>
        <n v="548.6"/>
        <n v="304.39999999999998"/>
        <n v="1728"/>
        <n v="1630.7"/>
        <n v="107.4"/>
        <n v="171.6"/>
        <n v="752.5"/>
        <n v="426.5"/>
        <n v="404"/>
        <n v="369.29999999999995"/>
        <n v="73.8"/>
        <n v="82"/>
        <n v="200.4"/>
        <n v="35.9"/>
        <n v="360"/>
        <n v="171.89999999999998"/>
        <n v="81.400000000000006"/>
        <n v="73.400000000000006"/>
        <n v="176.39999999999998"/>
        <n v="292.79999999999995"/>
        <n v="117.4"/>
        <n v="359.5"/>
        <n v="860.8"/>
        <n v="160.80000000000001"/>
        <n v="168.6"/>
        <n v="1061.1000000000001"/>
        <n v="240"/>
        <n v="111.89999999999999"/>
        <n v="225.9"/>
        <n v="604.80000000000007"/>
        <n v="165.2"/>
        <n v="30.6"/>
        <n v="54.6"/>
        <n v="340.4"/>
        <n v="228.90000000000003"/>
        <n v="302.10000000000002"/>
        <n v="98.6"/>
        <n v="582"/>
        <n v="134.19999999999999"/>
        <n v="271.59999999999997"/>
        <n v="212.8"/>
        <n v="1057"/>
        <n v="70.400000000000006"/>
        <n v="455.40000000000003"/>
        <n v="236.10000000000002"/>
        <n v="429.8"/>
        <n v="35"/>
        <n v="75.900000000000006"/>
        <n v="126.30000000000001"/>
        <n v="362"/>
        <n v="53.2"/>
        <n v="2464"/>
        <n v="52.4"/>
        <n v="363"/>
        <n v="23.4"/>
        <n v="452.8"/>
        <n v="53.6"/>
        <n v="33.900000000000006"/>
        <n v="180.3"/>
        <n v="304.7"/>
        <n v="133.4"/>
        <n v="195.5"/>
        <n v="99.6"/>
        <n v="146"/>
        <n v="396.2"/>
        <n v="196.70000000000002"/>
        <n v="179.10000000000002"/>
        <n v="71.900000000000006"/>
        <n v="113.8"/>
        <n v="246.8"/>
        <n v="1052"/>
        <n v="252.29999999999998"/>
        <n v="115"/>
        <n v="34.299999999999997"/>
        <n v="55.6"/>
        <n v="190"/>
        <n v="130.4"/>
        <n v="345.9"/>
        <n v="1250.0999999999999"/>
        <n v="252.60000000000002"/>
        <n v="401.8"/>
        <n v="156.89999999999998"/>
        <n v="79.800000000000011"/>
        <n v="383.2"/>
        <n v="303.09999999999997"/>
        <n v="322.40000000000003"/>
        <n v="771.30000000000007"/>
        <n v="832"/>
        <n v="471"/>
        <n v="182.39999999999998"/>
        <n v="134.39999999999998"/>
        <n v="77.599999999999994"/>
        <n v="1216.6000000000001"/>
        <n v="18.3"/>
        <n v="47.5"/>
        <n v="349.2"/>
        <n v="168.5"/>
        <n v="322.20000000000005"/>
        <n v="88.8"/>
        <n v="828"/>
        <n v="355.2"/>
        <n v="78.599999999999994"/>
        <n v="17.399999999999999"/>
        <n v="433.79999999999995"/>
        <n v="267.3"/>
        <n v="2347"/>
        <n v="380.5"/>
        <n v="281.70000000000005"/>
        <n v="748"/>
        <n v="24.4"/>
        <n v="337.6"/>
        <n v="153.19999999999999"/>
        <n v="174.6"/>
        <n v="63"/>
        <n v="152.19999999999999"/>
        <n v="117"/>
        <n v="78.5"/>
        <n v="248.5"/>
        <n v="273.60000000000002"/>
        <n v="145.80000000000001"/>
        <n v="393.90000000000003"/>
        <n v="636.9"/>
        <n v="96.7"/>
        <n v="331.20000000000005"/>
        <n v="7420"/>
        <n v="384"/>
        <n v="276.39999999999998"/>
        <n v="152.80000000000001"/>
        <n v="58"/>
        <n v="818.4"/>
        <n v="27.6"/>
        <n v="99.899999999999991"/>
        <n v="27.4"/>
        <n v="56.8"/>
        <n v="136"/>
        <n v="30.7"/>
        <n v="670.80000000000007"/>
        <n v="24.8"/>
        <n v="78.399999999999991"/>
        <n v="543"/>
        <n v="84.8"/>
        <n v="76.400000000000006"/>
        <n v="1091.7"/>
        <n v="93.8"/>
        <n v="211.79999999999998"/>
        <n v="104.4"/>
        <n v="379.5"/>
        <n v="582.79999999999995"/>
        <n v="157"/>
        <n v="34.200000000000003"/>
        <n v="35.4"/>
        <n v="1282.5"/>
        <n v="824.19999999999993"/>
        <n v="156.6"/>
        <n v="43.9"/>
        <n v="380"/>
        <n v="555.5"/>
        <n v="70.8"/>
        <n v="412"/>
        <n v="636"/>
        <n v="41.3"/>
        <n v="35.299999999999997"/>
        <n v="173.5"/>
        <n v="78.300000000000011"/>
        <n v="308.8"/>
        <n v="25"/>
        <n v="633.59999999999991"/>
        <n v="476.8"/>
        <n v="226.20000000000002"/>
        <n v="2082"/>
        <n v="283.20000000000005"/>
        <n v="29.6"/>
        <n v="250.6"/>
        <n v="33.799999999999997"/>
        <n v="101.69999999999999"/>
        <n v="1099.5"/>
        <n v="140"/>
        <n v="32.4"/>
        <n v="265.20000000000005"/>
        <n v="228.60000000000002"/>
        <n v="80.699999999999989"/>
        <n v="352.79999999999995"/>
        <n v="729.2"/>
        <n v="785"/>
        <n v="170.5"/>
        <n v="52"/>
        <n v="135.79999999999998"/>
        <n v="304.20000000000005"/>
        <n v="23.1"/>
        <n v="1046.7"/>
        <n v="576.9"/>
        <n v="655.20000000000005"/>
        <n v="116"/>
        <n v="487.20000000000005"/>
        <n v="499.80000000000007"/>
        <n v="89"/>
        <n v="25.7"/>
        <n v="208.4"/>
        <n v="31"/>
        <n v="233.2"/>
        <n v="93"/>
        <n v="141.89999999999998"/>
        <n v="18.5"/>
        <n v="120.8"/>
        <n v="401"/>
        <n v="41.5"/>
        <n v="167.8"/>
        <n v="68.400000000000006"/>
        <n v="215.8"/>
        <n v="670.5"/>
        <n v="556.20000000000005"/>
        <n v="146.39999999999998"/>
        <n v="641.29999999999995"/>
        <n v="3509.7999999999997"/>
        <n v="76.900000000000006"/>
        <n v="216.60000000000002"/>
        <n v="240.79999999999998"/>
        <n v="1495.2"/>
        <n v="215.10000000000002"/>
        <n v="241.79999999999998"/>
        <n v="1050"/>
        <n v="163.80000000000001"/>
        <n v="526.4"/>
        <n v="137.4"/>
        <n v="362.59999999999997"/>
        <n v="38.799999999999997"/>
        <n v="156.30000000000001"/>
        <n v="74.900000000000006"/>
        <n v="347.2"/>
        <n v="331.2"/>
        <n v="117.5"/>
        <n v="60.300000000000004"/>
        <n v="768"/>
        <n v="64.7"/>
        <n v="483.2"/>
        <n v="459.90000000000003"/>
        <n v="295.2"/>
        <n v="658.69999999999993"/>
        <n v="36.9"/>
        <n v="381.6"/>
        <n v="314.39999999999998"/>
        <n v="786.5"/>
        <n v="485.6"/>
        <n v="159.5"/>
        <n v="79"/>
        <n v="876.30000000000007"/>
        <n v="148.5"/>
        <n v="263.2"/>
        <n v="313.60000000000002"/>
        <n v="414.4"/>
        <n v="97.199999999999989"/>
        <n v="53.8"/>
        <n v="164.8"/>
        <n v="235.6"/>
        <n v="146.80000000000001"/>
        <n v="140.39999999999998"/>
        <n v="168.4"/>
      </sharedItems>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9"/>
    </cacheField>
    <cacheField name="Ship Date" numFmtId="15">
      <sharedItems containsSemiMixedTypes="0" containsNonDate="0" containsDate="1" containsString="0" minDate="2025-01-02T00:00:00" maxDate="2025-04-11T00:00:00" count="96">
        <d v="2025-01-06T00:00:00"/>
        <d v="2025-01-03T00:00:00"/>
        <d v="2025-01-04T00:00:00"/>
        <d v="2025-01-02T00:00:00"/>
        <d v="2025-01-07T00:00:00"/>
        <d v="2025-01-05T00:00:00"/>
        <d v="2025-01-08T00:00:00"/>
        <d v="2025-01-11T00:00:00"/>
        <d v="2025-01-09T00:00:00"/>
        <d v="2025-01-10T00:00:00"/>
        <d v="2025-01-17T00:00:00"/>
        <d v="2025-01-15T00:00:00"/>
        <d v="2025-01-12T00:00:00"/>
        <d v="2025-01-18T00:00:00"/>
        <d v="2025-01-13T00:00:00"/>
        <d v="2025-01-16T00:00:00"/>
        <d v="2025-01-14T00:00:00"/>
        <d v="2025-01-25T00:00:00"/>
        <d v="2025-01-19T00:00:00"/>
        <d v="2025-01-26T00:00:00"/>
        <d v="2025-01-21T00:00:00"/>
        <d v="2025-01-20T00:00:00"/>
        <d v="2025-01-27T00:00:00"/>
        <d v="2025-01-23T00:00:00"/>
        <d v="2025-01-22T00:00:00"/>
        <d v="2025-01-24T00:00:00"/>
        <d v="2025-01-30T00:00:00"/>
        <d v="2025-01-31T00:00:00"/>
        <d v="2025-01-29T00:00:00"/>
        <d v="2025-01-28T00:00:00"/>
        <d v="2025-02-01T00:00:00"/>
        <d v="2025-02-07T00:00:00"/>
        <d v="2025-02-04T00:00:00"/>
        <d v="2025-02-02T00:00:00"/>
        <d v="2025-02-03T00:00:00"/>
        <d v="2025-02-09T00:00:00"/>
        <d v="2025-02-05T00:00:00"/>
        <d v="2025-02-10T00:00:00"/>
        <d v="2025-02-06T00:00:00"/>
        <d v="2025-02-08T00:00:00"/>
        <d v="2025-02-11T00:00:00"/>
        <d v="2025-02-16T00:00:00"/>
        <d v="2025-02-14T00:00:00"/>
        <d v="2025-02-17T00:00:00"/>
        <d v="2025-02-12T00:00:00"/>
        <d v="2025-02-13T00:00:00"/>
        <d v="2025-02-19T00:00:00"/>
        <d v="2025-02-21T00:00:00"/>
        <d v="2025-02-15T00:00:00"/>
        <d v="2025-02-20T00:00:00"/>
        <d v="2025-02-18T00:00:00"/>
        <d v="2025-02-25T00:00:00"/>
        <d v="2025-02-26T00:00:00"/>
        <d v="2025-02-27T00:00:00"/>
        <d v="2025-02-24T00:00:00"/>
        <d v="2025-02-23T00:00:00"/>
        <d v="2025-02-22T00:00:00"/>
        <d v="2025-03-02T00:00:00"/>
        <d v="2025-02-28T00:00:00"/>
        <d v="2025-03-01T00:00:00"/>
        <d v="2025-03-09T00:00:00"/>
        <d v="2025-03-04T00:00:00"/>
        <d v="2025-03-03T00:00:00"/>
        <d v="2025-03-05T00:00:00"/>
        <d v="2025-03-13T00:00:00"/>
        <d v="2025-03-10T00:00:00"/>
        <d v="2025-03-06T00:00:00"/>
        <d v="2025-03-14T00:00:00"/>
        <d v="2025-03-07T00:00:00"/>
        <d v="2025-03-16T00:00:00"/>
        <d v="2025-03-08T00:00:00"/>
        <d v="2025-03-11T00:00:00"/>
        <d v="2025-03-15T00:00:00"/>
        <d v="2025-03-18T00:00:00"/>
        <d v="2025-03-12T00:00:00"/>
        <d v="2025-03-21T00:00:00"/>
        <d v="2025-03-17T00:00:00"/>
        <d v="2025-03-24T00:00:00"/>
        <d v="2025-03-20T00:00:00"/>
        <d v="2025-03-23T00:00:00"/>
        <d v="2025-03-22T00:00:00"/>
        <d v="2025-03-26T00:00:00"/>
        <d v="2025-03-25T00:00:00"/>
        <d v="2025-03-19T00:00:00"/>
        <d v="2025-04-01T00:00:00"/>
        <d v="2025-04-03T00:00:00"/>
        <d v="2025-03-28T00:00:00"/>
        <d v="2025-03-27T00:00:00"/>
        <d v="2025-03-31T00:00:00"/>
        <d v="2025-03-30T00:00:00"/>
        <d v="2025-03-29T00:00:00"/>
        <d v="2025-04-09T00:00:00"/>
        <d v="2025-04-02T00:00:00"/>
        <d v="2025-04-05T00:00:00"/>
        <d v="2025-04-10T00:00:00"/>
        <d v="2025-04-04T00:00:00"/>
      </sharedItems>
      <fieldGroup par="17"/>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ount="1">
        <s v="California"/>
      </sharedItems>
    </cacheField>
    <cacheField name="County" numFmtId="0">
      <sharedItems count="58">
        <s v="Alpine County"/>
        <s v="Contra Costa County"/>
        <s v="Fresno County"/>
        <s v="Los Angeles County"/>
        <s v="Nevada County"/>
        <s v="Placer County"/>
        <s v="Sacramento County"/>
        <s v="San Bernardino County"/>
        <s v="San Diego County"/>
        <s v="San Mateo County"/>
        <s v="Santa Barbara County"/>
        <s v="Santa Clara County"/>
        <s v="Tehama County"/>
        <s v="Ventura County"/>
        <s v="Calaveras County"/>
        <s v="Inyo County"/>
        <s v="Napa County"/>
        <s v="San Francisco"/>
        <s v="Sonoma County"/>
        <s v="Stanislaus County"/>
        <s v="Tulare County"/>
        <s v="Alameda County"/>
        <s v="Kern County"/>
        <s v="Riverside County"/>
        <s v="Merced County"/>
        <s v="Orange County"/>
        <s v="San Joaquin County"/>
        <s v="Glenn County"/>
        <s v="Yolo County"/>
        <s v="Mendocino County"/>
        <s v="Siskiyou County"/>
        <s v="Sutter County"/>
        <s v="Santa Cruz County"/>
        <s v="Imperial County"/>
        <s v="Kings County"/>
        <s v="Plumas County"/>
        <s v="San Benito County"/>
        <s v="Madera County"/>
        <s v="Solano County"/>
        <s v="Modoc County"/>
        <s v="Mariposa County"/>
        <s v="San Luis Obispo County"/>
        <s v="El Dorado County"/>
        <s v="Marin County"/>
        <s v="Humboldt County"/>
        <s v="Trinity County"/>
        <s v="Amador County"/>
        <s v="Mono County"/>
        <s v="Sierra County"/>
        <s v="Monterey County"/>
        <s v="Lake County"/>
        <s v="Butte County"/>
        <s v="Tuolumne County"/>
        <s v="Shasta County"/>
        <s v="Colusa County"/>
        <s v="Lassen County"/>
        <s v="Yuba County"/>
        <s v="Del Norte County"/>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Ship Date)" numFmtId="0" databaseField="0">
      <fieldGroup base="6">
        <rangePr groupBy="days" startDate="2025-01-02T00:00:00" endDate="2025-04-11T00:00:00"/>
        <groupItems count="368">
          <s v="&lt;02-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1-04-2025"/>
        </groupItems>
      </fieldGroup>
    </cacheField>
    <cacheField name="Months (Ship Date)" numFmtId="0" databaseField="0">
      <fieldGroup base="6">
        <rangePr groupBy="months" startDate="2025-01-02T00:00:00" endDate="2025-04-11T00:00:00"/>
        <groupItems count="14">
          <s v="&lt;02-01-2025"/>
          <s v="Jan"/>
          <s v="Feb"/>
          <s v="Mar"/>
          <s v="Apr"/>
          <s v="May"/>
          <s v="Jun"/>
          <s v="Jul"/>
          <s v="Aug"/>
          <s v="Sep"/>
          <s v="Oct"/>
          <s v="Nov"/>
          <s v="Dec"/>
          <s v="&gt;11-04-2025"/>
        </groupItems>
      </fieldGroup>
    </cacheField>
    <cacheField name="Days (Order Date)" numFmtId="0" databaseField="0">
      <fieldGroup base="5">
        <rangePr groupBy="days" startDate="2025-01-01T00:00:00" endDate="2025-03-30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03-2025"/>
        </groupItems>
      </fieldGroup>
    </cacheField>
    <cacheField name="Months (Order Date)" numFmtId="0" databaseField="0">
      <fieldGroup base="5">
        <rangePr groupBy="months" startDate="2025-01-01T00:00:00" endDate="2025-03-30T00:00:00"/>
        <groupItems count="14">
          <s v="&lt;01-01-2025"/>
          <s v="Jan"/>
          <s v="Feb"/>
          <s v="Mar"/>
          <s v="Apr"/>
          <s v="May"/>
          <s v="Jun"/>
          <s v="Jul"/>
          <s v="Aug"/>
          <s v="Sep"/>
          <s v="Oct"/>
          <s v="Nov"/>
          <s v="Dec"/>
          <s v="&gt;30-03-2025"/>
        </groupItems>
      </fieldGroup>
    </cacheField>
  </cacheFields>
  <extLst>
    <ext xmlns:x14="http://schemas.microsoft.com/office/spreadsheetml/2009/9/main" uri="{725AE2AE-9491-48be-B2B4-4EB974FC3084}">
      <x14:pivotCacheDefinition pivotCacheId="576075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x v="0"/>
    <x v="0"/>
    <x v="0"/>
    <x v="0"/>
    <x v="0"/>
    <x v="0"/>
    <x v="0"/>
    <x v="0"/>
    <x v="0"/>
    <x v="0"/>
    <x v="0"/>
  </r>
  <r>
    <s v="TX500002"/>
    <x v="1"/>
    <x v="1"/>
    <n v="30.6"/>
    <x v="1"/>
    <x v="0"/>
    <x v="1"/>
    <x v="1"/>
    <x v="0"/>
    <x v="0"/>
    <x v="0"/>
    <x v="1"/>
    <x v="1"/>
    <x v="0"/>
    <x v="1"/>
  </r>
  <r>
    <s v="TX500003"/>
    <x v="2"/>
    <x v="2"/>
    <n v="109.4"/>
    <x v="2"/>
    <x v="0"/>
    <x v="2"/>
    <x v="2"/>
    <x v="0"/>
    <x v="1"/>
    <x v="0"/>
    <x v="2"/>
    <x v="2"/>
    <x v="0"/>
    <x v="2"/>
  </r>
  <r>
    <s v="TX500004"/>
    <x v="3"/>
    <x v="3"/>
    <n v="37.700000000000003"/>
    <x v="3"/>
    <x v="0"/>
    <x v="3"/>
    <x v="2"/>
    <x v="0"/>
    <x v="0"/>
    <x v="0"/>
    <x v="2"/>
    <x v="3"/>
    <x v="0"/>
    <x v="2"/>
  </r>
  <r>
    <s v="TX500005"/>
    <x v="4"/>
    <x v="2"/>
    <n v="56.7"/>
    <x v="4"/>
    <x v="0"/>
    <x v="2"/>
    <x v="2"/>
    <x v="0"/>
    <x v="2"/>
    <x v="0"/>
    <x v="3"/>
    <x v="2"/>
    <x v="0"/>
    <x v="2"/>
  </r>
  <r>
    <s v="TX500006"/>
    <x v="1"/>
    <x v="4"/>
    <n v="83.5"/>
    <x v="5"/>
    <x v="0"/>
    <x v="2"/>
    <x v="1"/>
    <x v="1"/>
    <x v="0"/>
    <x v="0"/>
    <x v="3"/>
    <x v="2"/>
    <x v="0"/>
    <x v="1"/>
  </r>
  <r>
    <s v="TX500007"/>
    <x v="5"/>
    <x v="0"/>
    <n v="55.3"/>
    <x v="6"/>
    <x v="0"/>
    <x v="3"/>
    <x v="2"/>
    <x v="0"/>
    <x v="0"/>
    <x v="0"/>
    <x v="3"/>
    <x v="3"/>
    <x v="0"/>
    <x v="2"/>
  </r>
  <r>
    <s v="TX500008"/>
    <x v="6"/>
    <x v="1"/>
    <n v="40.299999999999997"/>
    <x v="7"/>
    <x v="0"/>
    <x v="3"/>
    <x v="1"/>
    <x v="2"/>
    <x v="2"/>
    <x v="0"/>
    <x v="3"/>
    <x v="3"/>
    <x v="0"/>
    <x v="1"/>
  </r>
  <r>
    <s v="TX500009"/>
    <x v="7"/>
    <x v="5"/>
    <n v="35.700000000000003"/>
    <x v="8"/>
    <x v="0"/>
    <x v="3"/>
    <x v="2"/>
    <x v="0"/>
    <x v="0"/>
    <x v="0"/>
    <x v="3"/>
    <x v="3"/>
    <x v="0"/>
    <x v="2"/>
  </r>
  <r>
    <s v="TX500010"/>
    <x v="8"/>
    <x v="3"/>
    <n v="22.4"/>
    <x v="9"/>
    <x v="0"/>
    <x v="2"/>
    <x v="1"/>
    <x v="0"/>
    <x v="1"/>
    <x v="0"/>
    <x v="3"/>
    <x v="2"/>
    <x v="0"/>
    <x v="1"/>
  </r>
  <r>
    <s v="TX500011"/>
    <x v="9"/>
    <x v="1"/>
    <n v="54.4"/>
    <x v="10"/>
    <x v="0"/>
    <x v="4"/>
    <x v="2"/>
    <x v="0"/>
    <x v="0"/>
    <x v="0"/>
    <x v="3"/>
    <x v="4"/>
    <x v="0"/>
    <x v="2"/>
  </r>
  <r>
    <s v="TX500012"/>
    <x v="9"/>
    <x v="1"/>
    <n v="49"/>
    <x v="11"/>
    <x v="0"/>
    <x v="1"/>
    <x v="2"/>
    <x v="2"/>
    <x v="1"/>
    <x v="0"/>
    <x v="3"/>
    <x v="1"/>
    <x v="0"/>
    <x v="2"/>
  </r>
  <r>
    <s v="TX500013"/>
    <x v="5"/>
    <x v="3"/>
    <n v="118.6"/>
    <x v="12"/>
    <x v="0"/>
    <x v="5"/>
    <x v="2"/>
    <x v="1"/>
    <x v="0"/>
    <x v="0"/>
    <x v="4"/>
    <x v="5"/>
    <x v="0"/>
    <x v="2"/>
  </r>
  <r>
    <s v="TX500014"/>
    <x v="6"/>
    <x v="6"/>
    <n v="88.4"/>
    <x v="13"/>
    <x v="0"/>
    <x v="6"/>
    <x v="1"/>
    <x v="3"/>
    <x v="0"/>
    <x v="0"/>
    <x v="5"/>
    <x v="6"/>
    <x v="0"/>
    <x v="1"/>
  </r>
  <r>
    <s v="TX500015"/>
    <x v="10"/>
    <x v="0"/>
    <n v="66.7"/>
    <x v="14"/>
    <x v="0"/>
    <x v="2"/>
    <x v="1"/>
    <x v="0"/>
    <x v="0"/>
    <x v="0"/>
    <x v="6"/>
    <x v="2"/>
    <x v="0"/>
    <x v="1"/>
  </r>
  <r>
    <s v="TX500016"/>
    <x v="9"/>
    <x v="7"/>
    <n v="30.9"/>
    <x v="15"/>
    <x v="0"/>
    <x v="3"/>
    <x v="1"/>
    <x v="1"/>
    <x v="2"/>
    <x v="0"/>
    <x v="6"/>
    <x v="3"/>
    <x v="0"/>
    <x v="1"/>
  </r>
  <r>
    <s v="TX500017"/>
    <x v="4"/>
    <x v="2"/>
    <n v="31.1"/>
    <x v="16"/>
    <x v="0"/>
    <x v="3"/>
    <x v="2"/>
    <x v="0"/>
    <x v="1"/>
    <x v="0"/>
    <x v="6"/>
    <x v="3"/>
    <x v="0"/>
    <x v="2"/>
  </r>
  <r>
    <s v="TX500018"/>
    <x v="7"/>
    <x v="2"/>
    <n v="36.6"/>
    <x v="17"/>
    <x v="0"/>
    <x v="2"/>
    <x v="2"/>
    <x v="0"/>
    <x v="0"/>
    <x v="0"/>
    <x v="7"/>
    <x v="2"/>
    <x v="0"/>
    <x v="2"/>
  </r>
  <r>
    <s v="TX500019"/>
    <x v="6"/>
    <x v="8"/>
    <n v="51.1"/>
    <x v="18"/>
    <x v="0"/>
    <x v="2"/>
    <x v="2"/>
    <x v="2"/>
    <x v="3"/>
    <x v="0"/>
    <x v="7"/>
    <x v="2"/>
    <x v="0"/>
    <x v="2"/>
  </r>
  <r>
    <s v="TX500020"/>
    <x v="9"/>
    <x v="0"/>
    <n v="25.2"/>
    <x v="19"/>
    <x v="0"/>
    <x v="3"/>
    <x v="2"/>
    <x v="1"/>
    <x v="2"/>
    <x v="0"/>
    <x v="8"/>
    <x v="3"/>
    <x v="0"/>
    <x v="2"/>
  </r>
  <r>
    <s v="TX500021"/>
    <x v="9"/>
    <x v="9"/>
    <n v="43.8"/>
    <x v="20"/>
    <x v="0"/>
    <x v="2"/>
    <x v="2"/>
    <x v="2"/>
    <x v="0"/>
    <x v="0"/>
    <x v="8"/>
    <x v="2"/>
    <x v="0"/>
    <x v="2"/>
  </r>
  <r>
    <s v="TX500022"/>
    <x v="8"/>
    <x v="4"/>
    <n v="46.7"/>
    <x v="21"/>
    <x v="0"/>
    <x v="3"/>
    <x v="2"/>
    <x v="1"/>
    <x v="1"/>
    <x v="0"/>
    <x v="8"/>
    <x v="3"/>
    <x v="0"/>
    <x v="2"/>
  </r>
  <r>
    <s v="TX500023"/>
    <x v="3"/>
    <x v="10"/>
    <n v="79.900000000000006"/>
    <x v="22"/>
    <x v="0"/>
    <x v="3"/>
    <x v="1"/>
    <x v="0"/>
    <x v="2"/>
    <x v="0"/>
    <x v="8"/>
    <x v="3"/>
    <x v="0"/>
    <x v="1"/>
  </r>
  <r>
    <s v="TX500024"/>
    <x v="11"/>
    <x v="8"/>
    <n v="26.4"/>
    <x v="23"/>
    <x v="0"/>
    <x v="3"/>
    <x v="2"/>
    <x v="3"/>
    <x v="0"/>
    <x v="0"/>
    <x v="8"/>
    <x v="3"/>
    <x v="0"/>
    <x v="2"/>
  </r>
  <r>
    <s v="TX500025"/>
    <x v="12"/>
    <x v="8"/>
    <n v="88.8"/>
    <x v="24"/>
    <x v="0"/>
    <x v="3"/>
    <x v="2"/>
    <x v="4"/>
    <x v="0"/>
    <x v="0"/>
    <x v="8"/>
    <x v="3"/>
    <x v="0"/>
    <x v="2"/>
  </r>
  <r>
    <s v="TX500026"/>
    <x v="0"/>
    <x v="7"/>
    <n v="17.5"/>
    <x v="25"/>
    <x v="0"/>
    <x v="3"/>
    <x v="2"/>
    <x v="2"/>
    <x v="0"/>
    <x v="0"/>
    <x v="9"/>
    <x v="3"/>
    <x v="0"/>
    <x v="2"/>
  </r>
  <r>
    <s v="TX500027"/>
    <x v="1"/>
    <x v="11"/>
    <n v="38.700000000000003"/>
    <x v="26"/>
    <x v="0"/>
    <x v="2"/>
    <x v="1"/>
    <x v="1"/>
    <x v="0"/>
    <x v="0"/>
    <x v="10"/>
    <x v="2"/>
    <x v="0"/>
    <x v="1"/>
  </r>
  <r>
    <s v="TX500028"/>
    <x v="13"/>
    <x v="12"/>
    <n v="57.2"/>
    <x v="27"/>
    <x v="0"/>
    <x v="1"/>
    <x v="0"/>
    <x v="1"/>
    <x v="2"/>
    <x v="0"/>
    <x v="11"/>
    <x v="1"/>
    <x v="0"/>
    <x v="0"/>
  </r>
  <r>
    <s v="TX500029"/>
    <x v="6"/>
    <x v="9"/>
    <n v="50.9"/>
    <x v="28"/>
    <x v="0"/>
    <x v="4"/>
    <x v="0"/>
    <x v="1"/>
    <x v="2"/>
    <x v="0"/>
    <x v="12"/>
    <x v="4"/>
    <x v="0"/>
    <x v="0"/>
  </r>
  <r>
    <s v="TX500030"/>
    <x v="14"/>
    <x v="3"/>
    <n v="41"/>
    <x v="29"/>
    <x v="0"/>
    <x v="5"/>
    <x v="2"/>
    <x v="1"/>
    <x v="0"/>
    <x v="0"/>
    <x v="13"/>
    <x v="5"/>
    <x v="0"/>
    <x v="2"/>
  </r>
  <r>
    <s v="TX500031"/>
    <x v="8"/>
    <x v="3"/>
    <n v="19.100000000000001"/>
    <x v="30"/>
    <x v="0"/>
    <x v="5"/>
    <x v="1"/>
    <x v="0"/>
    <x v="2"/>
    <x v="0"/>
    <x v="14"/>
    <x v="5"/>
    <x v="0"/>
    <x v="1"/>
  </r>
  <r>
    <s v="TX500032"/>
    <x v="2"/>
    <x v="9"/>
    <n v="166.1"/>
    <x v="31"/>
    <x v="0"/>
    <x v="2"/>
    <x v="1"/>
    <x v="0"/>
    <x v="0"/>
    <x v="0"/>
    <x v="15"/>
    <x v="2"/>
    <x v="0"/>
    <x v="1"/>
  </r>
  <r>
    <s v="TX500033"/>
    <x v="4"/>
    <x v="2"/>
    <n v="29.9"/>
    <x v="32"/>
    <x v="0"/>
    <x v="3"/>
    <x v="1"/>
    <x v="3"/>
    <x v="0"/>
    <x v="0"/>
    <x v="3"/>
    <x v="3"/>
    <x v="0"/>
    <x v="1"/>
  </r>
  <r>
    <s v="TX500034"/>
    <x v="10"/>
    <x v="13"/>
    <n v="21.7"/>
    <x v="33"/>
    <x v="0"/>
    <x v="1"/>
    <x v="3"/>
    <x v="2"/>
    <x v="2"/>
    <x v="0"/>
    <x v="3"/>
    <x v="1"/>
    <x v="0"/>
    <x v="3"/>
  </r>
  <r>
    <s v="TX500035"/>
    <x v="11"/>
    <x v="1"/>
    <n v="32"/>
    <x v="34"/>
    <x v="0"/>
    <x v="2"/>
    <x v="1"/>
    <x v="0"/>
    <x v="2"/>
    <x v="0"/>
    <x v="3"/>
    <x v="2"/>
    <x v="0"/>
    <x v="1"/>
  </r>
  <r>
    <s v="TX500036"/>
    <x v="8"/>
    <x v="1"/>
    <n v="15.8"/>
    <x v="35"/>
    <x v="0"/>
    <x v="3"/>
    <x v="1"/>
    <x v="4"/>
    <x v="2"/>
    <x v="0"/>
    <x v="3"/>
    <x v="3"/>
    <x v="0"/>
    <x v="1"/>
  </r>
  <r>
    <s v="TX500037"/>
    <x v="2"/>
    <x v="14"/>
    <n v="203.1"/>
    <x v="36"/>
    <x v="0"/>
    <x v="5"/>
    <x v="1"/>
    <x v="3"/>
    <x v="1"/>
    <x v="0"/>
    <x v="3"/>
    <x v="5"/>
    <x v="0"/>
    <x v="1"/>
  </r>
  <r>
    <s v="TX500038"/>
    <x v="7"/>
    <x v="15"/>
    <n v="39"/>
    <x v="37"/>
    <x v="0"/>
    <x v="4"/>
    <x v="1"/>
    <x v="0"/>
    <x v="2"/>
    <x v="0"/>
    <x v="3"/>
    <x v="4"/>
    <x v="0"/>
    <x v="1"/>
  </r>
  <r>
    <s v="TX500039"/>
    <x v="10"/>
    <x v="0"/>
    <n v="26.5"/>
    <x v="38"/>
    <x v="1"/>
    <x v="1"/>
    <x v="1"/>
    <x v="2"/>
    <x v="0"/>
    <x v="0"/>
    <x v="3"/>
    <x v="3"/>
    <x v="0"/>
    <x v="1"/>
  </r>
  <r>
    <s v="TX500040"/>
    <x v="5"/>
    <x v="0"/>
    <n v="43.1"/>
    <x v="39"/>
    <x v="1"/>
    <x v="1"/>
    <x v="2"/>
    <x v="2"/>
    <x v="1"/>
    <x v="0"/>
    <x v="3"/>
    <x v="3"/>
    <x v="0"/>
    <x v="2"/>
  </r>
  <r>
    <s v="TX500041"/>
    <x v="1"/>
    <x v="2"/>
    <n v="139"/>
    <x v="40"/>
    <x v="1"/>
    <x v="1"/>
    <x v="2"/>
    <x v="4"/>
    <x v="2"/>
    <x v="0"/>
    <x v="3"/>
    <x v="3"/>
    <x v="0"/>
    <x v="2"/>
  </r>
  <r>
    <s v="TX500042"/>
    <x v="12"/>
    <x v="0"/>
    <n v="80.7"/>
    <x v="41"/>
    <x v="1"/>
    <x v="1"/>
    <x v="1"/>
    <x v="0"/>
    <x v="2"/>
    <x v="0"/>
    <x v="16"/>
    <x v="3"/>
    <x v="0"/>
    <x v="1"/>
  </r>
  <r>
    <s v="TX500043"/>
    <x v="4"/>
    <x v="1"/>
    <n v="54.5"/>
    <x v="42"/>
    <x v="1"/>
    <x v="2"/>
    <x v="1"/>
    <x v="1"/>
    <x v="1"/>
    <x v="0"/>
    <x v="6"/>
    <x v="1"/>
    <x v="0"/>
    <x v="1"/>
  </r>
  <r>
    <s v="TX500044"/>
    <x v="6"/>
    <x v="2"/>
    <n v="68.599999999999994"/>
    <x v="43"/>
    <x v="1"/>
    <x v="3"/>
    <x v="2"/>
    <x v="0"/>
    <x v="1"/>
    <x v="0"/>
    <x v="8"/>
    <x v="7"/>
    <x v="0"/>
    <x v="2"/>
  </r>
  <r>
    <s v="TX500045"/>
    <x v="2"/>
    <x v="12"/>
    <n v="135.9"/>
    <x v="44"/>
    <x v="1"/>
    <x v="1"/>
    <x v="2"/>
    <x v="2"/>
    <x v="2"/>
    <x v="0"/>
    <x v="8"/>
    <x v="3"/>
    <x v="0"/>
    <x v="2"/>
  </r>
  <r>
    <s v="TX500046"/>
    <x v="2"/>
    <x v="12"/>
    <n v="70.900000000000006"/>
    <x v="45"/>
    <x v="1"/>
    <x v="1"/>
    <x v="2"/>
    <x v="0"/>
    <x v="0"/>
    <x v="0"/>
    <x v="17"/>
    <x v="3"/>
    <x v="0"/>
    <x v="2"/>
  </r>
  <r>
    <s v="TX500047"/>
    <x v="1"/>
    <x v="9"/>
    <n v="63.7"/>
    <x v="46"/>
    <x v="1"/>
    <x v="1"/>
    <x v="1"/>
    <x v="1"/>
    <x v="1"/>
    <x v="0"/>
    <x v="9"/>
    <x v="3"/>
    <x v="0"/>
    <x v="1"/>
  </r>
  <r>
    <s v="TX500048"/>
    <x v="13"/>
    <x v="0"/>
    <n v="29.7"/>
    <x v="47"/>
    <x v="1"/>
    <x v="2"/>
    <x v="2"/>
    <x v="1"/>
    <x v="0"/>
    <x v="0"/>
    <x v="11"/>
    <x v="1"/>
    <x v="0"/>
    <x v="2"/>
  </r>
  <r>
    <s v="TX500049"/>
    <x v="4"/>
    <x v="2"/>
    <n v="26.8"/>
    <x v="48"/>
    <x v="1"/>
    <x v="7"/>
    <x v="2"/>
    <x v="1"/>
    <x v="2"/>
    <x v="0"/>
    <x v="11"/>
    <x v="8"/>
    <x v="0"/>
    <x v="2"/>
  </r>
  <r>
    <s v="TX500050"/>
    <x v="14"/>
    <x v="0"/>
    <n v="27"/>
    <x v="49"/>
    <x v="1"/>
    <x v="2"/>
    <x v="2"/>
    <x v="0"/>
    <x v="0"/>
    <x v="0"/>
    <x v="18"/>
    <x v="1"/>
    <x v="0"/>
    <x v="2"/>
  </r>
  <r>
    <s v="TX500051"/>
    <x v="8"/>
    <x v="0"/>
    <n v="41.4"/>
    <x v="50"/>
    <x v="1"/>
    <x v="1"/>
    <x v="1"/>
    <x v="1"/>
    <x v="2"/>
    <x v="0"/>
    <x v="19"/>
    <x v="3"/>
    <x v="0"/>
    <x v="1"/>
  </r>
  <r>
    <s v="TX500052"/>
    <x v="8"/>
    <x v="1"/>
    <n v="24.3"/>
    <x v="51"/>
    <x v="1"/>
    <x v="5"/>
    <x v="2"/>
    <x v="1"/>
    <x v="0"/>
    <x v="0"/>
    <x v="19"/>
    <x v="2"/>
    <x v="0"/>
    <x v="2"/>
  </r>
  <r>
    <s v="TX500053"/>
    <x v="8"/>
    <x v="2"/>
    <n v="41.7"/>
    <x v="52"/>
    <x v="1"/>
    <x v="2"/>
    <x v="1"/>
    <x v="0"/>
    <x v="2"/>
    <x v="0"/>
    <x v="20"/>
    <x v="1"/>
    <x v="0"/>
    <x v="1"/>
  </r>
  <r>
    <s v="TX500054"/>
    <x v="0"/>
    <x v="1"/>
    <n v="18"/>
    <x v="53"/>
    <x v="1"/>
    <x v="1"/>
    <x v="2"/>
    <x v="0"/>
    <x v="2"/>
    <x v="0"/>
    <x v="21"/>
    <x v="3"/>
    <x v="0"/>
    <x v="2"/>
  </r>
  <r>
    <s v="TX500055"/>
    <x v="7"/>
    <x v="2"/>
    <n v="91.3"/>
    <x v="54"/>
    <x v="1"/>
    <x v="5"/>
    <x v="1"/>
    <x v="2"/>
    <x v="2"/>
    <x v="0"/>
    <x v="3"/>
    <x v="2"/>
    <x v="0"/>
    <x v="1"/>
  </r>
  <r>
    <s v="TX500056"/>
    <x v="8"/>
    <x v="8"/>
    <n v="19.3"/>
    <x v="55"/>
    <x v="1"/>
    <x v="1"/>
    <x v="1"/>
    <x v="0"/>
    <x v="0"/>
    <x v="0"/>
    <x v="3"/>
    <x v="3"/>
    <x v="0"/>
    <x v="1"/>
  </r>
  <r>
    <s v="TX500057"/>
    <x v="12"/>
    <x v="15"/>
    <n v="63.2"/>
    <x v="56"/>
    <x v="1"/>
    <x v="1"/>
    <x v="2"/>
    <x v="0"/>
    <x v="0"/>
    <x v="0"/>
    <x v="3"/>
    <x v="3"/>
    <x v="0"/>
    <x v="2"/>
  </r>
  <r>
    <s v="TX500058"/>
    <x v="10"/>
    <x v="11"/>
    <n v="33.299999999999997"/>
    <x v="57"/>
    <x v="2"/>
    <x v="7"/>
    <x v="2"/>
    <x v="0"/>
    <x v="2"/>
    <x v="0"/>
    <x v="3"/>
    <x v="9"/>
    <x v="0"/>
    <x v="2"/>
  </r>
  <r>
    <s v="TX500059"/>
    <x v="7"/>
    <x v="1"/>
    <n v="64.2"/>
    <x v="58"/>
    <x v="2"/>
    <x v="2"/>
    <x v="1"/>
    <x v="0"/>
    <x v="2"/>
    <x v="0"/>
    <x v="3"/>
    <x v="3"/>
    <x v="0"/>
    <x v="1"/>
  </r>
  <r>
    <s v="TX500060"/>
    <x v="9"/>
    <x v="2"/>
    <n v="23.1"/>
    <x v="59"/>
    <x v="2"/>
    <x v="0"/>
    <x v="2"/>
    <x v="1"/>
    <x v="2"/>
    <x v="0"/>
    <x v="3"/>
    <x v="2"/>
    <x v="0"/>
    <x v="2"/>
  </r>
  <r>
    <s v="TX500061"/>
    <x v="15"/>
    <x v="1"/>
    <n v="71.099999999999994"/>
    <x v="60"/>
    <x v="2"/>
    <x v="5"/>
    <x v="2"/>
    <x v="3"/>
    <x v="1"/>
    <x v="0"/>
    <x v="3"/>
    <x v="1"/>
    <x v="0"/>
    <x v="2"/>
  </r>
  <r>
    <s v="TX500062"/>
    <x v="0"/>
    <x v="1"/>
    <n v="11.5"/>
    <x v="61"/>
    <x v="2"/>
    <x v="2"/>
    <x v="2"/>
    <x v="0"/>
    <x v="0"/>
    <x v="0"/>
    <x v="3"/>
    <x v="3"/>
    <x v="0"/>
    <x v="2"/>
  </r>
  <r>
    <s v="TX500063"/>
    <x v="15"/>
    <x v="10"/>
    <n v="69.2"/>
    <x v="62"/>
    <x v="2"/>
    <x v="6"/>
    <x v="2"/>
    <x v="0"/>
    <x v="0"/>
    <x v="0"/>
    <x v="3"/>
    <x v="0"/>
    <x v="0"/>
    <x v="2"/>
  </r>
  <r>
    <s v="TX500064"/>
    <x v="0"/>
    <x v="0"/>
    <n v="26.8"/>
    <x v="63"/>
    <x v="2"/>
    <x v="2"/>
    <x v="1"/>
    <x v="2"/>
    <x v="4"/>
    <x v="0"/>
    <x v="3"/>
    <x v="3"/>
    <x v="0"/>
    <x v="1"/>
  </r>
  <r>
    <s v="TX500065"/>
    <x v="16"/>
    <x v="2"/>
    <n v="31.2"/>
    <x v="64"/>
    <x v="2"/>
    <x v="0"/>
    <x v="2"/>
    <x v="0"/>
    <x v="0"/>
    <x v="0"/>
    <x v="3"/>
    <x v="2"/>
    <x v="0"/>
    <x v="2"/>
  </r>
  <r>
    <s v="TX500066"/>
    <x v="12"/>
    <x v="1"/>
    <n v="113.2"/>
    <x v="65"/>
    <x v="2"/>
    <x v="2"/>
    <x v="2"/>
    <x v="4"/>
    <x v="0"/>
    <x v="0"/>
    <x v="3"/>
    <x v="3"/>
    <x v="0"/>
    <x v="2"/>
  </r>
  <r>
    <s v="TX500067"/>
    <x v="10"/>
    <x v="8"/>
    <n v="21"/>
    <x v="66"/>
    <x v="2"/>
    <x v="2"/>
    <x v="1"/>
    <x v="0"/>
    <x v="0"/>
    <x v="0"/>
    <x v="6"/>
    <x v="3"/>
    <x v="0"/>
    <x v="1"/>
  </r>
  <r>
    <s v="TX500068"/>
    <x v="1"/>
    <x v="1"/>
    <n v="89.1"/>
    <x v="67"/>
    <x v="2"/>
    <x v="2"/>
    <x v="2"/>
    <x v="2"/>
    <x v="2"/>
    <x v="0"/>
    <x v="6"/>
    <x v="3"/>
    <x v="0"/>
    <x v="2"/>
  </r>
  <r>
    <s v="TX500069"/>
    <x v="1"/>
    <x v="0"/>
    <n v="97.7"/>
    <x v="68"/>
    <x v="2"/>
    <x v="5"/>
    <x v="2"/>
    <x v="0"/>
    <x v="1"/>
    <x v="0"/>
    <x v="6"/>
    <x v="1"/>
    <x v="0"/>
    <x v="2"/>
  </r>
  <r>
    <s v="TX500070"/>
    <x v="15"/>
    <x v="12"/>
    <n v="97.7"/>
    <x v="69"/>
    <x v="2"/>
    <x v="5"/>
    <x v="1"/>
    <x v="3"/>
    <x v="0"/>
    <x v="0"/>
    <x v="6"/>
    <x v="1"/>
    <x v="0"/>
    <x v="1"/>
  </r>
  <r>
    <s v="TX500071"/>
    <x v="17"/>
    <x v="2"/>
    <n v="47.4"/>
    <x v="60"/>
    <x v="2"/>
    <x v="0"/>
    <x v="1"/>
    <x v="3"/>
    <x v="2"/>
    <x v="0"/>
    <x v="8"/>
    <x v="2"/>
    <x v="0"/>
    <x v="1"/>
  </r>
  <r>
    <s v="TX500072"/>
    <x v="7"/>
    <x v="0"/>
    <n v="89.6"/>
    <x v="70"/>
    <x v="2"/>
    <x v="0"/>
    <x v="2"/>
    <x v="0"/>
    <x v="2"/>
    <x v="0"/>
    <x v="8"/>
    <x v="2"/>
    <x v="0"/>
    <x v="2"/>
  </r>
  <r>
    <s v="TX500073"/>
    <x v="10"/>
    <x v="16"/>
    <n v="28.4"/>
    <x v="71"/>
    <x v="2"/>
    <x v="0"/>
    <x v="2"/>
    <x v="3"/>
    <x v="2"/>
    <x v="0"/>
    <x v="17"/>
    <x v="2"/>
    <x v="0"/>
    <x v="2"/>
  </r>
  <r>
    <s v="TX500074"/>
    <x v="0"/>
    <x v="1"/>
    <n v="17.899999999999999"/>
    <x v="72"/>
    <x v="2"/>
    <x v="2"/>
    <x v="2"/>
    <x v="0"/>
    <x v="2"/>
    <x v="0"/>
    <x v="9"/>
    <x v="3"/>
    <x v="0"/>
    <x v="2"/>
  </r>
  <r>
    <s v="TX500075"/>
    <x v="9"/>
    <x v="1"/>
    <n v="48.4"/>
    <x v="73"/>
    <x v="2"/>
    <x v="0"/>
    <x v="1"/>
    <x v="1"/>
    <x v="0"/>
    <x v="0"/>
    <x v="9"/>
    <x v="2"/>
    <x v="0"/>
    <x v="1"/>
  </r>
  <r>
    <s v="TX500076"/>
    <x v="12"/>
    <x v="12"/>
    <n v="44.4"/>
    <x v="74"/>
    <x v="2"/>
    <x v="2"/>
    <x v="3"/>
    <x v="1"/>
    <x v="1"/>
    <x v="0"/>
    <x v="11"/>
    <x v="3"/>
    <x v="0"/>
    <x v="3"/>
  </r>
  <r>
    <s v="TX500077"/>
    <x v="2"/>
    <x v="8"/>
    <n v="103.7"/>
    <x v="75"/>
    <x v="2"/>
    <x v="2"/>
    <x v="2"/>
    <x v="0"/>
    <x v="1"/>
    <x v="0"/>
    <x v="19"/>
    <x v="3"/>
    <x v="0"/>
    <x v="2"/>
  </r>
  <r>
    <s v="TX500078"/>
    <x v="5"/>
    <x v="12"/>
    <n v="58.6"/>
    <x v="76"/>
    <x v="2"/>
    <x v="5"/>
    <x v="1"/>
    <x v="3"/>
    <x v="0"/>
    <x v="0"/>
    <x v="19"/>
    <x v="1"/>
    <x v="0"/>
    <x v="1"/>
  </r>
  <r>
    <s v="TX500079"/>
    <x v="9"/>
    <x v="12"/>
    <n v="54.8"/>
    <x v="77"/>
    <x v="2"/>
    <x v="4"/>
    <x v="2"/>
    <x v="2"/>
    <x v="1"/>
    <x v="0"/>
    <x v="13"/>
    <x v="5"/>
    <x v="0"/>
    <x v="2"/>
  </r>
  <r>
    <s v="TX500080"/>
    <x v="12"/>
    <x v="2"/>
    <n v="78.8"/>
    <x v="78"/>
    <x v="2"/>
    <x v="8"/>
    <x v="2"/>
    <x v="4"/>
    <x v="1"/>
    <x v="0"/>
    <x v="21"/>
    <x v="4"/>
    <x v="0"/>
    <x v="2"/>
  </r>
  <r>
    <s v="TX500081"/>
    <x v="18"/>
    <x v="9"/>
    <n v="36.799999999999997"/>
    <x v="79"/>
    <x v="2"/>
    <x v="0"/>
    <x v="1"/>
    <x v="4"/>
    <x v="1"/>
    <x v="0"/>
    <x v="22"/>
    <x v="2"/>
    <x v="0"/>
    <x v="1"/>
  </r>
  <r>
    <s v="TX500082"/>
    <x v="6"/>
    <x v="13"/>
    <n v="50.6"/>
    <x v="80"/>
    <x v="2"/>
    <x v="5"/>
    <x v="2"/>
    <x v="3"/>
    <x v="0"/>
    <x v="0"/>
    <x v="3"/>
    <x v="1"/>
    <x v="0"/>
    <x v="2"/>
  </r>
  <r>
    <s v="TX500083"/>
    <x v="15"/>
    <x v="2"/>
    <n v="36.799999999999997"/>
    <x v="81"/>
    <x v="2"/>
    <x v="1"/>
    <x v="1"/>
    <x v="2"/>
    <x v="1"/>
    <x v="0"/>
    <x v="3"/>
    <x v="7"/>
    <x v="0"/>
    <x v="1"/>
  </r>
  <r>
    <s v="TX500084"/>
    <x v="8"/>
    <x v="11"/>
    <n v="41.8"/>
    <x v="82"/>
    <x v="3"/>
    <x v="9"/>
    <x v="2"/>
    <x v="3"/>
    <x v="0"/>
    <x v="0"/>
    <x v="3"/>
    <x v="4"/>
    <x v="0"/>
    <x v="2"/>
  </r>
  <r>
    <s v="TX500085"/>
    <x v="18"/>
    <x v="0"/>
    <n v="77.3"/>
    <x v="83"/>
    <x v="3"/>
    <x v="5"/>
    <x v="1"/>
    <x v="4"/>
    <x v="4"/>
    <x v="0"/>
    <x v="3"/>
    <x v="3"/>
    <x v="0"/>
    <x v="1"/>
  </r>
  <r>
    <s v="TX500086"/>
    <x v="8"/>
    <x v="12"/>
    <n v="19.8"/>
    <x v="84"/>
    <x v="3"/>
    <x v="9"/>
    <x v="1"/>
    <x v="1"/>
    <x v="2"/>
    <x v="0"/>
    <x v="3"/>
    <x v="4"/>
    <x v="0"/>
    <x v="1"/>
  </r>
  <r>
    <s v="TX500087"/>
    <x v="13"/>
    <x v="12"/>
    <n v="15.5"/>
    <x v="85"/>
    <x v="3"/>
    <x v="5"/>
    <x v="2"/>
    <x v="1"/>
    <x v="2"/>
    <x v="0"/>
    <x v="3"/>
    <x v="3"/>
    <x v="0"/>
    <x v="2"/>
  </r>
  <r>
    <s v="TX500088"/>
    <x v="12"/>
    <x v="0"/>
    <n v="46.8"/>
    <x v="86"/>
    <x v="3"/>
    <x v="6"/>
    <x v="1"/>
    <x v="0"/>
    <x v="2"/>
    <x v="0"/>
    <x v="3"/>
    <x v="5"/>
    <x v="0"/>
    <x v="1"/>
  </r>
  <r>
    <s v="TX500089"/>
    <x v="9"/>
    <x v="11"/>
    <n v="28.6"/>
    <x v="87"/>
    <x v="3"/>
    <x v="6"/>
    <x v="1"/>
    <x v="0"/>
    <x v="2"/>
    <x v="0"/>
    <x v="3"/>
    <x v="5"/>
    <x v="0"/>
    <x v="1"/>
  </r>
  <r>
    <s v="TX500090"/>
    <x v="2"/>
    <x v="0"/>
    <n v="97.7"/>
    <x v="68"/>
    <x v="3"/>
    <x v="4"/>
    <x v="2"/>
    <x v="1"/>
    <x v="0"/>
    <x v="0"/>
    <x v="3"/>
    <x v="2"/>
    <x v="0"/>
    <x v="2"/>
  </r>
  <r>
    <s v="TX500091"/>
    <x v="9"/>
    <x v="9"/>
    <n v="54.7"/>
    <x v="88"/>
    <x v="3"/>
    <x v="4"/>
    <x v="0"/>
    <x v="0"/>
    <x v="2"/>
    <x v="0"/>
    <x v="23"/>
    <x v="2"/>
    <x v="0"/>
    <x v="0"/>
  </r>
  <r>
    <s v="TX500092"/>
    <x v="2"/>
    <x v="13"/>
    <n v="130.5"/>
    <x v="89"/>
    <x v="3"/>
    <x v="0"/>
    <x v="2"/>
    <x v="0"/>
    <x v="1"/>
    <x v="0"/>
    <x v="23"/>
    <x v="1"/>
    <x v="0"/>
    <x v="2"/>
  </r>
  <r>
    <s v="TX500093"/>
    <x v="11"/>
    <x v="1"/>
    <n v="50.4"/>
    <x v="90"/>
    <x v="3"/>
    <x v="0"/>
    <x v="1"/>
    <x v="2"/>
    <x v="2"/>
    <x v="0"/>
    <x v="6"/>
    <x v="1"/>
    <x v="0"/>
    <x v="1"/>
  </r>
  <r>
    <s v="TX500094"/>
    <x v="6"/>
    <x v="15"/>
    <n v="61.5"/>
    <x v="91"/>
    <x v="3"/>
    <x v="5"/>
    <x v="0"/>
    <x v="3"/>
    <x v="1"/>
    <x v="0"/>
    <x v="11"/>
    <x v="3"/>
    <x v="0"/>
    <x v="0"/>
  </r>
  <r>
    <s v="TX500095"/>
    <x v="9"/>
    <x v="12"/>
    <n v="30.1"/>
    <x v="92"/>
    <x v="3"/>
    <x v="5"/>
    <x v="2"/>
    <x v="0"/>
    <x v="2"/>
    <x v="0"/>
    <x v="21"/>
    <x v="3"/>
    <x v="0"/>
    <x v="2"/>
  </r>
  <r>
    <s v="TX500096"/>
    <x v="2"/>
    <x v="9"/>
    <n v="74.8"/>
    <x v="93"/>
    <x v="3"/>
    <x v="5"/>
    <x v="2"/>
    <x v="1"/>
    <x v="0"/>
    <x v="0"/>
    <x v="1"/>
    <x v="3"/>
    <x v="0"/>
    <x v="2"/>
  </r>
  <r>
    <s v="TX500097"/>
    <x v="16"/>
    <x v="2"/>
    <n v="64.900000000000006"/>
    <x v="94"/>
    <x v="3"/>
    <x v="7"/>
    <x v="1"/>
    <x v="0"/>
    <x v="0"/>
    <x v="0"/>
    <x v="2"/>
    <x v="6"/>
    <x v="0"/>
    <x v="1"/>
  </r>
  <r>
    <s v="TX500098"/>
    <x v="9"/>
    <x v="1"/>
    <n v="50.5"/>
    <x v="95"/>
    <x v="3"/>
    <x v="0"/>
    <x v="1"/>
    <x v="1"/>
    <x v="0"/>
    <x v="0"/>
    <x v="22"/>
    <x v="1"/>
    <x v="0"/>
    <x v="1"/>
  </r>
  <r>
    <s v="TX500099"/>
    <x v="11"/>
    <x v="3"/>
    <n v="63"/>
    <x v="96"/>
    <x v="3"/>
    <x v="4"/>
    <x v="1"/>
    <x v="3"/>
    <x v="2"/>
    <x v="0"/>
    <x v="3"/>
    <x v="2"/>
    <x v="0"/>
    <x v="1"/>
  </r>
  <r>
    <s v="TX500100"/>
    <x v="2"/>
    <x v="2"/>
    <n v="93.6"/>
    <x v="97"/>
    <x v="3"/>
    <x v="10"/>
    <x v="2"/>
    <x v="0"/>
    <x v="2"/>
    <x v="0"/>
    <x v="3"/>
    <x v="10"/>
    <x v="0"/>
    <x v="2"/>
  </r>
  <r>
    <s v="TX500101"/>
    <x v="5"/>
    <x v="17"/>
    <n v="41.4"/>
    <x v="98"/>
    <x v="3"/>
    <x v="6"/>
    <x v="1"/>
    <x v="2"/>
    <x v="2"/>
    <x v="0"/>
    <x v="3"/>
    <x v="5"/>
    <x v="0"/>
    <x v="1"/>
  </r>
  <r>
    <s v="TX500102"/>
    <x v="2"/>
    <x v="1"/>
    <n v="160"/>
    <x v="99"/>
    <x v="4"/>
    <x v="0"/>
    <x v="1"/>
    <x v="2"/>
    <x v="2"/>
    <x v="0"/>
    <x v="5"/>
    <x v="3"/>
    <x v="1"/>
    <x v="1"/>
  </r>
  <r>
    <s v="TX500103"/>
    <x v="19"/>
    <x v="5"/>
    <n v="10.5"/>
    <x v="100"/>
    <x v="4"/>
    <x v="6"/>
    <x v="2"/>
    <x v="4"/>
    <x v="0"/>
    <x v="0"/>
    <x v="8"/>
    <x v="2"/>
    <x v="1"/>
    <x v="2"/>
  </r>
  <r>
    <s v="TX500104"/>
    <x v="10"/>
    <x v="1"/>
    <n v="53"/>
    <x v="101"/>
    <x v="4"/>
    <x v="5"/>
    <x v="1"/>
    <x v="2"/>
    <x v="4"/>
    <x v="0"/>
    <x v="17"/>
    <x v="7"/>
    <x v="1"/>
    <x v="1"/>
  </r>
  <r>
    <s v="TX500105"/>
    <x v="8"/>
    <x v="2"/>
    <n v="18.5"/>
    <x v="102"/>
    <x v="4"/>
    <x v="9"/>
    <x v="2"/>
    <x v="1"/>
    <x v="2"/>
    <x v="0"/>
    <x v="11"/>
    <x v="0"/>
    <x v="1"/>
    <x v="2"/>
  </r>
  <r>
    <s v="TX500106"/>
    <x v="16"/>
    <x v="2"/>
    <n v="84.5"/>
    <x v="103"/>
    <x v="4"/>
    <x v="4"/>
    <x v="2"/>
    <x v="4"/>
    <x v="1"/>
    <x v="0"/>
    <x v="13"/>
    <x v="1"/>
    <x v="1"/>
    <x v="2"/>
  </r>
  <r>
    <s v="TX500107"/>
    <x v="15"/>
    <x v="3"/>
    <n v="31.2"/>
    <x v="104"/>
    <x v="4"/>
    <x v="5"/>
    <x v="2"/>
    <x v="2"/>
    <x v="2"/>
    <x v="0"/>
    <x v="3"/>
    <x v="7"/>
    <x v="1"/>
    <x v="2"/>
  </r>
  <r>
    <s v="TX500108"/>
    <x v="8"/>
    <x v="16"/>
    <n v="32.6"/>
    <x v="105"/>
    <x v="4"/>
    <x v="0"/>
    <x v="1"/>
    <x v="1"/>
    <x v="1"/>
    <x v="0"/>
    <x v="3"/>
    <x v="3"/>
    <x v="1"/>
    <x v="1"/>
  </r>
  <r>
    <s v="TX500109"/>
    <x v="10"/>
    <x v="12"/>
    <n v="45.4"/>
    <x v="106"/>
    <x v="4"/>
    <x v="4"/>
    <x v="1"/>
    <x v="1"/>
    <x v="0"/>
    <x v="0"/>
    <x v="3"/>
    <x v="1"/>
    <x v="1"/>
    <x v="1"/>
  </r>
  <r>
    <s v="TX500110"/>
    <x v="2"/>
    <x v="4"/>
    <n v="120"/>
    <x v="107"/>
    <x v="4"/>
    <x v="0"/>
    <x v="2"/>
    <x v="2"/>
    <x v="4"/>
    <x v="0"/>
    <x v="3"/>
    <x v="3"/>
    <x v="1"/>
    <x v="2"/>
  </r>
  <r>
    <s v="TX500111"/>
    <x v="0"/>
    <x v="12"/>
    <n v="18.899999999999999"/>
    <x v="108"/>
    <x v="4"/>
    <x v="4"/>
    <x v="1"/>
    <x v="0"/>
    <x v="2"/>
    <x v="0"/>
    <x v="3"/>
    <x v="1"/>
    <x v="1"/>
    <x v="1"/>
  </r>
  <r>
    <s v="TX500112"/>
    <x v="4"/>
    <x v="0"/>
    <n v="32"/>
    <x v="109"/>
    <x v="4"/>
    <x v="4"/>
    <x v="2"/>
    <x v="4"/>
    <x v="0"/>
    <x v="0"/>
    <x v="3"/>
    <x v="1"/>
    <x v="1"/>
    <x v="2"/>
  </r>
  <r>
    <s v="TX500113"/>
    <x v="7"/>
    <x v="1"/>
    <n v="37.299999999999997"/>
    <x v="110"/>
    <x v="4"/>
    <x v="0"/>
    <x v="1"/>
    <x v="2"/>
    <x v="0"/>
    <x v="0"/>
    <x v="3"/>
    <x v="3"/>
    <x v="1"/>
    <x v="1"/>
  </r>
  <r>
    <s v="TX500114"/>
    <x v="18"/>
    <x v="0"/>
    <n v="119.8"/>
    <x v="111"/>
    <x v="4"/>
    <x v="0"/>
    <x v="1"/>
    <x v="1"/>
    <x v="1"/>
    <x v="0"/>
    <x v="3"/>
    <x v="3"/>
    <x v="1"/>
    <x v="1"/>
  </r>
  <r>
    <s v="TX500115"/>
    <x v="10"/>
    <x v="1"/>
    <n v="26.4"/>
    <x v="112"/>
    <x v="4"/>
    <x v="6"/>
    <x v="1"/>
    <x v="2"/>
    <x v="0"/>
    <x v="0"/>
    <x v="3"/>
    <x v="2"/>
    <x v="1"/>
    <x v="1"/>
  </r>
  <r>
    <s v="TX500116"/>
    <x v="6"/>
    <x v="13"/>
    <n v="76.5"/>
    <x v="113"/>
    <x v="4"/>
    <x v="0"/>
    <x v="2"/>
    <x v="1"/>
    <x v="1"/>
    <x v="0"/>
    <x v="3"/>
    <x v="3"/>
    <x v="1"/>
    <x v="2"/>
  </r>
  <r>
    <s v="TX500117"/>
    <x v="4"/>
    <x v="7"/>
    <n v="45.7"/>
    <x v="114"/>
    <x v="4"/>
    <x v="0"/>
    <x v="2"/>
    <x v="2"/>
    <x v="0"/>
    <x v="0"/>
    <x v="24"/>
    <x v="3"/>
    <x v="1"/>
    <x v="2"/>
  </r>
  <r>
    <s v="TX500118"/>
    <x v="1"/>
    <x v="4"/>
    <n v="92.6"/>
    <x v="115"/>
    <x v="4"/>
    <x v="4"/>
    <x v="2"/>
    <x v="2"/>
    <x v="0"/>
    <x v="0"/>
    <x v="25"/>
    <x v="1"/>
    <x v="1"/>
    <x v="2"/>
  </r>
  <r>
    <s v="TX500119"/>
    <x v="6"/>
    <x v="13"/>
    <n v="60.1"/>
    <x v="116"/>
    <x v="4"/>
    <x v="0"/>
    <x v="1"/>
    <x v="1"/>
    <x v="0"/>
    <x v="0"/>
    <x v="23"/>
    <x v="3"/>
    <x v="1"/>
    <x v="1"/>
  </r>
  <r>
    <s v="TX500120"/>
    <x v="1"/>
    <x v="2"/>
    <n v="73"/>
    <x v="20"/>
    <x v="4"/>
    <x v="0"/>
    <x v="2"/>
    <x v="3"/>
    <x v="1"/>
    <x v="0"/>
    <x v="6"/>
    <x v="3"/>
    <x v="1"/>
    <x v="2"/>
  </r>
  <r>
    <s v="TX500121"/>
    <x v="6"/>
    <x v="2"/>
    <n v="44.3"/>
    <x v="117"/>
    <x v="4"/>
    <x v="8"/>
    <x v="0"/>
    <x v="2"/>
    <x v="2"/>
    <x v="0"/>
    <x v="6"/>
    <x v="5"/>
    <x v="1"/>
    <x v="0"/>
  </r>
  <r>
    <s v="TX500122"/>
    <x v="6"/>
    <x v="2"/>
    <n v="63.3"/>
    <x v="118"/>
    <x v="4"/>
    <x v="0"/>
    <x v="1"/>
    <x v="2"/>
    <x v="0"/>
    <x v="0"/>
    <x v="6"/>
    <x v="3"/>
    <x v="1"/>
    <x v="1"/>
  </r>
  <r>
    <s v="TX500123"/>
    <x v="12"/>
    <x v="0"/>
    <n v="66.8"/>
    <x v="119"/>
    <x v="4"/>
    <x v="0"/>
    <x v="2"/>
    <x v="1"/>
    <x v="0"/>
    <x v="0"/>
    <x v="6"/>
    <x v="3"/>
    <x v="1"/>
    <x v="2"/>
  </r>
  <r>
    <s v="TX500124"/>
    <x v="2"/>
    <x v="1"/>
    <n v="59.7"/>
    <x v="120"/>
    <x v="4"/>
    <x v="0"/>
    <x v="2"/>
    <x v="0"/>
    <x v="0"/>
    <x v="0"/>
    <x v="7"/>
    <x v="3"/>
    <x v="1"/>
    <x v="2"/>
  </r>
  <r>
    <s v="TX500125"/>
    <x v="1"/>
    <x v="13"/>
    <n v="92"/>
    <x v="121"/>
    <x v="4"/>
    <x v="4"/>
    <x v="1"/>
    <x v="0"/>
    <x v="4"/>
    <x v="0"/>
    <x v="7"/>
    <x v="1"/>
    <x v="1"/>
    <x v="1"/>
  </r>
  <r>
    <s v="TX500126"/>
    <x v="7"/>
    <x v="1"/>
    <n v="87.6"/>
    <x v="122"/>
    <x v="4"/>
    <x v="4"/>
    <x v="1"/>
    <x v="1"/>
    <x v="1"/>
    <x v="0"/>
    <x v="8"/>
    <x v="1"/>
    <x v="1"/>
    <x v="1"/>
  </r>
  <r>
    <s v="TX500127"/>
    <x v="6"/>
    <x v="2"/>
    <n v="84.5"/>
    <x v="103"/>
    <x v="4"/>
    <x v="0"/>
    <x v="2"/>
    <x v="1"/>
    <x v="1"/>
    <x v="0"/>
    <x v="8"/>
    <x v="3"/>
    <x v="1"/>
    <x v="2"/>
  </r>
  <r>
    <s v="TX500128"/>
    <x v="1"/>
    <x v="1"/>
    <n v="116.3"/>
    <x v="123"/>
    <x v="5"/>
    <x v="6"/>
    <x v="1"/>
    <x v="2"/>
    <x v="2"/>
    <x v="0"/>
    <x v="8"/>
    <x v="1"/>
    <x v="1"/>
    <x v="1"/>
  </r>
  <r>
    <s v="TX500129"/>
    <x v="6"/>
    <x v="9"/>
    <n v="52.7"/>
    <x v="124"/>
    <x v="5"/>
    <x v="9"/>
    <x v="1"/>
    <x v="0"/>
    <x v="0"/>
    <x v="0"/>
    <x v="8"/>
    <x v="5"/>
    <x v="1"/>
    <x v="1"/>
  </r>
  <r>
    <s v="TX500130"/>
    <x v="16"/>
    <x v="2"/>
    <n v="34.200000000000003"/>
    <x v="125"/>
    <x v="5"/>
    <x v="4"/>
    <x v="1"/>
    <x v="0"/>
    <x v="2"/>
    <x v="0"/>
    <x v="26"/>
    <x v="3"/>
    <x v="1"/>
    <x v="1"/>
  </r>
  <r>
    <s v="TX500131"/>
    <x v="9"/>
    <x v="0"/>
    <n v="23.3"/>
    <x v="126"/>
    <x v="5"/>
    <x v="11"/>
    <x v="3"/>
    <x v="2"/>
    <x v="2"/>
    <x v="0"/>
    <x v="9"/>
    <x v="8"/>
    <x v="1"/>
    <x v="3"/>
  </r>
  <r>
    <s v="TX500132"/>
    <x v="0"/>
    <x v="18"/>
    <n v="25.9"/>
    <x v="127"/>
    <x v="5"/>
    <x v="8"/>
    <x v="2"/>
    <x v="4"/>
    <x v="1"/>
    <x v="0"/>
    <x v="9"/>
    <x v="2"/>
    <x v="1"/>
    <x v="2"/>
  </r>
  <r>
    <s v="TX500133"/>
    <x v="6"/>
    <x v="19"/>
    <n v="54.9"/>
    <x v="128"/>
    <x v="5"/>
    <x v="4"/>
    <x v="1"/>
    <x v="1"/>
    <x v="2"/>
    <x v="0"/>
    <x v="9"/>
    <x v="3"/>
    <x v="1"/>
    <x v="1"/>
  </r>
  <r>
    <s v="TX500134"/>
    <x v="5"/>
    <x v="2"/>
    <n v="75.8"/>
    <x v="129"/>
    <x v="5"/>
    <x v="7"/>
    <x v="3"/>
    <x v="1"/>
    <x v="0"/>
    <x v="0"/>
    <x v="18"/>
    <x v="0"/>
    <x v="1"/>
    <x v="3"/>
  </r>
  <r>
    <s v="TX500135"/>
    <x v="1"/>
    <x v="11"/>
    <n v="44.9"/>
    <x v="130"/>
    <x v="5"/>
    <x v="8"/>
    <x v="2"/>
    <x v="2"/>
    <x v="2"/>
    <x v="0"/>
    <x v="2"/>
    <x v="2"/>
    <x v="1"/>
    <x v="2"/>
  </r>
  <r>
    <s v="TX500136"/>
    <x v="11"/>
    <x v="1"/>
    <n v="48.8"/>
    <x v="131"/>
    <x v="5"/>
    <x v="6"/>
    <x v="2"/>
    <x v="3"/>
    <x v="0"/>
    <x v="0"/>
    <x v="27"/>
    <x v="1"/>
    <x v="1"/>
    <x v="2"/>
  </r>
  <r>
    <s v="TX500137"/>
    <x v="15"/>
    <x v="0"/>
    <n v="20.3"/>
    <x v="132"/>
    <x v="5"/>
    <x v="4"/>
    <x v="2"/>
    <x v="0"/>
    <x v="2"/>
    <x v="0"/>
    <x v="22"/>
    <x v="3"/>
    <x v="1"/>
    <x v="2"/>
  </r>
  <r>
    <s v="TX500138"/>
    <x v="5"/>
    <x v="3"/>
    <n v="36.4"/>
    <x v="133"/>
    <x v="5"/>
    <x v="8"/>
    <x v="2"/>
    <x v="0"/>
    <x v="1"/>
    <x v="0"/>
    <x v="3"/>
    <x v="2"/>
    <x v="1"/>
    <x v="2"/>
  </r>
  <r>
    <s v="TX500139"/>
    <x v="0"/>
    <x v="0"/>
    <n v="19"/>
    <x v="134"/>
    <x v="5"/>
    <x v="7"/>
    <x v="2"/>
    <x v="1"/>
    <x v="2"/>
    <x v="0"/>
    <x v="3"/>
    <x v="0"/>
    <x v="1"/>
    <x v="2"/>
  </r>
  <r>
    <s v="TX500140"/>
    <x v="8"/>
    <x v="0"/>
    <n v="17.8"/>
    <x v="135"/>
    <x v="5"/>
    <x v="0"/>
    <x v="1"/>
    <x v="0"/>
    <x v="0"/>
    <x v="0"/>
    <x v="3"/>
    <x v="7"/>
    <x v="1"/>
    <x v="1"/>
  </r>
  <r>
    <s v="TX500141"/>
    <x v="2"/>
    <x v="13"/>
    <n v="139.6"/>
    <x v="136"/>
    <x v="5"/>
    <x v="8"/>
    <x v="1"/>
    <x v="0"/>
    <x v="0"/>
    <x v="0"/>
    <x v="3"/>
    <x v="2"/>
    <x v="1"/>
    <x v="1"/>
  </r>
  <r>
    <s v="TX500142"/>
    <x v="9"/>
    <x v="0"/>
    <n v="31.7"/>
    <x v="137"/>
    <x v="5"/>
    <x v="0"/>
    <x v="0"/>
    <x v="0"/>
    <x v="0"/>
    <x v="0"/>
    <x v="3"/>
    <x v="7"/>
    <x v="1"/>
    <x v="0"/>
  </r>
  <r>
    <s v="TX500143"/>
    <x v="8"/>
    <x v="8"/>
    <n v="26.3"/>
    <x v="138"/>
    <x v="5"/>
    <x v="8"/>
    <x v="2"/>
    <x v="4"/>
    <x v="4"/>
    <x v="0"/>
    <x v="3"/>
    <x v="2"/>
    <x v="1"/>
    <x v="2"/>
  </r>
  <r>
    <s v="TX500144"/>
    <x v="4"/>
    <x v="1"/>
    <n v="47.8"/>
    <x v="139"/>
    <x v="5"/>
    <x v="4"/>
    <x v="0"/>
    <x v="0"/>
    <x v="0"/>
    <x v="0"/>
    <x v="3"/>
    <x v="3"/>
    <x v="1"/>
    <x v="0"/>
  </r>
  <r>
    <s v="TX500145"/>
    <x v="9"/>
    <x v="2"/>
    <n v="69.400000000000006"/>
    <x v="140"/>
    <x v="5"/>
    <x v="9"/>
    <x v="2"/>
    <x v="0"/>
    <x v="0"/>
    <x v="0"/>
    <x v="3"/>
    <x v="5"/>
    <x v="1"/>
    <x v="2"/>
  </r>
  <r>
    <s v="TX500146"/>
    <x v="18"/>
    <x v="4"/>
    <n v="25.8"/>
    <x v="141"/>
    <x v="5"/>
    <x v="4"/>
    <x v="1"/>
    <x v="4"/>
    <x v="4"/>
    <x v="0"/>
    <x v="3"/>
    <x v="3"/>
    <x v="1"/>
    <x v="1"/>
  </r>
  <r>
    <s v="TX500147"/>
    <x v="0"/>
    <x v="12"/>
    <n v="26.4"/>
    <x v="142"/>
    <x v="5"/>
    <x v="4"/>
    <x v="1"/>
    <x v="1"/>
    <x v="2"/>
    <x v="0"/>
    <x v="3"/>
    <x v="3"/>
    <x v="1"/>
    <x v="1"/>
  </r>
  <r>
    <s v="TX500148"/>
    <x v="8"/>
    <x v="12"/>
    <n v="15.7"/>
    <x v="143"/>
    <x v="5"/>
    <x v="4"/>
    <x v="1"/>
    <x v="2"/>
    <x v="0"/>
    <x v="0"/>
    <x v="3"/>
    <x v="3"/>
    <x v="1"/>
    <x v="1"/>
  </r>
  <r>
    <s v="TX500149"/>
    <x v="8"/>
    <x v="0"/>
    <n v="39.700000000000003"/>
    <x v="144"/>
    <x v="5"/>
    <x v="9"/>
    <x v="1"/>
    <x v="0"/>
    <x v="0"/>
    <x v="0"/>
    <x v="3"/>
    <x v="5"/>
    <x v="1"/>
    <x v="1"/>
  </r>
  <r>
    <s v="TX500150"/>
    <x v="10"/>
    <x v="12"/>
    <n v="31.1"/>
    <x v="145"/>
    <x v="5"/>
    <x v="6"/>
    <x v="2"/>
    <x v="2"/>
    <x v="1"/>
    <x v="0"/>
    <x v="3"/>
    <x v="1"/>
    <x v="1"/>
    <x v="2"/>
  </r>
  <r>
    <s v="TX500151"/>
    <x v="13"/>
    <x v="20"/>
    <n v="23.4"/>
    <x v="146"/>
    <x v="5"/>
    <x v="11"/>
    <x v="1"/>
    <x v="0"/>
    <x v="0"/>
    <x v="0"/>
    <x v="3"/>
    <x v="8"/>
    <x v="1"/>
    <x v="1"/>
  </r>
  <r>
    <s v="TX500152"/>
    <x v="1"/>
    <x v="12"/>
    <n v="57.1"/>
    <x v="147"/>
    <x v="6"/>
    <x v="6"/>
    <x v="1"/>
    <x v="2"/>
    <x v="0"/>
    <x v="0"/>
    <x v="25"/>
    <x v="3"/>
    <x v="1"/>
    <x v="1"/>
  </r>
  <r>
    <s v="TX500153"/>
    <x v="2"/>
    <x v="9"/>
    <n v="89.9"/>
    <x v="148"/>
    <x v="6"/>
    <x v="4"/>
    <x v="2"/>
    <x v="0"/>
    <x v="3"/>
    <x v="0"/>
    <x v="23"/>
    <x v="7"/>
    <x v="1"/>
    <x v="2"/>
  </r>
  <r>
    <s v="TX500154"/>
    <x v="10"/>
    <x v="3"/>
    <n v="48.1"/>
    <x v="149"/>
    <x v="6"/>
    <x v="8"/>
    <x v="2"/>
    <x v="1"/>
    <x v="2"/>
    <x v="0"/>
    <x v="6"/>
    <x v="1"/>
    <x v="1"/>
    <x v="2"/>
  </r>
  <r>
    <s v="TX500155"/>
    <x v="8"/>
    <x v="1"/>
    <n v="29.3"/>
    <x v="150"/>
    <x v="6"/>
    <x v="4"/>
    <x v="2"/>
    <x v="1"/>
    <x v="1"/>
    <x v="0"/>
    <x v="6"/>
    <x v="7"/>
    <x v="1"/>
    <x v="2"/>
  </r>
  <r>
    <s v="TX500156"/>
    <x v="8"/>
    <x v="12"/>
    <n v="28.8"/>
    <x v="151"/>
    <x v="6"/>
    <x v="6"/>
    <x v="2"/>
    <x v="0"/>
    <x v="4"/>
    <x v="0"/>
    <x v="6"/>
    <x v="3"/>
    <x v="1"/>
    <x v="2"/>
  </r>
  <r>
    <s v="TX500157"/>
    <x v="10"/>
    <x v="9"/>
    <n v="40.5"/>
    <x v="152"/>
    <x v="6"/>
    <x v="7"/>
    <x v="2"/>
    <x v="3"/>
    <x v="0"/>
    <x v="0"/>
    <x v="6"/>
    <x v="5"/>
    <x v="1"/>
    <x v="2"/>
  </r>
  <r>
    <s v="TX500158"/>
    <x v="18"/>
    <x v="21"/>
    <n v="65.099999999999994"/>
    <x v="153"/>
    <x v="6"/>
    <x v="6"/>
    <x v="2"/>
    <x v="4"/>
    <x v="0"/>
    <x v="0"/>
    <x v="7"/>
    <x v="3"/>
    <x v="1"/>
    <x v="2"/>
  </r>
  <r>
    <s v="TX500159"/>
    <x v="8"/>
    <x v="12"/>
    <n v="40.299999999999997"/>
    <x v="154"/>
    <x v="6"/>
    <x v="12"/>
    <x v="2"/>
    <x v="2"/>
    <x v="0"/>
    <x v="0"/>
    <x v="7"/>
    <x v="0"/>
    <x v="1"/>
    <x v="2"/>
  </r>
  <r>
    <s v="TX500160"/>
    <x v="6"/>
    <x v="9"/>
    <n v="51.8"/>
    <x v="155"/>
    <x v="6"/>
    <x v="6"/>
    <x v="1"/>
    <x v="2"/>
    <x v="2"/>
    <x v="0"/>
    <x v="8"/>
    <x v="3"/>
    <x v="1"/>
    <x v="1"/>
  </r>
  <r>
    <s v="TX500161"/>
    <x v="6"/>
    <x v="2"/>
    <n v="61.3"/>
    <x v="156"/>
    <x v="6"/>
    <x v="6"/>
    <x v="2"/>
    <x v="3"/>
    <x v="0"/>
    <x v="0"/>
    <x v="8"/>
    <x v="3"/>
    <x v="1"/>
    <x v="2"/>
  </r>
  <r>
    <s v="TX500162"/>
    <x v="2"/>
    <x v="12"/>
    <n v="122.5"/>
    <x v="157"/>
    <x v="6"/>
    <x v="6"/>
    <x v="1"/>
    <x v="0"/>
    <x v="0"/>
    <x v="0"/>
    <x v="8"/>
    <x v="3"/>
    <x v="1"/>
    <x v="1"/>
  </r>
  <r>
    <s v="TX500163"/>
    <x v="0"/>
    <x v="11"/>
    <n v="12.5"/>
    <x v="158"/>
    <x v="6"/>
    <x v="6"/>
    <x v="0"/>
    <x v="1"/>
    <x v="2"/>
    <x v="0"/>
    <x v="8"/>
    <x v="3"/>
    <x v="1"/>
    <x v="0"/>
  </r>
  <r>
    <s v="TX500164"/>
    <x v="15"/>
    <x v="8"/>
    <n v="37.5"/>
    <x v="159"/>
    <x v="6"/>
    <x v="6"/>
    <x v="2"/>
    <x v="0"/>
    <x v="0"/>
    <x v="0"/>
    <x v="9"/>
    <x v="3"/>
    <x v="1"/>
    <x v="2"/>
  </r>
  <r>
    <s v="TX500165"/>
    <x v="6"/>
    <x v="2"/>
    <n v="40"/>
    <x v="160"/>
    <x v="6"/>
    <x v="9"/>
    <x v="1"/>
    <x v="0"/>
    <x v="4"/>
    <x v="0"/>
    <x v="11"/>
    <x v="2"/>
    <x v="1"/>
    <x v="1"/>
  </r>
  <r>
    <s v="TX500166"/>
    <x v="17"/>
    <x v="8"/>
    <n v="38.5"/>
    <x v="161"/>
    <x v="6"/>
    <x v="12"/>
    <x v="2"/>
    <x v="2"/>
    <x v="1"/>
    <x v="0"/>
    <x v="11"/>
    <x v="0"/>
    <x v="1"/>
    <x v="2"/>
  </r>
  <r>
    <s v="TX500167"/>
    <x v="2"/>
    <x v="1"/>
    <n v="86.4"/>
    <x v="162"/>
    <x v="6"/>
    <x v="8"/>
    <x v="2"/>
    <x v="0"/>
    <x v="0"/>
    <x v="0"/>
    <x v="18"/>
    <x v="1"/>
    <x v="1"/>
    <x v="2"/>
  </r>
  <r>
    <s v="TX500168"/>
    <x v="10"/>
    <x v="0"/>
    <n v="50.7"/>
    <x v="163"/>
    <x v="6"/>
    <x v="7"/>
    <x v="2"/>
    <x v="1"/>
    <x v="0"/>
    <x v="0"/>
    <x v="18"/>
    <x v="5"/>
    <x v="1"/>
    <x v="2"/>
  </r>
  <r>
    <s v="TX500169"/>
    <x v="10"/>
    <x v="1"/>
    <n v="61"/>
    <x v="164"/>
    <x v="6"/>
    <x v="13"/>
    <x v="2"/>
    <x v="4"/>
    <x v="1"/>
    <x v="0"/>
    <x v="18"/>
    <x v="11"/>
    <x v="1"/>
    <x v="2"/>
  </r>
  <r>
    <s v="TX500170"/>
    <x v="4"/>
    <x v="1"/>
    <n v="19.899999999999999"/>
    <x v="165"/>
    <x v="6"/>
    <x v="9"/>
    <x v="2"/>
    <x v="1"/>
    <x v="0"/>
    <x v="0"/>
    <x v="28"/>
    <x v="2"/>
    <x v="1"/>
    <x v="2"/>
  </r>
  <r>
    <s v="TX500171"/>
    <x v="5"/>
    <x v="0"/>
    <n v="78.3"/>
    <x v="166"/>
    <x v="6"/>
    <x v="4"/>
    <x v="2"/>
    <x v="0"/>
    <x v="2"/>
    <x v="0"/>
    <x v="1"/>
    <x v="7"/>
    <x v="1"/>
    <x v="2"/>
  </r>
  <r>
    <s v="TX500172"/>
    <x v="0"/>
    <x v="10"/>
    <n v="10.4"/>
    <x v="167"/>
    <x v="6"/>
    <x v="8"/>
    <x v="1"/>
    <x v="0"/>
    <x v="2"/>
    <x v="0"/>
    <x v="2"/>
    <x v="1"/>
    <x v="1"/>
    <x v="1"/>
  </r>
  <r>
    <s v="TX500173"/>
    <x v="10"/>
    <x v="0"/>
    <n v="36.1"/>
    <x v="168"/>
    <x v="6"/>
    <x v="9"/>
    <x v="1"/>
    <x v="3"/>
    <x v="2"/>
    <x v="0"/>
    <x v="3"/>
    <x v="2"/>
    <x v="1"/>
    <x v="1"/>
  </r>
  <r>
    <s v="TX500174"/>
    <x v="14"/>
    <x v="1"/>
    <n v="17.3"/>
    <x v="169"/>
    <x v="6"/>
    <x v="8"/>
    <x v="2"/>
    <x v="1"/>
    <x v="2"/>
    <x v="0"/>
    <x v="3"/>
    <x v="1"/>
    <x v="1"/>
    <x v="2"/>
  </r>
  <r>
    <s v="TX500175"/>
    <x v="10"/>
    <x v="1"/>
    <n v="30.5"/>
    <x v="170"/>
    <x v="6"/>
    <x v="6"/>
    <x v="2"/>
    <x v="1"/>
    <x v="2"/>
    <x v="0"/>
    <x v="3"/>
    <x v="3"/>
    <x v="1"/>
    <x v="2"/>
  </r>
  <r>
    <s v="TX500176"/>
    <x v="18"/>
    <x v="22"/>
    <n v="70.099999999999994"/>
    <x v="171"/>
    <x v="6"/>
    <x v="4"/>
    <x v="2"/>
    <x v="2"/>
    <x v="0"/>
    <x v="0"/>
    <x v="3"/>
    <x v="7"/>
    <x v="1"/>
    <x v="2"/>
  </r>
  <r>
    <s v="TX500177"/>
    <x v="3"/>
    <x v="0"/>
    <n v="76.099999999999994"/>
    <x v="172"/>
    <x v="6"/>
    <x v="4"/>
    <x v="2"/>
    <x v="2"/>
    <x v="1"/>
    <x v="0"/>
    <x v="3"/>
    <x v="7"/>
    <x v="1"/>
    <x v="2"/>
  </r>
  <r>
    <s v="TX500178"/>
    <x v="15"/>
    <x v="15"/>
    <n v="34.200000000000003"/>
    <x v="173"/>
    <x v="6"/>
    <x v="6"/>
    <x v="1"/>
    <x v="0"/>
    <x v="0"/>
    <x v="0"/>
    <x v="3"/>
    <x v="3"/>
    <x v="1"/>
    <x v="1"/>
  </r>
  <r>
    <s v="TX500179"/>
    <x v="8"/>
    <x v="9"/>
    <n v="30.3"/>
    <x v="174"/>
    <x v="6"/>
    <x v="12"/>
    <x v="2"/>
    <x v="4"/>
    <x v="0"/>
    <x v="0"/>
    <x v="3"/>
    <x v="0"/>
    <x v="1"/>
    <x v="2"/>
  </r>
  <r>
    <s v="TX500180"/>
    <x v="6"/>
    <x v="9"/>
    <n v="52.5"/>
    <x v="175"/>
    <x v="6"/>
    <x v="7"/>
    <x v="0"/>
    <x v="3"/>
    <x v="0"/>
    <x v="0"/>
    <x v="3"/>
    <x v="5"/>
    <x v="1"/>
    <x v="0"/>
  </r>
  <r>
    <s v="TX500181"/>
    <x v="9"/>
    <x v="5"/>
    <n v="28.7"/>
    <x v="176"/>
    <x v="6"/>
    <x v="6"/>
    <x v="2"/>
    <x v="2"/>
    <x v="0"/>
    <x v="0"/>
    <x v="3"/>
    <x v="3"/>
    <x v="1"/>
    <x v="2"/>
  </r>
  <r>
    <s v="TX500182"/>
    <x v="7"/>
    <x v="3"/>
    <n v="52"/>
    <x v="177"/>
    <x v="6"/>
    <x v="6"/>
    <x v="1"/>
    <x v="1"/>
    <x v="4"/>
    <x v="0"/>
    <x v="3"/>
    <x v="3"/>
    <x v="1"/>
    <x v="1"/>
  </r>
  <r>
    <s v="TX500183"/>
    <x v="0"/>
    <x v="0"/>
    <n v="13.3"/>
    <x v="178"/>
    <x v="7"/>
    <x v="12"/>
    <x v="2"/>
    <x v="2"/>
    <x v="1"/>
    <x v="0"/>
    <x v="3"/>
    <x v="5"/>
    <x v="1"/>
    <x v="2"/>
  </r>
  <r>
    <s v="TX500184"/>
    <x v="0"/>
    <x v="2"/>
    <n v="15.7"/>
    <x v="179"/>
    <x v="7"/>
    <x v="8"/>
    <x v="2"/>
    <x v="1"/>
    <x v="0"/>
    <x v="0"/>
    <x v="29"/>
    <x v="3"/>
    <x v="1"/>
    <x v="2"/>
  </r>
  <r>
    <s v="TX500185"/>
    <x v="8"/>
    <x v="1"/>
    <n v="25.6"/>
    <x v="180"/>
    <x v="7"/>
    <x v="8"/>
    <x v="1"/>
    <x v="0"/>
    <x v="2"/>
    <x v="0"/>
    <x v="23"/>
    <x v="3"/>
    <x v="1"/>
    <x v="1"/>
  </r>
  <r>
    <s v="TX500186"/>
    <x v="8"/>
    <x v="0"/>
    <n v="43.4"/>
    <x v="181"/>
    <x v="7"/>
    <x v="14"/>
    <x v="1"/>
    <x v="0"/>
    <x v="0"/>
    <x v="0"/>
    <x v="6"/>
    <x v="0"/>
    <x v="1"/>
    <x v="1"/>
  </r>
  <r>
    <s v="TX500187"/>
    <x v="11"/>
    <x v="11"/>
    <n v="33.4"/>
    <x v="182"/>
    <x v="7"/>
    <x v="6"/>
    <x v="2"/>
    <x v="0"/>
    <x v="0"/>
    <x v="0"/>
    <x v="8"/>
    <x v="7"/>
    <x v="1"/>
    <x v="2"/>
  </r>
  <r>
    <s v="TX500188"/>
    <x v="8"/>
    <x v="10"/>
    <n v="55"/>
    <x v="183"/>
    <x v="7"/>
    <x v="8"/>
    <x v="2"/>
    <x v="1"/>
    <x v="2"/>
    <x v="0"/>
    <x v="8"/>
    <x v="3"/>
    <x v="1"/>
    <x v="2"/>
  </r>
  <r>
    <s v="TX500189"/>
    <x v="8"/>
    <x v="2"/>
    <n v="23.6"/>
    <x v="184"/>
    <x v="7"/>
    <x v="8"/>
    <x v="1"/>
    <x v="0"/>
    <x v="2"/>
    <x v="0"/>
    <x v="8"/>
    <x v="3"/>
    <x v="1"/>
    <x v="1"/>
  </r>
  <r>
    <s v="TX500190"/>
    <x v="12"/>
    <x v="11"/>
    <n v="104"/>
    <x v="185"/>
    <x v="7"/>
    <x v="9"/>
    <x v="2"/>
    <x v="2"/>
    <x v="2"/>
    <x v="0"/>
    <x v="17"/>
    <x v="1"/>
    <x v="1"/>
    <x v="2"/>
  </r>
  <r>
    <s v="TX500191"/>
    <x v="6"/>
    <x v="1"/>
    <n v="51.8"/>
    <x v="186"/>
    <x v="7"/>
    <x v="12"/>
    <x v="0"/>
    <x v="0"/>
    <x v="2"/>
    <x v="0"/>
    <x v="10"/>
    <x v="5"/>
    <x v="1"/>
    <x v="0"/>
  </r>
  <r>
    <s v="TX500192"/>
    <x v="10"/>
    <x v="9"/>
    <n v="34.5"/>
    <x v="187"/>
    <x v="7"/>
    <x v="9"/>
    <x v="0"/>
    <x v="2"/>
    <x v="2"/>
    <x v="0"/>
    <x v="11"/>
    <x v="1"/>
    <x v="1"/>
    <x v="0"/>
  </r>
  <r>
    <s v="TX500193"/>
    <x v="6"/>
    <x v="1"/>
    <n v="51.8"/>
    <x v="186"/>
    <x v="7"/>
    <x v="9"/>
    <x v="1"/>
    <x v="1"/>
    <x v="2"/>
    <x v="0"/>
    <x v="30"/>
    <x v="1"/>
    <x v="1"/>
    <x v="1"/>
  </r>
  <r>
    <s v="TX500194"/>
    <x v="18"/>
    <x v="23"/>
    <n v="131.5"/>
    <x v="188"/>
    <x v="7"/>
    <x v="8"/>
    <x v="2"/>
    <x v="0"/>
    <x v="2"/>
    <x v="0"/>
    <x v="18"/>
    <x v="3"/>
    <x v="1"/>
    <x v="2"/>
  </r>
  <r>
    <s v="TX500195"/>
    <x v="8"/>
    <x v="3"/>
    <n v="47.8"/>
    <x v="189"/>
    <x v="7"/>
    <x v="6"/>
    <x v="2"/>
    <x v="0"/>
    <x v="0"/>
    <x v="0"/>
    <x v="19"/>
    <x v="7"/>
    <x v="1"/>
    <x v="2"/>
  </r>
  <r>
    <s v="TX500196"/>
    <x v="0"/>
    <x v="1"/>
    <n v="10.199999999999999"/>
    <x v="190"/>
    <x v="7"/>
    <x v="9"/>
    <x v="2"/>
    <x v="0"/>
    <x v="0"/>
    <x v="0"/>
    <x v="19"/>
    <x v="1"/>
    <x v="1"/>
    <x v="2"/>
  </r>
  <r>
    <s v="TX500197"/>
    <x v="8"/>
    <x v="8"/>
    <n v="41"/>
    <x v="191"/>
    <x v="7"/>
    <x v="6"/>
    <x v="2"/>
    <x v="1"/>
    <x v="2"/>
    <x v="0"/>
    <x v="19"/>
    <x v="7"/>
    <x v="1"/>
    <x v="2"/>
  </r>
  <r>
    <s v="TX500198"/>
    <x v="10"/>
    <x v="3"/>
    <n v="50.8"/>
    <x v="192"/>
    <x v="7"/>
    <x v="7"/>
    <x v="2"/>
    <x v="1"/>
    <x v="0"/>
    <x v="0"/>
    <x v="21"/>
    <x v="2"/>
    <x v="1"/>
    <x v="2"/>
  </r>
  <r>
    <s v="TX500199"/>
    <x v="18"/>
    <x v="2"/>
    <n v="39.6"/>
    <x v="193"/>
    <x v="7"/>
    <x v="8"/>
    <x v="1"/>
    <x v="2"/>
    <x v="2"/>
    <x v="0"/>
    <x v="1"/>
    <x v="3"/>
    <x v="1"/>
    <x v="1"/>
  </r>
  <r>
    <s v="TX500200"/>
    <x v="5"/>
    <x v="1"/>
    <n v="69.5"/>
    <x v="194"/>
    <x v="7"/>
    <x v="9"/>
    <x v="1"/>
    <x v="0"/>
    <x v="2"/>
    <x v="0"/>
    <x v="2"/>
    <x v="1"/>
    <x v="1"/>
    <x v="1"/>
  </r>
  <r>
    <s v="TX500201"/>
    <x v="8"/>
    <x v="8"/>
    <n v="32.6"/>
    <x v="195"/>
    <x v="7"/>
    <x v="7"/>
    <x v="1"/>
    <x v="1"/>
    <x v="0"/>
    <x v="0"/>
    <x v="3"/>
    <x v="2"/>
    <x v="1"/>
    <x v="1"/>
  </r>
  <r>
    <s v="TX500202"/>
    <x v="7"/>
    <x v="1"/>
    <n v="49.1"/>
    <x v="196"/>
    <x v="7"/>
    <x v="15"/>
    <x v="1"/>
    <x v="3"/>
    <x v="2"/>
    <x v="0"/>
    <x v="3"/>
    <x v="9"/>
    <x v="1"/>
    <x v="1"/>
  </r>
  <r>
    <s v="TX500203"/>
    <x v="6"/>
    <x v="1"/>
    <n v="49.4"/>
    <x v="197"/>
    <x v="8"/>
    <x v="9"/>
    <x v="2"/>
    <x v="2"/>
    <x v="0"/>
    <x v="0"/>
    <x v="3"/>
    <x v="3"/>
    <x v="1"/>
    <x v="2"/>
  </r>
  <r>
    <s v="TX500204"/>
    <x v="7"/>
    <x v="3"/>
    <n v="65.099999999999994"/>
    <x v="198"/>
    <x v="8"/>
    <x v="12"/>
    <x v="2"/>
    <x v="2"/>
    <x v="2"/>
    <x v="0"/>
    <x v="3"/>
    <x v="2"/>
    <x v="1"/>
    <x v="2"/>
  </r>
  <r>
    <s v="TX500205"/>
    <x v="3"/>
    <x v="1"/>
    <n v="52.1"/>
    <x v="199"/>
    <x v="8"/>
    <x v="14"/>
    <x v="2"/>
    <x v="2"/>
    <x v="0"/>
    <x v="0"/>
    <x v="3"/>
    <x v="5"/>
    <x v="1"/>
    <x v="2"/>
  </r>
  <r>
    <s v="TX500206"/>
    <x v="2"/>
    <x v="12"/>
    <n v="129.19999999999999"/>
    <x v="200"/>
    <x v="8"/>
    <x v="9"/>
    <x v="2"/>
    <x v="1"/>
    <x v="0"/>
    <x v="0"/>
    <x v="3"/>
    <x v="3"/>
    <x v="1"/>
    <x v="2"/>
  </r>
  <r>
    <s v="TX500207"/>
    <x v="1"/>
    <x v="10"/>
    <n v="81.8"/>
    <x v="201"/>
    <x v="8"/>
    <x v="8"/>
    <x v="2"/>
    <x v="1"/>
    <x v="1"/>
    <x v="0"/>
    <x v="3"/>
    <x v="7"/>
    <x v="1"/>
    <x v="2"/>
  </r>
  <r>
    <s v="TX500208"/>
    <x v="17"/>
    <x v="0"/>
    <n v="24.9"/>
    <x v="202"/>
    <x v="8"/>
    <x v="14"/>
    <x v="2"/>
    <x v="1"/>
    <x v="0"/>
    <x v="0"/>
    <x v="3"/>
    <x v="5"/>
    <x v="1"/>
    <x v="2"/>
  </r>
  <r>
    <s v="TX500209"/>
    <x v="0"/>
    <x v="2"/>
    <n v="49.4"/>
    <x v="203"/>
    <x v="8"/>
    <x v="12"/>
    <x v="2"/>
    <x v="4"/>
    <x v="4"/>
    <x v="0"/>
    <x v="3"/>
    <x v="2"/>
    <x v="1"/>
    <x v="2"/>
  </r>
  <r>
    <s v="TX500210"/>
    <x v="8"/>
    <x v="1"/>
    <n v="22.7"/>
    <x v="204"/>
    <x v="8"/>
    <x v="9"/>
    <x v="1"/>
    <x v="3"/>
    <x v="2"/>
    <x v="0"/>
    <x v="3"/>
    <x v="3"/>
    <x v="1"/>
    <x v="1"/>
  </r>
  <r>
    <s v="TX500211"/>
    <x v="1"/>
    <x v="0"/>
    <n v="77.3"/>
    <x v="83"/>
    <x v="8"/>
    <x v="8"/>
    <x v="2"/>
    <x v="0"/>
    <x v="2"/>
    <x v="0"/>
    <x v="6"/>
    <x v="7"/>
    <x v="1"/>
    <x v="2"/>
  </r>
  <r>
    <s v="TX500212"/>
    <x v="1"/>
    <x v="9"/>
    <n v="109.1"/>
    <x v="205"/>
    <x v="8"/>
    <x v="12"/>
    <x v="2"/>
    <x v="0"/>
    <x v="0"/>
    <x v="0"/>
    <x v="6"/>
    <x v="2"/>
    <x v="1"/>
    <x v="2"/>
  </r>
  <r>
    <s v="TX500213"/>
    <x v="2"/>
    <x v="12"/>
    <n v="53.9"/>
    <x v="206"/>
    <x v="8"/>
    <x v="9"/>
    <x v="1"/>
    <x v="0"/>
    <x v="1"/>
    <x v="0"/>
    <x v="8"/>
    <x v="3"/>
    <x v="1"/>
    <x v="1"/>
  </r>
  <r>
    <s v="TX500214"/>
    <x v="9"/>
    <x v="18"/>
    <n v="21.2"/>
    <x v="207"/>
    <x v="8"/>
    <x v="8"/>
    <x v="2"/>
    <x v="0"/>
    <x v="0"/>
    <x v="0"/>
    <x v="9"/>
    <x v="7"/>
    <x v="1"/>
    <x v="2"/>
  </r>
  <r>
    <s v="TX500215"/>
    <x v="16"/>
    <x v="12"/>
    <n v="69"/>
    <x v="208"/>
    <x v="8"/>
    <x v="7"/>
    <x v="2"/>
    <x v="1"/>
    <x v="1"/>
    <x v="0"/>
    <x v="18"/>
    <x v="1"/>
    <x v="1"/>
    <x v="2"/>
  </r>
  <r>
    <s v="TX500216"/>
    <x v="6"/>
    <x v="2"/>
    <n v="46.2"/>
    <x v="209"/>
    <x v="8"/>
    <x v="7"/>
    <x v="2"/>
    <x v="0"/>
    <x v="2"/>
    <x v="0"/>
    <x v="31"/>
    <x v="1"/>
    <x v="1"/>
    <x v="2"/>
  </r>
  <r>
    <s v="TX500217"/>
    <x v="1"/>
    <x v="9"/>
    <n v="97.4"/>
    <x v="210"/>
    <x v="8"/>
    <x v="14"/>
    <x v="2"/>
    <x v="4"/>
    <x v="2"/>
    <x v="0"/>
    <x v="21"/>
    <x v="5"/>
    <x v="1"/>
    <x v="2"/>
  </r>
  <r>
    <s v="TX500218"/>
    <x v="8"/>
    <x v="9"/>
    <n v="21"/>
    <x v="211"/>
    <x v="8"/>
    <x v="9"/>
    <x v="1"/>
    <x v="0"/>
    <x v="1"/>
    <x v="0"/>
    <x v="21"/>
    <x v="3"/>
    <x v="1"/>
    <x v="1"/>
  </r>
  <r>
    <s v="TX500219"/>
    <x v="5"/>
    <x v="1"/>
    <n v="32.700000000000003"/>
    <x v="212"/>
    <x v="9"/>
    <x v="14"/>
    <x v="2"/>
    <x v="1"/>
    <x v="0"/>
    <x v="0"/>
    <x v="2"/>
    <x v="2"/>
    <x v="1"/>
    <x v="2"/>
  </r>
  <r>
    <s v="TX500220"/>
    <x v="6"/>
    <x v="12"/>
    <n v="48"/>
    <x v="213"/>
    <x v="9"/>
    <x v="7"/>
    <x v="1"/>
    <x v="3"/>
    <x v="0"/>
    <x v="0"/>
    <x v="3"/>
    <x v="3"/>
    <x v="1"/>
    <x v="1"/>
  </r>
  <r>
    <s v="TX500221"/>
    <x v="6"/>
    <x v="2"/>
    <n v="68.2"/>
    <x v="214"/>
    <x v="9"/>
    <x v="16"/>
    <x v="0"/>
    <x v="0"/>
    <x v="2"/>
    <x v="0"/>
    <x v="3"/>
    <x v="5"/>
    <x v="1"/>
    <x v="0"/>
  </r>
  <r>
    <s v="TX500222"/>
    <x v="5"/>
    <x v="0"/>
    <n v="45.4"/>
    <x v="204"/>
    <x v="9"/>
    <x v="12"/>
    <x v="1"/>
    <x v="1"/>
    <x v="0"/>
    <x v="0"/>
    <x v="3"/>
    <x v="1"/>
    <x v="1"/>
    <x v="1"/>
  </r>
  <r>
    <s v="TX500223"/>
    <x v="12"/>
    <x v="1"/>
    <n v="53.9"/>
    <x v="215"/>
    <x v="9"/>
    <x v="7"/>
    <x v="2"/>
    <x v="2"/>
    <x v="0"/>
    <x v="0"/>
    <x v="3"/>
    <x v="3"/>
    <x v="1"/>
    <x v="2"/>
  </r>
  <r>
    <s v="TX500224"/>
    <x v="2"/>
    <x v="12"/>
    <n v="62.1"/>
    <x v="216"/>
    <x v="9"/>
    <x v="16"/>
    <x v="2"/>
    <x v="0"/>
    <x v="0"/>
    <x v="0"/>
    <x v="4"/>
    <x v="5"/>
    <x v="1"/>
    <x v="2"/>
  </r>
  <r>
    <s v="TX500225"/>
    <x v="13"/>
    <x v="3"/>
    <n v="33.1"/>
    <x v="217"/>
    <x v="9"/>
    <x v="11"/>
    <x v="1"/>
    <x v="1"/>
    <x v="0"/>
    <x v="0"/>
    <x v="6"/>
    <x v="0"/>
    <x v="1"/>
    <x v="1"/>
  </r>
  <r>
    <s v="TX500226"/>
    <x v="18"/>
    <x v="9"/>
    <n v="35.200000000000003"/>
    <x v="218"/>
    <x v="9"/>
    <x v="9"/>
    <x v="2"/>
    <x v="1"/>
    <x v="0"/>
    <x v="0"/>
    <x v="6"/>
    <x v="7"/>
    <x v="1"/>
    <x v="2"/>
  </r>
  <r>
    <s v="TX500227"/>
    <x v="9"/>
    <x v="2"/>
    <n v="32.1"/>
    <x v="219"/>
    <x v="9"/>
    <x v="11"/>
    <x v="1"/>
    <x v="3"/>
    <x v="0"/>
    <x v="0"/>
    <x v="8"/>
    <x v="0"/>
    <x v="1"/>
    <x v="1"/>
  </r>
  <r>
    <s v="TX500228"/>
    <x v="11"/>
    <x v="0"/>
    <n v="38.1"/>
    <x v="220"/>
    <x v="9"/>
    <x v="11"/>
    <x v="2"/>
    <x v="0"/>
    <x v="2"/>
    <x v="0"/>
    <x v="8"/>
    <x v="0"/>
    <x v="1"/>
    <x v="2"/>
  </r>
  <r>
    <s v="TX500229"/>
    <x v="8"/>
    <x v="0"/>
    <n v="65.2"/>
    <x v="221"/>
    <x v="9"/>
    <x v="11"/>
    <x v="2"/>
    <x v="3"/>
    <x v="1"/>
    <x v="0"/>
    <x v="8"/>
    <x v="0"/>
    <x v="1"/>
    <x v="2"/>
  </r>
  <r>
    <s v="TX500230"/>
    <x v="10"/>
    <x v="3"/>
    <n v="55.2"/>
    <x v="222"/>
    <x v="9"/>
    <x v="7"/>
    <x v="1"/>
    <x v="2"/>
    <x v="0"/>
    <x v="0"/>
    <x v="11"/>
    <x v="3"/>
    <x v="1"/>
    <x v="1"/>
  </r>
  <r>
    <s v="TX500231"/>
    <x v="6"/>
    <x v="0"/>
    <n v="62"/>
    <x v="85"/>
    <x v="9"/>
    <x v="16"/>
    <x v="2"/>
    <x v="0"/>
    <x v="0"/>
    <x v="0"/>
    <x v="11"/>
    <x v="5"/>
    <x v="1"/>
    <x v="2"/>
  </r>
  <r>
    <s v="TX500232"/>
    <x v="7"/>
    <x v="2"/>
    <n v="45.9"/>
    <x v="223"/>
    <x v="9"/>
    <x v="7"/>
    <x v="2"/>
    <x v="2"/>
    <x v="0"/>
    <x v="0"/>
    <x v="32"/>
    <x v="3"/>
    <x v="1"/>
    <x v="2"/>
  </r>
  <r>
    <s v="TX500233"/>
    <x v="18"/>
    <x v="2"/>
    <n v="58.3"/>
    <x v="224"/>
    <x v="9"/>
    <x v="9"/>
    <x v="1"/>
    <x v="1"/>
    <x v="1"/>
    <x v="0"/>
    <x v="18"/>
    <x v="7"/>
    <x v="1"/>
    <x v="1"/>
  </r>
  <r>
    <s v="TX500234"/>
    <x v="8"/>
    <x v="1"/>
    <n v="22.3"/>
    <x v="225"/>
    <x v="9"/>
    <x v="14"/>
    <x v="2"/>
    <x v="0"/>
    <x v="2"/>
    <x v="0"/>
    <x v="20"/>
    <x v="2"/>
    <x v="1"/>
    <x v="2"/>
  </r>
  <r>
    <s v="TX500235"/>
    <x v="19"/>
    <x v="9"/>
    <n v="24"/>
    <x v="160"/>
    <x v="9"/>
    <x v="7"/>
    <x v="1"/>
    <x v="4"/>
    <x v="0"/>
    <x v="0"/>
    <x v="1"/>
    <x v="3"/>
    <x v="1"/>
    <x v="1"/>
  </r>
  <r>
    <s v="TX500236"/>
    <x v="0"/>
    <x v="7"/>
    <n v="21.3"/>
    <x v="226"/>
    <x v="9"/>
    <x v="9"/>
    <x v="2"/>
    <x v="1"/>
    <x v="2"/>
    <x v="0"/>
    <x v="22"/>
    <x v="7"/>
    <x v="1"/>
    <x v="2"/>
  </r>
  <r>
    <s v="TX500237"/>
    <x v="6"/>
    <x v="24"/>
    <n v="57.8"/>
    <x v="227"/>
    <x v="9"/>
    <x v="12"/>
    <x v="2"/>
    <x v="0"/>
    <x v="2"/>
    <x v="0"/>
    <x v="3"/>
    <x v="1"/>
    <x v="1"/>
    <x v="2"/>
  </r>
  <r>
    <s v="TX500238"/>
    <x v="10"/>
    <x v="2"/>
    <n v="67.599999999999994"/>
    <x v="228"/>
    <x v="9"/>
    <x v="7"/>
    <x v="2"/>
    <x v="0"/>
    <x v="0"/>
    <x v="0"/>
    <x v="3"/>
    <x v="3"/>
    <x v="1"/>
    <x v="2"/>
  </r>
  <r>
    <s v="TX500239"/>
    <x v="6"/>
    <x v="13"/>
    <n v="66.7"/>
    <x v="229"/>
    <x v="9"/>
    <x v="16"/>
    <x v="1"/>
    <x v="4"/>
    <x v="1"/>
    <x v="0"/>
    <x v="3"/>
    <x v="5"/>
    <x v="1"/>
    <x v="1"/>
  </r>
  <r>
    <s v="TX500240"/>
    <x v="1"/>
    <x v="12"/>
    <n v="53.1"/>
    <x v="230"/>
    <x v="9"/>
    <x v="12"/>
    <x v="2"/>
    <x v="1"/>
    <x v="0"/>
    <x v="0"/>
    <x v="3"/>
    <x v="1"/>
    <x v="1"/>
    <x v="2"/>
  </r>
  <r>
    <s v="TX500241"/>
    <x v="12"/>
    <x v="2"/>
    <n v="57.4"/>
    <x v="231"/>
    <x v="9"/>
    <x v="14"/>
    <x v="2"/>
    <x v="0"/>
    <x v="2"/>
    <x v="0"/>
    <x v="29"/>
    <x v="2"/>
    <x v="1"/>
    <x v="2"/>
  </r>
  <r>
    <s v="TX500242"/>
    <x v="2"/>
    <x v="9"/>
    <n v="58.1"/>
    <x v="232"/>
    <x v="9"/>
    <x v="9"/>
    <x v="1"/>
    <x v="2"/>
    <x v="2"/>
    <x v="0"/>
    <x v="6"/>
    <x v="7"/>
    <x v="1"/>
    <x v="1"/>
  </r>
  <r>
    <s v="TX500243"/>
    <x v="5"/>
    <x v="2"/>
    <n v="31.8"/>
    <x v="233"/>
    <x v="10"/>
    <x v="14"/>
    <x v="1"/>
    <x v="3"/>
    <x v="0"/>
    <x v="0"/>
    <x v="6"/>
    <x v="1"/>
    <x v="1"/>
    <x v="1"/>
  </r>
  <r>
    <s v="TX500244"/>
    <x v="4"/>
    <x v="2"/>
    <n v="31.5"/>
    <x v="234"/>
    <x v="10"/>
    <x v="16"/>
    <x v="1"/>
    <x v="0"/>
    <x v="1"/>
    <x v="0"/>
    <x v="8"/>
    <x v="2"/>
    <x v="1"/>
    <x v="1"/>
  </r>
  <r>
    <s v="TX500245"/>
    <x v="6"/>
    <x v="3"/>
    <n v="55.9"/>
    <x v="235"/>
    <x v="10"/>
    <x v="11"/>
    <x v="2"/>
    <x v="1"/>
    <x v="2"/>
    <x v="0"/>
    <x v="8"/>
    <x v="5"/>
    <x v="1"/>
    <x v="2"/>
  </r>
  <r>
    <s v="TX500246"/>
    <x v="8"/>
    <x v="1"/>
    <n v="36.4"/>
    <x v="236"/>
    <x v="10"/>
    <x v="12"/>
    <x v="1"/>
    <x v="1"/>
    <x v="1"/>
    <x v="0"/>
    <x v="9"/>
    <x v="3"/>
    <x v="1"/>
    <x v="1"/>
  </r>
  <r>
    <s v="TX500247"/>
    <x v="1"/>
    <x v="9"/>
    <n v="47.3"/>
    <x v="237"/>
    <x v="10"/>
    <x v="16"/>
    <x v="1"/>
    <x v="2"/>
    <x v="0"/>
    <x v="0"/>
    <x v="10"/>
    <x v="2"/>
    <x v="1"/>
    <x v="1"/>
  </r>
  <r>
    <s v="TX500248"/>
    <x v="6"/>
    <x v="2"/>
    <n v="82.5"/>
    <x v="238"/>
    <x v="10"/>
    <x v="12"/>
    <x v="1"/>
    <x v="0"/>
    <x v="0"/>
    <x v="0"/>
    <x v="11"/>
    <x v="3"/>
    <x v="1"/>
    <x v="1"/>
  </r>
  <r>
    <s v="TX500249"/>
    <x v="0"/>
    <x v="0"/>
    <n v="14.3"/>
    <x v="239"/>
    <x v="10"/>
    <x v="12"/>
    <x v="2"/>
    <x v="0"/>
    <x v="0"/>
    <x v="0"/>
    <x v="21"/>
    <x v="3"/>
    <x v="1"/>
    <x v="2"/>
  </r>
  <r>
    <s v="TX500250"/>
    <x v="2"/>
    <x v="13"/>
    <n v="57.6"/>
    <x v="240"/>
    <x v="10"/>
    <x v="17"/>
    <x v="2"/>
    <x v="0"/>
    <x v="0"/>
    <x v="0"/>
    <x v="21"/>
    <x v="12"/>
    <x v="1"/>
    <x v="2"/>
  </r>
  <r>
    <s v="TX500251"/>
    <x v="2"/>
    <x v="2"/>
    <n v="142.4"/>
    <x v="241"/>
    <x v="10"/>
    <x v="14"/>
    <x v="1"/>
    <x v="4"/>
    <x v="1"/>
    <x v="0"/>
    <x v="21"/>
    <x v="1"/>
    <x v="1"/>
    <x v="1"/>
  </r>
  <r>
    <s v="TX500252"/>
    <x v="12"/>
    <x v="0"/>
    <n v="30.2"/>
    <x v="242"/>
    <x v="10"/>
    <x v="11"/>
    <x v="1"/>
    <x v="1"/>
    <x v="2"/>
    <x v="0"/>
    <x v="2"/>
    <x v="5"/>
    <x v="1"/>
    <x v="1"/>
  </r>
  <r>
    <s v="TX500253"/>
    <x v="18"/>
    <x v="2"/>
    <n v="65.3"/>
    <x v="243"/>
    <x v="10"/>
    <x v="12"/>
    <x v="3"/>
    <x v="1"/>
    <x v="0"/>
    <x v="0"/>
    <x v="33"/>
    <x v="3"/>
    <x v="1"/>
    <x v="3"/>
  </r>
  <r>
    <s v="TX500254"/>
    <x v="0"/>
    <x v="1"/>
    <n v="33.4"/>
    <x v="119"/>
    <x v="10"/>
    <x v="12"/>
    <x v="1"/>
    <x v="1"/>
    <x v="1"/>
    <x v="0"/>
    <x v="22"/>
    <x v="3"/>
    <x v="1"/>
    <x v="1"/>
  </r>
  <r>
    <s v="TX500255"/>
    <x v="7"/>
    <x v="1"/>
    <n v="45.1"/>
    <x v="244"/>
    <x v="10"/>
    <x v="18"/>
    <x v="1"/>
    <x v="0"/>
    <x v="0"/>
    <x v="0"/>
    <x v="34"/>
    <x v="9"/>
    <x v="1"/>
    <x v="1"/>
  </r>
  <r>
    <s v="TX500256"/>
    <x v="2"/>
    <x v="3"/>
    <n v="61.7"/>
    <x v="245"/>
    <x v="10"/>
    <x v="14"/>
    <x v="2"/>
    <x v="4"/>
    <x v="0"/>
    <x v="0"/>
    <x v="3"/>
    <x v="1"/>
    <x v="1"/>
    <x v="2"/>
  </r>
  <r>
    <s v="TX500257"/>
    <x v="9"/>
    <x v="2"/>
    <n v="45.1"/>
    <x v="246"/>
    <x v="11"/>
    <x v="14"/>
    <x v="1"/>
    <x v="4"/>
    <x v="1"/>
    <x v="0"/>
    <x v="3"/>
    <x v="3"/>
    <x v="2"/>
    <x v="1"/>
  </r>
  <r>
    <s v="TX500258"/>
    <x v="15"/>
    <x v="9"/>
    <n v="22.7"/>
    <x v="247"/>
    <x v="11"/>
    <x v="10"/>
    <x v="1"/>
    <x v="0"/>
    <x v="2"/>
    <x v="0"/>
    <x v="35"/>
    <x v="0"/>
    <x v="2"/>
    <x v="1"/>
  </r>
  <r>
    <s v="TX500259"/>
    <x v="8"/>
    <x v="0"/>
    <n v="17.600000000000001"/>
    <x v="248"/>
    <x v="11"/>
    <x v="14"/>
    <x v="2"/>
    <x v="0"/>
    <x v="2"/>
    <x v="0"/>
    <x v="23"/>
    <x v="3"/>
    <x v="2"/>
    <x v="2"/>
  </r>
  <r>
    <s v="TX500260"/>
    <x v="14"/>
    <x v="1"/>
    <n v="11.3"/>
    <x v="249"/>
    <x v="11"/>
    <x v="11"/>
    <x v="2"/>
    <x v="3"/>
    <x v="2"/>
    <x v="0"/>
    <x v="23"/>
    <x v="2"/>
    <x v="2"/>
    <x v="2"/>
  </r>
  <r>
    <s v="TX500261"/>
    <x v="6"/>
    <x v="2"/>
    <n v="53.4"/>
    <x v="250"/>
    <x v="11"/>
    <x v="11"/>
    <x v="1"/>
    <x v="3"/>
    <x v="2"/>
    <x v="0"/>
    <x v="36"/>
    <x v="2"/>
    <x v="2"/>
    <x v="1"/>
  </r>
  <r>
    <s v="TX500262"/>
    <x v="6"/>
    <x v="5"/>
    <n v="51.1"/>
    <x v="251"/>
    <x v="11"/>
    <x v="16"/>
    <x v="2"/>
    <x v="2"/>
    <x v="2"/>
    <x v="0"/>
    <x v="8"/>
    <x v="1"/>
    <x v="2"/>
    <x v="2"/>
  </r>
  <r>
    <s v="TX500263"/>
    <x v="8"/>
    <x v="1"/>
    <n v="27.5"/>
    <x v="252"/>
    <x v="11"/>
    <x v="14"/>
    <x v="1"/>
    <x v="4"/>
    <x v="1"/>
    <x v="0"/>
    <x v="8"/>
    <x v="3"/>
    <x v="2"/>
    <x v="1"/>
  </r>
  <r>
    <s v="TX500264"/>
    <x v="9"/>
    <x v="0"/>
    <n v="33.5"/>
    <x v="253"/>
    <x v="11"/>
    <x v="16"/>
    <x v="2"/>
    <x v="0"/>
    <x v="4"/>
    <x v="0"/>
    <x v="8"/>
    <x v="1"/>
    <x v="2"/>
    <x v="2"/>
  </r>
  <r>
    <s v="TX500265"/>
    <x v="4"/>
    <x v="0"/>
    <n v="59.5"/>
    <x v="254"/>
    <x v="11"/>
    <x v="12"/>
    <x v="1"/>
    <x v="0"/>
    <x v="2"/>
    <x v="0"/>
    <x v="18"/>
    <x v="7"/>
    <x v="2"/>
    <x v="1"/>
  </r>
  <r>
    <s v="TX500266"/>
    <x v="17"/>
    <x v="12"/>
    <n v="23.5"/>
    <x v="255"/>
    <x v="11"/>
    <x v="14"/>
    <x v="2"/>
    <x v="3"/>
    <x v="3"/>
    <x v="0"/>
    <x v="19"/>
    <x v="3"/>
    <x v="2"/>
    <x v="2"/>
  </r>
  <r>
    <s v="TX500267"/>
    <x v="6"/>
    <x v="0"/>
    <n v="49.7"/>
    <x v="256"/>
    <x v="11"/>
    <x v="14"/>
    <x v="0"/>
    <x v="1"/>
    <x v="2"/>
    <x v="0"/>
    <x v="20"/>
    <x v="3"/>
    <x v="2"/>
    <x v="0"/>
  </r>
  <r>
    <s v="TX500268"/>
    <x v="6"/>
    <x v="12"/>
    <n v="44.2"/>
    <x v="257"/>
    <x v="11"/>
    <x v="11"/>
    <x v="2"/>
    <x v="0"/>
    <x v="2"/>
    <x v="0"/>
    <x v="21"/>
    <x v="2"/>
    <x v="2"/>
    <x v="2"/>
  </r>
  <r>
    <s v="TX500269"/>
    <x v="8"/>
    <x v="0"/>
    <n v="22.1"/>
    <x v="258"/>
    <x v="11"/>
    <x v="15"/>
    <x v="2"/>
    <x v="1"/>
    <x v="1"/>
    <x v="0"/>
    <x v="33"/>
    <x v="5"/>
    <x v="2"/>
    <x v="2"/>
  </r>
  <r>
    <s v="TX500270"/>
    <x v="6"/>
    <x v="2"/>
    <n v="90.9"/>
    <x v="259"/>
    <x v="11"/>
    <x v="14"/>
    <x v="2"/>
    <x v="2"/>
    <x v="4"/>
    <x v="0"/>
    <x v="3"/>
    <x v="3"/>
    <x v="2"/>
    <x v="2"/>
  </r>
  <r>
    <s v="TX500271"/>
    <x v="8"/>
    <x v="2"/>
    <n v="44.5"/>
    <x v="260"/>
    <x v="11"/>
    <x v="14"/>
    <x v="2"/>
    <x v="1"/>
    <x v="0"/>
    <x v="0"/>
    <x v="3"/>
    <x v="3"/>
    <x v="2"/>
    <x v="2"/>
  </r>
  <r>
    <s v="TX500272"/>
    <x v="9"/>
    <x v="13"/>
    <n v="32.299999999999997"/>
    <x v="261"/>
    <x v="11"/>
    <x v="15"/>
    <x v="2"/>
    <x v="0"/>
    <x v="0"/>
    <x v="0"/>
    <x v="3"/>
    <x v="5"/>
    <x v="2"/>
    <x v="2"/>
  </r>
  <r>
    <s v="TX500273"/>
    <x v="17"/>
    <x v="2"/>
    <n v="87.5"/>
    <x v="175"/>
    <x v="11"/>
    <x v="14"/>
    <x v="2"/>
    <x v="1"/>
    <x v="1"/>
    <x v="0"/>
    <x v="3"/>
    <x v="3"/>
    <x v="2"/>
    <x v="2"/>
  </r>
  <r>
    <s v="TX500274"/>
    <x v="16"/>
    <x v="9"/>
    <n v="48.7"/>
    <x v="262"/>
    <x v="11"/>
    <x v="14"/>
    <x v="1"/>
    <x v="2"/>
    <x v="0"/>
    <x v="0"/>
    <x v="3"/>
    <x v="3"/>
    <x v="2"/>
    <x v="1"/>
  </r>
  <r>
    <s v="TX500275"/>
    <x v="0"/>
    <x v="9"/>
    <n v="22.5"/>
    <x v="158"/>
    <x v="11"/>
    <x v="14"/>
    <x v="1"/>
    <x v="0"/>
    <x v="0"/>
    <x v="0"/>
    <x v="3"/>
    <x v="3"/>
    <x v="2"/>
    <x v="1"/>
  </r>
  <r>
    <s v="TX500276"/>
    <x v="1"/>
    <x v="8"/>
    <n v="65.900000000000006"/>
    <x v="263"/>
    <x v="11"/>
    <x v="11"/>
    <x v="2"/>
    <x v="1"/>
    <x v="2"/>
    <x v="0"/>
    <x v="3"/>
    <x v="2"/>
    <x v="2"/>
    <x v="2"/>
  </r>
  <r>
    <s v="TX500277"/>
    <x v="6"/>
    <x v="9"/>
    <n v="41.9"/>
    <x v="264"/>
    <x v="11"/>
    <x v="18"/>
    <x v="0"/>
    <x v="0"/>
    <x v="0"/>
    <x v="0"/>
    <x v="3"/>
    <x v="6"/>
    <x v="2"/>
    <x v="0"/>
  </r>
  <r>
    <s v="TX500278"/>
    <x v="1"/>
    <x v="9"/>
    <n v="67.5"/>
    <x v="265"/>
    <x v="11"/>
    <x v="14"/>
    <x v="2"/>
    <x v="0"/>
    <x v="2"/>
    <x v="0"/>
    <x v="3"/>
    <x v="3"/>
    <x v="2"/>
    <x v="2"/>
  </r>
  <r>
    <s v="TX500279"/>
    <x v="9"/>
    <x v="0"/>
    <n v="60.4"/>
    <x v="266"/>
    <x v="12"/>
    <x v="11"/>
    <x v="2"/>
    <x v="1"/>
    <x v="1"/>
    <x v="0"/>
    <x v="3"/>
    <x v="1"/>
    <x v="2"/>
    <x v="2"/>
  </r>
  <r>
    <s v="TX500280"/>
    <x v="1"/>
    <x v="3"/>
    <n v="30.4"/>
    <x v="267"/>
    <x v="12"/>
    <x v="15"/>
    <x v="2"/>
    <x v="4"/>
    <x v="0"/>
    <x v="0"/>
    <x v="3"/>
    <x v="2"/>
    <x v="2"/>
    <x v="2"/>
  </r>
  <r>
    <s v="TX500281"/>
    <x v="14"/>
    <x v="1"/>
    <n v="24.5"/>
    <x v="268"/>
    <x v="12"/>
    <x v="16"/>
    <x v="1"/>
    <x v="3"/>
    <x v="2"/>
    <x v="0"/>
    <x v="3"/>
    <x v="3"/>
    <x v="2"/>
    <x v="1"/>
  </r>
  <r>
    <s v="TX500282"/>
    <x v="2"/>
    <x v="2"/>
    <n v="105.9"/>
    <x v="269"/>
    <x v="12"/>
    <x v="13"/>
    <x v="1"/>
    <x v="0"/>
    <x v="0"/>
    <x v="0"/>
    <x v="37"/>
    <x v="0"/>
    <x v="2"/>
    <x v="1"/>
  </r>
  <r>
    <s v="TX500283"/>
    <x v="10"/>
    <x v="25"/>
    <n v="25.9"/>
    <x v="270"/>
    <x v="12"/>
    <x v="16"/>
    <x v="2"/>
    <x v="4"/>
    <x v="0"/>
    <x v="0"/>
    <x v="23"/>
    <x v="3"/>
    <x v="2"/>
    <x v="2"/>
  </r>
  <r>
    <s v="TX500284"/>
    <x v="6"/>
    <x v="2"/>
    <n v="66.8"/>
    <x v="271"/>
    <x v="12"/>
    <x v="14"/>
    <x v="1"/>
    <x v="0"/>
    <x v="0"/>
    <x v="0"/>
    <x v="23"/>
    <x v="7"/>
    <x v="2"/>
    <x v="1"/>
  </r>
  <r>
    <s v="TX500285"/>
    <x v="6"/>
    <x v="2"/>
    <n v="112.3"/>
    <x v="272"/>
    <x v="12"/>
    <x v="16"/>
    <x v="1"/>
    <x v="2"/>
    <x v="4"/>
    <x v="0"/>
    <x v="6"/>
    <x v="3"/>
    <x v="2"/>
    <x v="1"/>
  </r>
  <r>
    <s v="TX500286"/>
    <x v="1"/>
    <x v="13"/>
    <n v="94.1"/>
    <x v="273"/>
    <x v="12"/>
    <x v="16"/>
    <x v="2"/>
    <x v="0"/>
    <x v="4"/>
    <x v="0"/>
    <x v="6"/>
    <x v="3"/>
    <x v="2"/>
    <x v="2"/>
  </r>
  <r>
    <s v="TX500287"/>
    <x v="5"/>
    <x v="0"/>
    <n v="40.700000000000003"/>
    <x v="274"/>
    <x v="12"/>
    <x v="15"/>
    <x v="2"/>
    <x v="2"/>
    <x v="0"/>
    <x v="0"/>
    <x v="6"/>
    <x v="2"/>
    <x v="2"/>
    <x v="2"/>
  </r>
  <r>
    <s v="TX500288"/>
    <x v="3"/>
    <x v="1"/>
    <n v="71.400000000000006"/>
    <x v="275"/>
    <x v="12"/>
    <x v="16"/>
    <x v="1"/>
    <x v="0"/>
    <x v="0"/>
    <x v="0"/>
    <x v="7"/>
    <x v="3"/>
    <x v="2"/>
    <x v="1"/>
  </r>
  <r>
    <s v="TX500289"/>
    <x v="0"/>
    <x v="16"/>
    <n v="15.6"/>
    <x v="276"/>
    <x v="12"/>
    <x v="16"/>
    <x v="1"/>
    <x v="1"/>
    <x v="3"/>
    <x v="0"/>
    <x v="8"/>
    <x v="3"/>
    <x v="2"/>
    <x v="1"/>
  </r>
  <r>
    <s v="TX500290"/>
    <x v="10"/>
    <x v="12"/>
    <n v="37.799999999999997"/>
    <x v="277"/>
    <x v="12"/>
    <x v="16"/>
    <x v="1"/>
    <x v="2"/>
    <x v="2"/>
    <x v="0"/>
    <x v="8"/>
    <x v="3"/>
    <x v="2"/>
    <x v="1"/>
  </r>
  <r>
    <s v="TX500291"/>
    <x v="4"/>
    <x v="2"/>
    <n v="28.1"/>
    <x v="278"/>
    <x v="12"/>
    <x v="10"/>
    <x v="1"/>
    <x v="0"/>
    <x v="0"/>
    <x v="0"/>
    <x v="8"/>
    <x v="5"/>
    <x v="2"/>
    <x v="1"/>
  </r>
  <r>
    <s v="TX500292"/>
    <x v="7"/>
    <x v="13"/>
    <n v="51.4"/>
    <x v="279"/>
    <x v="12"/>
    <x v="10"/>
    <x v="1"/>
    <x v="0"/>
    <x v="0"/>
    <x v="0"/>
    <x v="8"/>
    <x v="5"/>
    <x v="2"/>
    <x v="1"/>
  </r>
  <r>
    <s v="TX500293"/>
    <x v="7"/>
    <x v="1"/>
    <n v="97.7"/>
    <x v="280"/>
    <x v="12"/>
    <x v="11"/>
    <x v="2"/>
    <x v="4"/>
    <x v="2"/>
    <x v="0"/>
    <x v="17"/>
    <x v="1"/>
    <x v="2"/>
    <x v="2"/>
  </r>
  <r>
    <s v="TX500294"/>
    <x v="1"/>
    <x v="12"/>
    <n v="63.8"/>
    <x v="281"/>
    <x v="12"/>
    <x v="16"/>
    <x v="1"/>
    <x v="2"/>
    <x v="0"/>
    <x v="0"/>
    <x v="38"/>
    <x v="3"/>
    <x v="2"/>
    <x v="1"/>
  </r>
  <r>
    <s v="TX500295"/>
    <x v="13"/>
    <x v="1"/>
    <n v="20.100000000000001"/>
    <x v="282"/>
    <x v="12"/>
    <x v="11"/>
    <x v="1"/>
    <x v="0"/>
    <x v="2"/>
    <x v="0"/>
    <x v="20"/>
    <x v="1"/>
    <x v="2"/>
    <x v="1"/>
  </r>
  <r>
    <s v="TX500296"/>
    <x v="11"/>
    <x v="2"/>
    <n v="50.4"/>
    <x v="277"/>
    <x v="12"/>
    <x v="15"/>
    <x v="2"/>
    <x v="3"/>
    <x v="0"/>
    <x v="0"/>
    <x v="13"/>
    <x v="2"/>
    <x v="2"/>
    <x v="2"/>
  </r>
  <r>
    <s v="TX500297"/>
    <x v="0"/>
    <x v="0"/>
    <n v="16.2"/>
    <x v="283"/>
    <x v="12"/>
    <x v="19"/>
    <x v="2"/>
    <x v="1"/>
    <x v="0"/>
    <x v="0"/>
    <x v="1"/>
    <x v="10"/>
    <x v="2"/>
    <x v="2"/>
  </r>
  <r>
    <s v="TX500298"/>
    <x v="6"/>
    <x v="3"/>
    <n v="80.900000000000006"/>
    <x v="284"/>
    <x v="12"/>
    <x v="11"/>
    <x v="1"/>
    <x v="4"/>
    <x v="4"/>
    <x v="0"/>
    <x v="2"/>
    <x v="1"/>
    <x v="2"/>
    <x v="1"/>
  </r>
  <r>
    <s v="TX500299"/>
    <x v="9"/>
    <x v="13"/>
    <n v="95.2"/>
    <x v="285"/>
    <x v="12"/>
    <x v="11"/>
    <x v="2"/>
    <x v="0"/>
    <x v="2"/>
    <x v="0"/>
    <x v="2"/>
    <x v="1"/>
    <x v="2"/>
    <x v="2"/>
  </r>
  <r>
    <s v="TX500300"/>
    <x v="5"/>
    <x v="8"/>
    <n v="70.400000000000006"/>
    <x v="286"/>
    <x v="12"/>
    <x v="16"/>
    <x v="1"/>
    <x v="1"/>
    <x v="1"/>
    <x v="0"/>
    <x v="3"/>
    <x v="3"/>
    <x v="2"/>
    <x v="1"/>
  </r>
  <r>
    <s v="TX500301"/>
    <x v="0"/>
    <x v="9"/>
    <n v="10.7"/>
    <x v="287"/>
    <x v="12"/>
    <x v="10"/>
    <x v="2"/>
    <x v="2"/>
    <x v="0"/>
    <x v="0"/>
    <x v="3"/>
    <x v="5"/>
    <x v="2"/>
    <x v="2"/>
  </r>
  <r>
    <s v="TX500302"/>
    <x v="8"/>
    <x v="9"/>
    <n v="19.600000000000001"/>
    <x v="11"/>
    <x v="12"/>
    <x v="11"/>
    <x v="2"/>
    <x v="0"/>
    <x v="3"/>
    <x v="0"/>
    <x v="3"/>
    <x v="1"/>
    <x v="2"/>
    <x v="2"/>
  </r>
  <r>
    <s v="TX500303"/>
    <x v="8"/>
    <x v="5"/>
    <n v="34.700000000000003"/>
    <x v="288"/>
    <x v="12"/>
    <x v="11"/>
    <x v="2"/>
    <x v="0"/>
    <x v="2"/>
    <x v="0"/>
    <x v="3"/>
    <x v="1"/>
    <x v="2"/>
    <x v="2"/>
  </r>
  <r>
    <s v="TX500304"/>
    <x v="10"/>
    <x v="11"/>
    <n v="34.1"/>
    <x v="289"/>
    <x v="12"/>
    <x v="16"/>
    <x v="2"/>
    <x v="4"/>
    <x v="1"/>
    <x v="0"/>
    <x v="3"/>
    <x v="3"/>
    <x v="2"/>
    <x v="2"/>
  </r>
  <r>
    <s v="TX500305"/>
    <x v="0"/>
    <x v="26"/>
    <n v="29.3"/>
    <x v="290"/>
    <x v="12"/>
    <x v="14"/>
    <x v="1"/>
    <x v="0"/>
    <x v="1"/>
    <x v="0"/>
    <x v="3"/>
    <x v="7"/>
    <x v="2"/>
    <x v="1"/>
  </r>
  <r>
    <s v="TX500306"/>
    <x v="1"/>
    <x v="0"/>
    <n v="55.2"/>
    <x v="291"/>
    <x v="12"/>
    <x v="16"/>
    <x v="2"/>
    <x v="0"/>
    <x v="1"/>
    <x v="0"/>
    <x v="3"/>
    <x v="3"/>
    <x v="2"/>
    <x v="2"/>
  </r>
  <r>
    <s v="TX500307"/>
    <x v="18"/>
    <x v="2"/>
    <n v="26"/>
    <x v="292"/>
    <x v="12"/>
    <x v="15"/>
    <x v="2"/>
    <x v="0"/>
    <x v="2"/>
    <x v="0"/>
    <x v="3"/>
    <x v="2"/>
    <x v="2"/>
    <x v="2"/>
  </r>
  <r>
    <s v="TX500308"/>
    <x v="14"/>
    <x v="1"/>
    <n v="14.2"/>
    <x v="293"/>
    <x v="12"/>
    <x v="13"/>
    <x v="2"/>
    <x v="3"/>
    <x v="0"/>
    <x v="0"/>
    <x v="39"/>
    <x v="0"/>
    <x v="2"/>
    <x v="2"/>
  </r>
  <r>
    <s v="TX500309"/>
    <x v="8"/>
    <x v="11"/>
    <n v="22.7"/>
    <x v="294"/>
    <x v="13"/>
    <x v="11"/>
    <x v="1"/>
    <x v="1"/>
    <x v="0"/>
    <x v="0"/>
    <x v="6"/>
    <x v="3"/>
    <x v="2"/>
    <x v="1"/>
  </r>
  <r>
    <s v="TX500310"/>
    <x v="0"/>
    <x v="20"/>
    <n v="19.8"/>
    <x v="295"/>
    <x v="13"/>
    <x v="16"/>
    <x v="2"/>
    <x v="0"/>
    <x v="2"/>
    <x v="0"/>
    <x v="6"/>
    <x v="7"/>
    <x v="2"/>
    <x v="2"/>
  </r>
  <r>
    <s v="TX500311"/>
    <x v="0"/>
    <x v="2"/>
    <n v="31.7"/>
    <x v="296"/>
    <x v="13"/>
    <x v="11"/>
    <x v="1"/>
    <x v="2"/>
    <x v="0"/>
    <x v="0"/>
    <x v="6"/>
    <x v="3"/>
    <x v="2"/>
    <x v="1"/>
  </r>
  <r>
    <s v="TX500312"/>
    <x v="8"/>
    <x v="12"/>
    <n v="30.4"/>
    <x v="297"/>
    <x v="13"/>
    <x v="13"/>
    <x v="1"/>
    <x v="0"/>
    <x v="0"/>
    <x v="0"/>
    <x v="6"/>
    <x v="5"/>
    <x v="2"/>
    <x v="1"/>
  </r>
  <r>
    <s v="TX500313"/>
    <x v="0"/>
    <x v="12"/>
    <n v="25.6"/>
    <x v="298"/>
    <x v="13"/>
    <x v="11"/>
    <x v="1"/>
    <x v="3"/>
    <x v="0"/>
    <x v="0"/>
    <x v="8"/>
    <x v="3"/>
    <x v="2"/>
    <x v="1"/>
  </r>
  <r>
    <s v="TX500314"/>
    <x v="5"/>
    <x v="1"/>
    <n v="34.9"/>
    <x v="299"/>
    <x v="13"/>
    <x v="11"/>
    <x v="2"/>
    <x v="2"/>
    <x v="0"/>
    <x v="0"/>
    <x v="9"/>
    <x v="3"/>
    <x v="2"/>
    <x v="2"/>
  </r>
  <r>
    <s v="TX500315"/>
    <x v="7"/>
    <x v="13"/>
    <n v="42.7"/>
    <x v="300"/>
    <x v="13"/>
    <x v="10"/>
    <x v="1"/>
    <x v="2"/>
    <x v="1"/>
    <x v="0"/>
    <x v="11"/>
    <x v="2"/>
    <x v="2"/>
    <x v="1"/>
  </r>
  <r>
    <s v="TX500316"/>
    <x v="8"/>
    <x v="0"/>
    <n v="23.9"/>
    <x v="301"/>
    <x v="13"/>
    <x v="15"/>
    <x v="2"/>
    <x v="3"/>
    <x v="0"/>
    <x v="0"/>
    <x v="11"/>
    <x v="1"/>
    <x v="2"/>
    <x v="2"/>
  </r>
  <r>
    <s v="TX500317"/>
    <x v="6"/>
    <x v="0"/>
    <n v="124.3"/>
    <x v="302"/>
    <x v="13"/>
    <x v="11"/>
    <x v="0"/>
    <x v="2"/>
    <x v="1"/>
    <x v="0"/>
    <x v="21"/>
    <x v="3"/>
    <x v="2"/>
    <x v="0"/>
  </r>
  <r>
    <s v="TX500318"/>
    <x v="8"/>
    <x v="13"/>
    <n v="35.9"/>
    <x v="303"/>
    <x v="13"/>
    <x v="11"/>
    <x v="2"/>
    <x v="0"/>
    <x v="1"/>
    <x v="0"/>
    <x v="1"/>
    <x v="3"/>
    <x v="2"/>
    <x v="2"/>
  </r>
  <r>
    <s v="TX500319"/>
    <x v="2"/>
    <x v="1"/>
    <n v="69.099999999999994"/>
    <x v="304"/>
    <x v="13"/>
    <x v="10"/>
    <x v="2"/>
    <x v="0"/>
    <x v="2"/>
    <x v="0"/>
    <x v="22"/>
    <x v="2"/>
    <x v="2"/>
    <x v="2"/>
  </r>
  <r>
    <s v="TX500320"/>
    <x v="7"/>
    <x v="0"/>
    <n v="58.4"/>
    <x v="305"/>
    <x v="13"/>
    <x v="13"/>
    <x v="1"/>
    <x v="0"/>
    <x v="0"/>
    <x v="0"/>
    <x v="22"/>
    <x v="5"/>
    <x v="2"/>
    <x v="1"/>
  </r>
  <r>
    <s v="TX500321"/>
    <x v="5"/>
    <x v="0"/>
    <n v="65.2"/>
    <x v="221"/>
    <x v="13"/>
    <x v="15"/>
    <x v="3"/>
    <x v="4"/>
    <x v="4"/>
    <x v="0"/>
    <x v="3"/>
    <x v="1"/>
    <x v="2"/>
    <x v="3"/>
  </r>
  <r>
    <s v="TX500322"/>
    <x v="8"/>
    <x v="14"/>
    <n v="32.700000000000003"/>
    <x v="306"/>
    <x v="13"/>
    <x v="20"/>
    <x v="0"/>
    <x v="4"/>
    <x v="0"/>
    <x v="0"/>
    <x v="3"/>
    <x v="6"/>
    <x v="2"/>
    <x v="0"/>
  </r>
  <r>
    <s v="TX500323"/>
    <x v="10"/>
    <x v="3"/>
    <n v="24.4"/>
    <x v="307"/>
    <x v="13"/>
    <x v="11"/>
    <x v="2"/>
    <x v="0"/>
    <x v="0"/>
    <x v="0"/>
    <x v="3"/>
    <x v="3"/>
    <x v="2"/>
    <x v="2"/>
  </r>
  <r>
    <s v="TX500324"/>
    <x v="14"/>
    <x v="1"/>
    <n v="50.4"/>
    <x v="90"/>
    <x v="13"/>
    <x v="21"/>
    <x v="1"/>
    <x v="0"/>
    <x v="1"/>
    <x v="0"/>
    <x v="3"/>
    <x v="4"/>
    <x v="2"/>
    <x v="1"/>
  </r>
  <r>
    <s v="TX500325"/>
    <x v="1"/>
    <x v="1"/>
    <n v="100"/>
    <x v="308"/>
    <x v="13"/>
    <x v="11"/>
    <x v="2"/>
    <x v="0"/>
    <x v="0"/>
    <x v="0"/>
    <x v="3"/>
    <x v="3"/>
    <x v="2"/>
    <x v="2"/>
  </r>
  <r>
    <s v="TX500326"/>
    <x v="10"/>
    <x v="2"/>
    <n v="43"/>
    <x v="309"/>
    <x v="14"/>
    <x v="11"/>
    <x v="2"/>
    <x v="2"/>
    <x v="1"/>
    <x v="0"/>
    <x v="3"/>
    <x v="7"/>
    <x v="2"/>
    <x v="2"/>
  </r>
  <r>
    <s v="TX500327"/>
    <x v="1"/>
    <x v="9"/>
    <n v="64.400000000000006"/>
    <x v="310"/>
    <x v="14"/>
    <x v="10"/>
    <x v="1"/>
    <x v="2"/>
    <x v="1"/>
    <x v="0"/>
    <x v="3"/>
    <x v="1"/>
    <x v="2"/>
    <x v="1"/>
  </r>
  <r>
    <s v="TX500328"/>
    <x v="18"/>
    <x v="1"/>
    <n v="57.4"/>
    <x v="311"/>
    <x v="14"/>
    <x v="15"/>
    <x v="1"/>
    <x v="2"/>
    <x v="1"/>
    <x v="0"/>
    <x v="3"/>
    <x v="3"/>
    <x v="2"/>
    <x v="1"/>
  </r>
  <r>
    <s v="TX500329"/>
    <x v="2"/>
    <x v="2"/>
    <n v="55.1"/>
    <x v="312"/>
    <x v="14"/>
    <x v="13"/>
    <x v="2"/>
    <x v="1"/>
    <x v="0"/>
    <x v="0"/>
    <x v="3"/>
    <x v="2"/>
    <x v="2"/>
    <x v="2"/>
  </r>
  <r>
    <s v="TX500330"/>
    <x v="7"/>
    <x v="12"/>
    <n v="45.4"/>
    <x v="106"/>
    <x v="14"/>
    <x v="15"/>
    <x v="2"/>
    <x v="1"/>
    <x v="0"/>
    <x v="0"/>
    <x v="3"/>
    <x v="3"/>
    <x v="2"/>
    <x v="2"/>
  </r>
  <r>
    <s v="TX500331"/>
    <x v="3"/>
    <x v="2"/>
    <n v="93.3"/>
    <x v="313"/>
    <x v="14"/>
    <x v="15"/>
    <x v="2"/>
    <x v="0"/>
    <x v="0"/>
    <x v="0"/>
    <x v="40"/>
    <x v="3"/>
    <x v="2"/>
    <x v="2"/>
  </r>
  <r>
    <s v="TX500332"/>
    <x v="2"/>
    <x v="10"/>
    <n v="158.19999999999999"/>
    <x v="314"/>
    <x v="14"/>
    <x v="15"/>
    <x v="2"/>
    <x v="1"/>
    <x v="2"/>
    <x v="0"/>
    <x v="16"/>
    <x v="3"/>
    <x v="2"/>
    <x v="2"/>
  </r>
  <r>
    <s v="TX500333"/>
    <x v="2"/>
    <x v="1"/>
    <n v="74.900000000000006"/>
    <x v="315"/>
    <x v="14"/>
    <x v="10"/>
    <x v="1"/>
    <x v="3"/>
    <x v="0"/>
    <x v="0"/>
    <x v="6"/>
    <x v="1"/>
    <x v="2"/>
    <x v="1"/>
  </r>
  <r>
    <s v="TX500334"/>
    <x v="8"/>
    <x v="3"/>
    <n v="26"/>
    <x v="316"/>
    <x v="14"/>
    <x v="13"/>
    <x v="2"/>
    <x v="1"/>
    <x v="0"/>
    <x v="0"/>
    <x v="8"/>
    <x v="2"/>
    <x v="2"/>
    <x v="2"/>
  </r>
  <r>
    <s v="TX500335"/>
    <x v="9"/>
    <x v="13"/>
    <n v="37.5"/>
    <x v="317"/>
    <x v="14"/>
    <x v="15"/>
    <x v="2"/>
    <x v="0"/>
    <x v="1"/>
    <x v="0"/>
    <x v="8"/>
    <x v="3"/>
    <x v="2"/>
    <x v="2"/>
  </r>
  <r>
    <s v="TX500336"/>
    <x v="6"/>
    <x v="1"/>
    <n v="75.8"/>
    <x v="318"/>
    <x v="14"/>
    <x v="20"/>
    <x v="1"/>
    <x v="0"/>
    <x v="0"/>
    <x v="0"/>
    <x v="8"/>
    <x v="4"/>
    <x v="2"/>
    <x v="1"/>
  </r>
  <r>
    <s v="TX500337"/>
    <x v="7"/>
    <x v="0"/>
    <n v="48.5"/>
    <x v="319"/>
    <x v="14"/>
    <x v="22"/>
    <x v="0"/>
    <x v="4"/>
    <x v="2"/>
    <x v="0"/>
    <x v="8"/>
    <x v="13"/>
    <x v="2"/>
    <x v="0"/>
  </r>
  <r>
    <s v="TX500338"/>
    <x v="6"/>
    <x v="2"/>
    <n v="98.9"/>
    <x v="320"/>
    <x v="14"/>
    <x v="10"/>
    <x v="2"/>
    <x v="4"/>
    <x v="1"/>
    <x v="0"/>
    <x v="8"/>
    <x v="1"/>
    <x v="2"/>
    <x v="2"/>
  </r>
  <r>
    <s v="TX500339"/>
    <x v="1"/>
    <x v="4"/>
    <n v="50.9"/>
    <x v="321"/>
    <x v="14"/>
    <x v="11"/>
    <x v="1"/>
    <x v="4"/>
    <x v="0"/>
    <x v="0"/>
    <x v="8"/>
    <x v="7"/>
    <x v="2"/>
    <x v="1"/>
  </r>
  <r>
    <s v="TX500340"/>
    <x v="12"/>
    <x v="13"/>
    <n v="84.7"/>
    <x v="322"/>
    <x v="14"/>
    <x v="11"/>
    <x v="2"/>
    <x v="2"/>
    <x v="0"/>
    <x v="0"/>
    <x v="8"/>
    <x v="7"/>
    <x v="2"/>
    <x v="2"/>
  </r>
  <r>
    <s v="TX500341"/>
    <x v="8"/>
    <x v="0"/>
    <n v="20.7"/>
    <x v="323"/>
    <x v="14"/>
    <x v="10"/>
    <x v="2"/>
    <x v="3"/>
    <x v="2"/>
    <x v="0"/>
    <x v="8"/>
    <x v="1"/>
    <x v="2"/>
    <x v="2"/>
  </r>
  <r>
    <s v="TX500342"/>
    <x v="12"/>
    <x v="11"/>
    <n v="57.8"/>
    <x v="324"/>
    <x v="14"/>
    <x v="19"/>
    <x v="1"/>
    <x v="0"/>
    <x v="4"/>
    <x v="0"/>
    <x v="17"/>
    <x v="11"/>
    <x v="2"/>
    <x v="1"/>
  </r>
  <r>
    <s v="TX500343"/>
    <x v="2"/>
    <x v="1"/>
    <n v="106.9"/>
    <x v="325"/>
    <x v="14"/>
    <x v="10"/>
    <x v="2"/>
    <x v="0"/>
    <x v="2"/>
    <x v="0"/>
    <x v="41"/>
    <x v="1"/>
    <x v="2"/>
    <x v="2"/>
  </r>
  <r>
    <s v="TX500344"/>
    <x v="3"/>
    <x v="9"/>
    <n v="45.2"/>
    <x v="326"/>
    <x v="14"/>
    <x v="18"/>
    <x v="2"/>
    <x v="1"/>
    <x v="0"/>
    <x v="0"/>
    <x v="21"/>
    <x v="5"/>
    <x v="2"/>
    <x v="2"/>
  </r>
  <r>
    <s v="TX500345"/>
    <x v="8"/>
    <x v="15"/>
    <n v="34.6"/>
    <x v="327"/>
    <x v="14"/>
    <x v="11"/>
    <x v="2"/>
    <x v="1"/>
    <x v="1"/>
    <x v="0"/>
    <x v="21"/>
    <x v="7"/>
    <x v="2"/>
    <x v="2"/>
  </r>
  <r>
    <s v="TX500346"/>
    <x v="15"/>
    <x v="0"/>
    <n v="43.8"/>
    <x v="328"/>
    <x v="14"/>
    <x v="10"/>
    <x v="0"/>
    <x v="0"/>
    <x v="2"/>
    <x v="0"/>
    <x v="21"/>
    <x v="1"/>
    <x v="2"/>
    <x v="0"/>
  </r>
  <r>
    <s v="TX500347"/>
    <x v="15"/>
    <x v="0"/>
    <n v="20.399999999999999"/>
    <x v="190"/>
    <x v="14"/>
    <x v="10"/>
    <x v="1"/>
    <x v="4"/>
    <x v="1"/>
    <x v="0"/>
    <x v="21"/>
    <x v="1"/>
    <x v="2"/>
    <x v="1"/>
  </r>
  <r>
    <s v="TX500348"/>
    <x v="1"/>
    <x v="0"/>
    <n v="36.700000000000003"/>
    <x v="329"/>
    <x v="14"/>
    <x v="15"/>
    <x v="1"/>
    <x v="0"/>
    <x v="1"/>
    <x v="0"/>
    <x v="1"/>
    <x v="3"/>
    <x v="2"/>
    <x v="1"/>
  </r>
  <r>
    <s v="TX500349"/>
    <x v="8"/>
    <x v="2"/>
    <n v="27.2"/>
    <x v="330"/>
    <x v="14"/>
    <x v="18"/>
    <x v="1"/>
    <x v="0"/>
    <x v="2"/>
    <x v="0"/>
    <x v="1"/>
    <x v="5"/>
    <x v="2"/>
    <x v="1"/>
  </r>
  <r>
    <s v="TX500350"/>
    <x v="6"/>
    <x v="0"/>
    <n v="58.2"/>
    <x v="331"/>
    <x v="14"/>
    <x v="15"/>
    <x v="2"/>
    <x v="0"/>
    <x v="2"/>
    <x v="0"/>
    <x v="42"/>
    <x v="3"/>
    <x v="2"/>
    <x v="2"/>
  </r>
  <r>
    <s v="TX500351"/>
    <x v="8"/>
    <x v="2"/>
    <n v="25.6"/>
    <x v="332"/>
    <x v="14"/>
    <x v="15"/>
    <x v="1"/>
    <x v="4"/>
    <x v="4"/>
    <x v="0"/>
    <x v="2"/>
    <x v="3"/>
    <x v="2"/>
    <x v="1"/>
  </r>
  <r>
    <s v="TX500352"/>
    <x v="10"/>
    <x v="0"/>
    <n v="21.2"/>
    <x v="333"/>
    <x v="14"/>
    <x v="11"/>
    <x v="2"/>
    <x v="1"/>
    <x v="2"/>
    <x v="0"/>
    <x v="3"/>
    <x v="7"/>
    <x v="2"/>
    <x v="2"/>
  </r>
  <r>
    <s v="TX500353"/>
    <x v="6"/>
    <x v="1"/>
    <n v="48.2"/>
    <x v="334"/>
    <x v="14"/>
    <x v="23"/>
    <x v="2"/>
    <x v="0"/>
    <x v="2"/>
    <x v="0"/>
    <x v="3"/>
    <x v="9"/>
    <x v="2"/>
    <x v="2"/>
  </r>
  <r>
    <s v="TX500354"/>
    <x v="1"/>
    <x v="12"/>
    <n v="83.4"/>
    <x v="335"/>
    <x v="15"/>
    <x v="10"/>
    <x v="1"/>
    <x v="0"/>
    <x v="0"/>
    <x v="0"/>
    <x v="3"/>
    <x v="3"/>
    <x v="2"/>
    <x v="1"/>
  </r>
  <r>
    <s v="TX500355"/>
    <x v="9"/>
    <x v="2"/>
    <n v="45.3"/>
    <x v="336"/>
    <x v="15"/>
    <x v="24"/>
    <x v="1"/>
    <x v="2"/>
    <x v="1"/>
    <x v="0"/>
    <x v="3"/>
    <x v="4"/>
    <x v="2"/>
    <x v="1"/>
  </r>
  <r>
    <s v="TX500356"/>
    <x v="17"/>
    <x v="0"/>
    <n v="42"/>
    <x v="337"/>
    <x v="15"/>
    <x v="10"/>
    <x v="0"/>
    <x v="0"/>
    <x v="0"/>
    <x v="0"/>
    <x v="3"/>
    <x v="3"/>
    <x v="2"/>
    <x v="0"/>
  </r>
  <r>
    <s v="TX500357"/>
    <x v="0"/>
    <x v="11"/>
    <n v="21.8"/>
    <x v="338"/>
    <x v="15"/>
    <x v="13"/>
    <x v="2"/>
    <x v="1"/>
    <x v="0"/>
    <x v="0"/>
    <x v="3"/>
    <x v="1"/>
    <x v="2"/>
    <x v="2"/>
  </r>
  <r>
    <s v="TX500358"/>
    <x v="8"/>
    <x v="16"/>
    <n v="21.4"/>
    <x v="339"/>
    <x v="15"/>
    <x v="18"/>
    <x v="2"/>
    <x v="1"/>
    <x v="2"/>
    <x v="0"/>
    <x v="3"/>
    <x v="2"/>
    <x v="2"/>
    <x v="2"/>
  </r>
  <r>
    <s v="TX500359"/>
    <x v="10"/>
    <x v="2"/>
    <n v="45"/>
    <x v="340"/>
    <x v="15"/>
    <x v="15"/>
    <x v="2"/>
    <x v="1"/>
    <x v="2"/>
    <x v="0"/>
    <x v="3"/>
    <x v="7"/>
    <x v="2"/>
    <x v="2"/>
  </r>
  <r>
    <s v="TX500360"/>
    <x v="14"/>
    <x v="0"/>
    <n v="39.6"/>
    <x v="341"/>
    <x v="15"/>
    <x v="10"/>
    <x v="1"/>
    <x v="0"/>
    <x v="2"/>
    <x v="0"/>
    <x v="3"/>
    <x v="3"/>
    <x v="2"/>
    <x v="1"/>
  </r>
  <r>
    <s v="TX500361"/>
    <x v="12"/>
    <x v="2"/>
    <n v="79.8"/>
    <x v="342"/>
    <x v="15"/>
    <x v="24"/>
    <x v="2"/>
    <x v="1"/>
    <x v="4"/>
    <x v="0"/>
    <x v="3"/>
    <x v="4"/>
    <x v="2"/>
    <x v="2"/>
  </r>
  <r>
    <s v="TX500362"/>
    <x v="1"/>
    <x v="12"/>
    <n v="63.6"/>
    <x v="343"/>
    <x v="15"/>
    <x v="10"/>
    <x v="3"/>
    <x v="0"/>
    <x v="2"/>
    <x v="0"/>
    <x v="24"/>
    <x v="3"/>
    <x v="2"/>
    <x v="3"/>
  </r>
  <r>
    <s v="TX500363"/>
    <x v="7"/>
    <x v="7"/>
    <n v="92.7"/>
    <x v="344"/>
    <x v="15"/>
    <x v="21"/>
    <x v="1"/>
    <x v="1"/>
    <x v="2"/>
    <x v="0"/>
    <x v="6"/>
    <x v="5"/>
    <x v="2"/>
    <x v="1"/>
  </r>
  <r>
    <s v="TX500364"/>
    <x v="1"/>
    <x v="12"/>
    <n v="48.4"/>
    <x v="345"/>
    <x v="15"/>
    <x v="13"/>
    <x v="2"/>
    <x v="1"/>
    <x v="2"/>
    <x v="0"/>
    <x v="6"/>
    <x v="1"/>
    <x v="2"/>
    <x v="2"/>
  </r>
  <r>
    <s v="TX500365"/>
    <x v="9"/>
    <x v="8"/>
    <n v="36"/>
    <x v="346"/>
    <x v="15"/>
    <x v="18"/>
    <x v="1"/>
    <x v="2"/>
    <x v="2"/>
    <x v="0"/>
    <x v="8"/>
    <x v="2"/>
    <x v="2"/>
    <x v="1"/>
  </r>
  <r>
    <s v="TX500366"/>
    <x v="8"/>
    <x v="4"/>
    <n v="27"/>
    <x v="347"/>
    <x v="15"/>
    <x v="13"/>
    <x v="2"/>
    <x v="2"/>
    <x v="1"/>
    <x v="0"/>
    <x v="8"/>
    <x v="1"/>
    <x v="2"/>
    <x v="2"/>
  </r>
  <r>
    <s v="TX500367"/>
    <x v="2"/>
    <x v="8"/>
    <n v="53.9"/>
    <x v="348"/>
    <x v="15"/>
    <x v="10"/>
    <x v="0"/>
    <x v="0"/>
    <x v="0"/>
    <x v="0"/>
    <x v="8"/>
    <x v="3"/>
    <x v="2"/>
    <x v="0"/>
  </r>
  <r>
    <s v="TX500368"/>
    <x v="3"/>
    <x v="11"/>
    <n v="48.4"/>
    <x v="349"/>
    <x v="15"/>
    <x v="10"/>
    <x v="2"/>
    <x v="1"/>
    <x v="0"/>
    <x v="0"/>
    <x v="9"/>
    <x v="3"/>
    <x v="2"/>
    <x v="2"/>
  </r>
  <r>
    <s v="TX500369"/>
    <x v="17"/>
    <x v="1"/>
    <n v="49.9"/>
    <x v="350"/>
    <x v="15"/>
    <x v="20"/>
    <x v="1"/>
    <x v="4"/>
    <x v="4"/>
    <x v="0"/>
    <x v="10"/>
    <x v="0"/>
    <x v="2"/>
    <x v="1"/>
  </r>
  <r>
    <s v="TX500370"/>
    <x v="1"/>
    <x v="2"/>
    <n v="51.7"/>
    <x v="351"/>
    <x v="15"/>
    <x v="10"/>
    <x v="2"/>
    <x v="0"/>
    <x v="2"/>
    <x v="0"/>
    <x v="11"/>
    <x v="3"/>
    <x v="2"/>
    <x v="2"/>
  </r>
  <r>
    <s v="TX500371"/>
    <x v="8"/>
    <x v="2"/>
    <n v="41.8"/>
    <x v="352"/>
    <x v="15"/>
    <x v="13"/>
    <x v="2"/>
    <x v="2"/>
    <x v="0"/>
    <x v="0"/>
    <x v="18"/>
    <x v="1"/>
    <x v="2"/>
    <x v="2"/>
  </r>
  <r>
    <s v="TX500372"/>
    <x v="4"/>
    <x v="12"/>
    <n v="36.200000000000003"/>
    <x v="353"/>
    <x v="16"/>
    <x v="13"/>
    <x v="1"/>
    <x v="2"/>
    <x v="2"/>
    <x v="0"/>
    <x v="21"/>
    <x v="3"/>
    <x v="2"/>
    <x v="1"/>
  </r>
  <r>
    <s v="TX500373"/>
    <x v="2"/>
    <x v="0"/>
    <n v="150.9"/>
    <x v="354"/>
    <x v="16"/>
    <x v="22"/>
    <x v="1"/>
    <x v="0"/>
    <x v="0"/>
    <x v="0"/>
    <x v="1"/>
    <x v="14"/>
    <x v="2"/>
    <x v="1"/>
  </r>
  <r>
    <s v="TX500374"/>
    <x v="18"/>
    <x v="12"/>
    <n v="77.599999999999994"/>
    <x v="355"/>
    <x v="16"/>
    <x v="13"/>
    <x v="0"/>
    <x v="2"/>
    <x v="0"/>
    <x v="0"/>
    <x v="3"/>
    <x v="3"/>
    <x v="2"/>
    <x v="0"/>
  </r>
  <r>
    <s v="TX500375"/>
    <x v="13"/>
    <x v="9"/>
    <n v="65.5"/>
    <x v="356"/>
    <x v="16"/>
    <x v="10"/>
    <x v="1"/>
    <x v="1"/>
    <x v="0"/>
    <x v="0"/>
    <x v="3"/>
    <x v="7"/>
    <x v="2"/>
    <x v="1"/>
  </r>
  <r>
    <s v="TX500376"/>
    <x v="6"/>
    <x v="2"/>
    <n v="90.1"/>
    <x v="357"/>
    <x v="16"/>
    <x v="18"/>
    <x v="2"/>
    <x v="0"/>
    <x v="0"/>
    <x v="0"/>
    <x v="3"/>
    <x v="1"/>
    <x v="2"/>
    <x v="2"/>
  </r>
  <r>
    <s v="TX500377"/>
    <x v="1"/>
    <x v="1"/>
    <n v="108.3"/>
    <x v="358"/>
    <x v="16"/>
    <x v="21"/>
    <x v="3"/>
    <x v="4"/>
    <x v="0"/>
    <x v="0"/>
    <x v="3"/>
    <x v="2"/>
    <x v="2"/>
    <x v="3"/>
  </r>
  <r>
    <s v="TX500378"/>
    <x v="5"/>
    <x v="2"/>
    <n v="59.9"/>
    <x v="359"/>
    <x v="16"/>
    <x v="20"/>
    <x v="2"/>
    <x v="0"/>
    <x v="0"/>
    <x v="0"/>
    <x v="3"/>
    <x v="5"/>
    <x v="2"/>
    <x v="2"/>
  </r>
  <r>
    <s v="TX500379"/>
    <x v="2"/>
    <x v="14"/>
    <n v="139"/>
    <x v="360"/>
    <x v="16"/>
    <x v="18"/>
    <x v="2"/>
    <x v="1"/>
    <x v="4"/>
    <x v="0"/>
    <x v="3"/>
    <x v="1"/>
    <x v="2"/>
    <x v="2"/>
  </r>
  <r>
    <s v="TX500380"/>
    <x v="6"/>
    <x v="2"/>
    <n v="87.3"/>
    <x v="361"/>
    <x v="16"/>
    <x v="13"/>
    <x v="2"/>
    <x v="0"/>
    <x v="0"/>
    <x v="0"/>
    <x v="3"/>
    <x v="3"/>
    <x v="2"/>
    <x v="2"/>
  </r>
  <r>
    <s v="TX500381"/>
    <x v="11"/>
    <x v="12"/>
    <n v="42.3"/>
    <x v="362"/>
    <x v="16"/>
    <x v="10"/>
    <x v="1"/>
    <x v="0"/>
    <x v="0"/>
    <x v="0"/>
    <x v="3"/>
    <x v="7"/>
    <x v="2"/>
    <x v="1"/>
  </r>
  <r>
    <s v="TX500382"/>
    <x v="14"/>
    <x v="8"/>
    <n v="103.6"/>
    <x v="363"/>
    <x v="16"/>
    <x v="13"/>
    <x v="3"/>
    <x v="0"/>
    <x v="1"/>
    <x v="0"/>
    <x v="3"/>
    <x v="3"/>
    <x v="2"/>
    <x v="3"/>
  </r>
  <r>
    <s v="TX500383"/>
    <x v="6"/>
    <x v="1"/>
    <n v="90.9"/>
    <x v="364"/>
    <x v="16"/>
    <x v="13"/>
    <x v="1"/>
    <x v="1"/>
    <x v="0"/>
    <x v="0"/>
    <x v="6"/>
    <x v="3"/>
    <x v="2"/>
    <x v="1"/>
  </r>
  <r>
    <s v="TX500384"/>
    <x v="9"/>
    <x v="27"/>
    <n v="100.9"/>
    <x v="365"/>
    <x v="16"/>
    <x v="13"/>
    <x v="2"/>
    <x v="1"/>
    <x v="0"/>
    <x v="0"/>
    <x v="6"/>
    <x v="3"/>
    <x v="2"/>
    <x v="2"/>
  </r>
  <r>
    <s v="TX500385"/>
    <x v="4"/>
    <x v="9"/>
    <n v="36"/>
    <x v="366"/>
    <x v="16"/>
    <x v="18"/>
    <x v="2"/>
    <x v="1"/>
    <x v="0"/>
    <x v="0"/>
    <x v="7"/>
    <x v="1"/>
    <x v="2"/>
    <x v="2"/>
  </r>
  <r>
    <s v="TX500386"/>
    <x v="6"/>
    <x v="13"/>
    <n v="83.3"/>
    <x v="367"/>
    <x v="16"/>
    <x v="21"/>
    <x v="0"/>
    <x v="2"/>
    <x v="0"/>
    <x v="0"/>
    <x v="7"/>
    <x v="2"/>
    <x v="2"/>
    <x v="0"/>
  </r>
  <r>
    <s v="TX500387"/>
    <x v="2"/>
    <x v="14"/>
    <n v="60.3"/>
    <x v="368"/>
    <x v="16"/>
    <x v="13"/>
    <x v="1"/>
    <x v="2"/>
    <x v="1"/>
    <x v="0"/>
    <x v="7"/>
    <x v="3"/>
    <x v="2"/>
    <x v="1"/>
  </r>
  <r>
    <s v="TX500388"/>
    <x v="2"/>
    <x v="13"/>
    <n v="120.3"/>
    <x v="369"/>
    <x v="16"/>
    <x v="13"/>
    <x v="1"/>
    <x v="2"/>
    <x v="0"/>
    <x v="0"/>
    <x v="8"/>
    <x v="3"/>
    <x v="2"/>
    <x v="1"/>
  </r>
  <r>
    <s v="TX500389"/>
    <x v="4"/>
    <x v="7"/>
    <n v="34"/>
    <x v="370"/>
    <x v="16"/>
    <x v="20"/>
    <x v="2"/>
    <x v="2"/>
    <x v="0"/>
    <x v="0"/>
    <x v="8"/>
    <x v="5"/>
    <x v="2"/>
    <x v="2"/>
  </r>
  <r>
    <s v="TX500390"/>
    <x v="10"/>
    <x v="9"/>
    <n v="42.6"/>
    <x v="226"/>
    <x v="16"/>
    <x v="21"/>
    <x v="1"/>
    <x v="1"/>
    <x v="0"/>
    <x v="0"/>
    <x v="8"/>
    <x v="2"/>
    <x v="2"/>
    <x v="1"/>
  </r>
  <r>
    <s v="TX500391"/>
    <x v="5"/>
    <x v="28"/>
    <n v="47.4"/>
    <x v="371"/>
    <x v="16"/>
    <x v="10"/>
    <x v="2"/>
    <x v="2"/>
    <x v="1"/>
    <x v="0"/>
    <x v="17"/>
    <x v="7"/>
    <x v="2"/>
    <x v="2"/>
  </r>
  <r>
    <s v="TX500392"/>
    <x v="2"/>
    <x v="0"/>
    <n v="74"/>
    <x v="372"/>
    <x v="17"/>
    <x v="18"/>
    <x v="1"/>
    <x v="1"/>
    <x v="0"/>
    <x v="0"/>
    <x v="11"/>
    <x v="3"/>
    <x v="2"/>
    <x v="1"/>
  </r>
  <r>
    <s v="TX500393"/>
    <x v="2"/>
    <x v="9"/>
    <n v="60.4"/>
    <x v="373"/>
    <x v="17"/>
    <x v="20"/>
    <x v="2"/>
    <x v="1"/>
    <x v="4"/>
    <x v="0"/>
    <x v="18"/>
    <x v="2"/>
    <x v="2"/>
    <x v="2"/>
  </r>
  <r>
    <s v="TX500394"/>
    <x v="12"/>
    <x v="1"/>
    <n v="69.3"/>
    <x v="374"/>
    <x v="17"/>
    <x v="20"/>
    <x v="1"/>
    <x v="1"/>
    <x v="1"/>
    <x v="0"/>
    <x v="13"/>
    <x v="2"/>
    <x v="2"/>
    <x v="1"/>
  </r>
  <r>
    <s v="TX500395"/>
    <x v="5"/>
    <x v="9"/>
    <n v="81"/>
    <x v="375"/>
    <x v="17"/>
    <x v="25"/>
    <x v="1"/>
    <x v="3"/>
    <x v="0"/>
    <x v="0"/>
    <x v="21"/>
    <x v="4"/>
    <x v="2"/>
    <x v="1"/>
  </r>
  <r>
    <s v="TX500396"/>
    <x v="15"/>
    <x v="2"/>
    <n v="41.5"/>
    <x v="376"/>
    <x v="17"/>
    <x v="21"/>
    <x v="3"/>
    <x v="1"/>
    <x v="0"/>
    <x v="0"/>
    <x v="21"/>
    <x v="1"/>
    <x v="2"/>
    <x v="3"/>
  </r>
  <r>
    <s v="TX500397"/>
    <x v="18"/>
    <x v="1"/>
    <n v="69.7"/>
    <x v="377"/>
    <x v="17"/>
    <x v="23"/>
    <x v="1"/>
    <x v="1"/>
    <x v="0"/>
    <x v="0"/>
    <x v="21"/>
    <x v="0"/>
    <x v="2"/>
    <x v="1"/>
  </r>
  <r>
    <s v="TX500398"/>
    <x v="2"/>
    <x v="9"/>
    <n v="83.6"/>
    <x v="378"/>
    <x v="17"/>
    <x v="13"/>
    <x v="2"/>
    <x v="4"/>
    <x v="0"/>
    <x v="0"/>
    <x v="1"/>
    <x v="7"/>
    <x v="2"/>
    <x v="2"/>
  </r>
  <r>
    <s v="TX500399"/>
    <x v="8"/>
    <x v="3"/>
    <n v="21.5"/>
    <x v="379"/>
    <x v="17"/>
    <x v="21"/>
    <x v="1"/>
    <x v="1"/>
    <x v="4"/>
    <x v="0"/>
    <x v="34"/>
    <x v="1"/>
    <x v="2"/>
    <x v="1"/>
  </r>
  <r>
    <s v="TX500400"/>
    <x v="8"/>
    <x v="8"/>
    <n v="28.6"/>
    <x v="27"/>
    <x v="17"/>
    <x v="18"/>
    <x v="1"/>
    <x v="0"/>
    <x v="0"/>
    <x v="0"/>
    <x v="3"/>
    <x v="3"/>
    <x v="2"/>
    <x v="1"/>
  </r>
  <r>
    <s v="TX500401"/>
    <x v="8"/>
    <x v="13"/>
    <n v="18.8"/>
    <x v="380"/>
    <x v="17"/>
    <x v="20"/>
    <x v="1"/>
    <x v="3"/>
    <x v="2"/>
    <x v="0"/>
    <x v="3"/>
    <x v="2"/>
    <x v="2"/>
    <x v="1"/>
  </r>
  <r>
    <s v="TX500402"/>
    <x v="10"/>
    <x v="12"/>
    <n v="35.1"/>
    <x v="381"/>
    <x v="17"/>
    <x v="13"/>
    <x v="2"/>
    <x v="1"/>
    <x v="1"/>
    <x v="0"/>
    <x v="3"/>
    <x v="7"/>
    <x v="2"/>
    <x v="2"/>
  </r>
  <r>
    <s v="TX500403"/>
    <x v="0"/>
    <x v="1"/>
    <n v="12.7"/>
    <x v="382"/>
    <x v="17"/>
    <x v="21"/>
    <x v="2"/>
    <x v="1"/>
    <x v="2"/>
    <x v="0"/>
    <x v="3"/>
    <x v="1"/>
    <x v="2"/>
    <x v="2"/>
  </r>
  <r>
    <s v="TX500404"/>
    <x v="8"/>
    <x v="9"/>
    <n v="27.4"/>
    <x v="383"/>
    <x v="17"/>
    <x v="21"/>
    <x v="3"/>
    <x v="0"/>
    <x v="0"/>
    <x v="0"/>
    <x v="3"/>
    <x v="1"/>
    <x v="2"/>
    <x v="3"/>
  </r>
  <r>
    <s v="TX500405"/>
    <x v="10"/>
    <x v="1"/>
    <n v="61.3"/>
    <x v="384"/>
    <x v="17"/>
    <x v="18"/>
    <x v="2"/>
    <x v="1"/>
    <x v="0"/>
    <x v="0"/>
    <x v="6"/>
    <x v="3"/>
    <x v="2"/>
    <x v="2"/>
  </r>
  <r>
    <s v="TX500406"/>
    <x v="8"/>
    <x v="1"/>
    <n v="64.7"/>
    <x v="385"/>
    <x v="17"/>
    <x v="21"/>
    <x v="2"/>
    <x v="3"/>
    <x v="2"/>
    <x v="0"/>
    <x v="6"/>
    <x v="1"/>
    <x v="2"/>
    <x v="2"/>
  </r>
  <r>
    <s v="TX500407"/>
    <x v="7"/>
    <x v="12"/>
    <n v="91.4"/>
    <x v="386"/>
    <x v="17"/>
    <x v="21"/>
    <x v="2"/>
    <x v="0"/>
    <x v="0"/>
    <x v="0"/>
    <x v="8"/>
    <x v="1"/>
    <x v="2"/>
    <x v="2"/>
  </r>
  <r>
    <s v="TX500408"/>
    <x v="0"/>
    <x v="1"/>
    <n v="33.1"/>
    <x v="387"/>
    <x v="18"/>
    <x v="21"/>
    <x v="1"/>
    <x v="0"/>
    <x v="2"/>
    <x v="0"/>
    <x v="8"/>
    <x v="3"/>
    <x v="3"/>
    <x v="1"/>
  </r>
  <r>
    <s v="TX500409"/>
    <x v="3"/>
    <x v="1"/>
    <n v="105.6"/>
    <x v="23"/>
    <x v="18"/>
    <x v="21"/>
    <x v="1"/>
    <x v="2"/>
    <x v="1"/>
    <x v="0"/>
    <x v="8"/>
    <x v="3"/>
    <x v="3"/>
    <x v="1"/>
  </r>
  <r>
    <s v="TX500410"/>
    <x v="10"/>
    <x v="2"/>
    <n v="46.4"/>
    <x v="388"/>
    <x v="18"/>
    <x v="21"/>
    <x v="1"/>
    <x v="2"/>
    <x v="0"/>
    <x v="0"/>
    <x v="9"/>
    <x v="3"/>
    <x v="3"/>
    <x v="1"/>
  </r>
  <r>
    <s v="TX500411"/>
    <x v="9"/>
    <x v="21"/>
    <n v="35.299999999999997"/>
    <x v="389"/>
    <x v="18"/>
    <x v="24"/>
    <x v="2"/>
    <x v="4"/>
    <x v="1"/>
    <x v="0"/>
    <x v="11"/>
    <x v="2"/>
    <x v="3"/>
    <x v="2"/>
  </r>
  <r>
    <s v="TX500412"/>
    <x v="0"/>
    <x v="1"/>
    <n v="16.100000000000001"/>
    <x v="390"/>
    <x v="18"/>
    <x v="20"/>
    <x v="1"/>
    <x v="3"/>
    <x v="2"/>
    <x v="0"/>
    <x v="32"/>
    <x v="1"/>
    <x v="3"/>
    <x v="1"/>
  </r>
  <r>
    <s v="TX500413"/>
    <x v="4"/>
    <x v="1"/>
    <n v="27.9"/>
    <x v="391"/>
    <x v="18"/>
    <x v="24"/>
    <x v="1"/>
    <x v="0"/>
    <x v="0"/>
    <x v="0"/>
    <x v="13"/>
    <x v="2"/>
    <x v="3"/>
    <x v="1"/>
  </r>
  <r>
    <s v="TX500414"/>
    <x v="8"/>
    <x v="0"/>
    <n v="47.1"/>
    <x v="392"/>
    <x v="18"/>
    <x v="22"/>
    <x v="2"/>
    <x v="1"/>
    <x v="0"/>
    <x v="0"/>
    <x v="2"/>
    <x v="9"/>
    <x v="3"/>
    <x v="2"/>
  </r>
  <r>
    <s v="TX500415"/>
    <x v="6"/>
    <x v="1"/>
    <n v="85"/>
    <x v="393"/>
    <x v="18"/>
    <x v="24"/>
    <x v="0"/>
    <x v="2"/>
    <x v="2"/>
    <x v="0"/>
    <x v="22"/>
    <x v="2"/>
    <x v="3"/>
    <x v="0"/>
  </r>
  <r>
    <s v="TX500416"/>
    <x v="18"/>
    <x v="1"/>
    <n v="89"/>
    <x v="394"/>
    <x v="18"/>
    <x v="20"/>
    <x v="2"/>
    <x v="0"/>
    <x v="0"/>
    <x v="0"/>
    <x v="3"/>
    <x v="1"/>
    <x v="3"/>
    <x v="2"/>
  </r>
  <r>
    <s v="TX500417"/>
    <x v="16"/>
    <x v="2"/>
    <n v="36.6"/>
    <x v="17"/>
    <x v="18"/>
    <x v="21"/>
    <x v="3"/>
    <x v="3"/>
    <x v="2"/>
    <x v="0"/>
    <x v="3"/>
    <x v="3"/>
    <x v="3"/>
    <x v="3"/>
  </r>
  <r>
    <s v="TX500418"/>
    <x v="6"/>
    <x v="3"/>
    <n v="43.5"/>
    <x v="395"/>
    <x v="18"/>
    <x v="21"/>
    <x v="1"/>
    <x v="1"/>
    <x v="2"/>
    <x v="0"/>
    <x v="3"/>
    <x v="3"/>
    <x v="3"/>
    <x v="1"/>
  </r>
  <r>
    <s v="TX500419"/>
    <x v="9"/>
    <x v="10"/>
    <n v="30.5"/>
    <x v="396"/>
    <x v="18"/>
    <x v="18"/>
    <x v="2"/>
    <x v="3"/>
    <x v="0"/>
    <x v="0"/>
    <x v="3"/>
    <x v="7"/>
    <x v="3"/>
    <x v="2"/>
  </r>
  <r>
    <s v="TX500420"/>
    <x v="1"/>
    <x v="1"/>
    <n v="107.7"/>
    <x v="397"/>
    <x v="18"/>
    <x v="23"/>
    <x v="1"/>
    <x v="3"/>
    <x v="4"/>
    <x v="0"/>
    <x v="3"/>
    <x v="5"/>
    <x v="3"/>
    <x v="1"/>
  </r>
  <r>
    <s v="TX500421"/>
    <x v="17"/>
    <x v="18"/>
    <n v="57.1"/>
    <x v="398"/>
    <x v="18"/>
    <x v="21"/>
    <x v="1"/>
    <x v="1"/>
    <x v="0"/>
    <x v="0"/>
    <x v="3"/>
    <x v="3"/>
    <x v="3"/>
    <x v="1"/>
  </r>
  <r>
    <s v="TX500422"/>
    <x v="2"/>
    <x v="7"/>
    <n v="111.7"/>
    <x v="399"/>
    <x v="18"/>
    <x v="21"/>
    <x v="2"/>
    <x v="4"/>
    <x v="2"/>
    <x v="0"/>
    <x v="3"/>
    <x v="3"/>
    <x v="3"/>
    <x v="2"/>
  </r>
  <r>
    <s v="TX500423"/>
    <x v="18"/>
    <x v="3"/>
    <n v="44.3"/>
    <x v="400"/>
    <x v="18"/>
    <x v="24"/>
    <x v="1"/>
    <x v="3"/>
    <x v="2"/>
    <x v="0"/>
    <x v="3"/>
    <x v="2"/>
    <x v="3"/>
    <x v="1"/>
  </r>
  <r>
    <s v="TX500424"/>
    <x v="2"/>
    <x v="8"/>
    <n v="95.8"/>
    <x v="401"/>
    <x v="18"/>
    <x v="17"/>
    <x v="3"/>
    <x v="0"/>
    <x v="0"/>
    <x v="0"/>
    <x v="3"/>
    <x v="4"/>
    <x v="3"/>
    <x v="3"/>
  </r>
  <r>
    <s v="TX500425"/>
    <x v="10"/>
    <x v="3"/>
    <n v="22.6"/>
    <x v="402"/>
    <x v="18"/>
    <x v="24"/>
    <x v="2"/>
    <x v="3"/>
    <x v="1"/>
    <x v="0"/>
    <x v="3"/>
    <x v="2"/>
    <x v="3"/>
    <x v="2"/>
  </r>
  <r>
    <s v="TX500426"/>
    <x v="8"/>
    <x v="8"/>
    <n v="25.6"/>
    <x v="403"/>
    <x v="18"/>
    <x v="20"/>
    <x v="2"/>
    <x v="4"/>
    <x v="0"/>
    <x v="0"/>
    <x v="3"/>
    <x v="1"/>
    <x v="3"/>
    <x v="2"/>
  </r>
  <r>
    <s v="TX500427"/>
    <x v="6"/>
    <x v="27"/>
    <n v="54.3"/>
    <x v="404"/>
    <x v="18"/>
    <x v="24"/>
    <x v="2"/>
    <x v="4"/>
    <x v="0"/>
    <x v="0"/>
    <x v="3"/>
    <x v="2"/>
    <x v="3"/>
    <x v="2"/>
  </r>
  <r>
    <s v="TX500428"/>
    <x v="18"/>
    <x v="15"/>
    <n v="51.3"/>
    <x v="405"/>
    <x v="18"/>
    <x v="20"/>
    <x v="1"/>
    <x v="0"/>
    <x v="2"/>
    <x v="0"/>
    <x v="3"/>
    <x v="1"/>
    <x v="3"/>
    <x v="1"/>
  </r>
  <r>
    <s v="TX500429"/>
    <x v="0"/>
    <x v="8"/>
    <n v="25.6"/>
    <x v="403"/>
    <x v="18"/>
    <x v="21"/>
    <x v="2"/>
    <x v="1"/>
    <x v="1"/>
    <x v="0"/>
    <x v="3"/>
    <x v="3"/>
    <x v="3"/>
    <x v="2"/>
  </r>
  <r>
    <s v="TX500430"/>
    <x v="0"/>
    <x v="1"/>
    <n v="15.6"/>
    <x v="406"/>
    <x v="18"/>
    <x v="21"/>
    <x v="2"/>
    <x v="2"/>
    <x v="2"/>
    <x v="0"/>
    <x v="3"/>
    <x v="3"/>
    <x v="3"/>
    <x v="2"/>
  </r>
  <r>
    <s v="TX500431"/>
    <x v="8"/>
    <x v="2"/>
    <n v="30.3"/>
    <x v="407"/>
    <x v="18"/>
    <x v="23"/>
    <x v="2"/>
    <x v="0"/>
    <x v="1"/>
    <x v="0"/>
    <x v="3"/>
    <x v="5"/>
    <x v="3"/>
    <x v="2"/>
  </r>
  <r>
    <s v="TX500432"/>
    <x v="12"/>
    <x v="1"/>
    <n v="30.3"/>
    <x v="408"/>
    <x v="18"/>
    <x v="25"/>
    <x v="2"/>
    <x v="0"/>
    <x v="2"/>
    <x v="0"/>
    <x v="37"/>
    <x v="0"/>
    <x v="3"/>
    <x v="2"/>
  </r>
  <r>
    <s v="TX500433"/>
    <x v="10"/>
    <x v="2"/>
    <n v="53"/>
    <x v="409"/>
    <x v="18"/>
    <x v="19"/>
    <x v="2"/>
    <x v="2"/>
    <x v="0"/>
    <x v="0"/>
    <x v="24"/>
    <x v="6"/>
    <x v="3"/>
    <x v="2"/>
  </r>
  <r>
    <s v="TX500434"/>
    <x v="5"/>
    <x v="16"/>
    <n v="59.9"/>
    <x v="410"/>
    <x v="18"/>
    <x v="24"/>
    <x v="1"/>
    <x v="2"/>
    <x v="4"/>
    <x v="0"/>
    <x v="25"/>
    <x v="2"/>
    <x v="3"/>
    <x v="1"/>
  </r>
  <r>
    <s v="TX500435"/>
    <x v="9"/>
    <x v="1"/>
    <n v="45.7"/>
    <x v="411"/>
    <x v="18"/>
    <x v="21"/>
    <x v="2"/>
    <x v="1"/>
    <x v="2"/>
    <x v="0"/>
    <x v="6"/>
    <x v="3"/>
    <x v="3"/>
    <x v="2"/>
  </r>
  <r>
    <s v="TX500436"/>
    <x v="8"/>
    <x v="12"/>
    <n v="46.1"/>
    <x v="412"/>
    <x v="18"/>
    <x v="21"/>
    <x v="1"/>
    <x v="0"/>
    <x v="0"/>
    <x v="0"/>
    <x v="6"/>
    <x v="3"/>
    <x v="3"/>
    <x v="1"/>
  </r>
  <r>
    <s v="TX500437"/>
    <x v="8"/>
    <x v="2"/>
    <n v="17.5"/>
    <x v="413"/>
    <x v="18"/>
    <x v="21"/>
    <x v="2"/>
    <x v="0"/>
    <x v="2"/>
    <x v="0"/>
    <x v="8"/>
    <x v="3"/>
    <x v="3"/>
    <x v="2"/>
  </r>
  <r>
    <s v="TX500438"/>
    <x v="10"/>
    <x v="2"/>
    <n v="36.5"/>
    <x v="414"/>
    <x v="18"/>
    <x v="26"/>
    <x v="1"/>
    <x v="2"/>
    <x v="0"/>
    <x v="0"/>
    <x v="8"/>
    <x v="11"/>
    <x v="3"/>
    <x v="1"/>
  </r>
  <r>
    <s v="TX500439"/>
    <x v="8"/>
    <x v="1"/>
    <n v="47.5"/>
    <x v="415"/>
    <x v="19"/>
    <x v="24"/>
    <x v="2"/>
    <x v="1"/>
    <x v="0"/>
    <x v="0"/>
    <x v="8"/>
    <x v="1"/>
    <x v="3"/>
    <x v="2"/>
  </r>
  <r>
    <s v="TX500440"/>
    <x v="6"/>
    <x v="9"/>
    <n v="45.6"/>
    <x v="416"/>
    <x v="19"/>
    <x v="24"/>
    <x v="2"/>
    <x v="0"/>
    <x v="2"/>
    <x v="0"/>
    <x v="8"/>
    <x v="1"/>
    <x v="3"/>
    <x v="2"/>
  </r>
  <r>
    <s v="TX500441"/>
    <x v="9"/>
    <x v="1"/>
    <n v="50.5"/>
    <x v="95"/>
    <x v="19"/>
    <x v="24"/>
    <x v="1"/>
    <x v="0"/>
    <x v="1"/>
    <x v="0"/>
    <x v="17"/>
    <x v="1"/>
    <x v="3"/>
    <x v="1"/>
  </r>
  <r>
    <s v="TX500442"/>
    <x v="2"/>
    <x v="7"/>
    <n v="99.8"/>
    <x v="417"/>
    <x v="19"/>
    <x v="23"/>
    <x v="2"/>
    <x v="2"/>
    <x v="1"/>
    <x v="0"/>
    <x v="17"/>
    <x v="2"/>
    <x v="3"/>
    <x v="2"/>
  </r>
  <r>
    <s v="TX500443"/>
    <x v="8"/>
    <x v="20"/>
    <n v="19.2"/>
    <x v="346"/>
    <x v="19"/>
    <x v="24"/>
    <x v="3"/>
    <x v="4"/>
    <x v="1"/>
    <x v="0"/>
    <x v="26"/>
    <x v="1"/>
    <x v="3"/>
    <x v="3"/>
  </r>
  <r>
    <s v="TX500444"/>
    <x v="17"/>
    <x v="2"/>
    <n v="22.6"/>
    <x v="418"/>
    <x v="19"/>
    <x v="20"/>
    <x v="1"/>
    <x v="1"/>
    <x v="0"/>
    <x v="0"/>
    <x v="11"/>
    <x v="3"/>
    <x v="3"/>
    <x v="1"/>
  </r>
  <r>
    <s v="TX500445"/>
    <x v="1"/>
    <x v="20"/>
    <n v="126.9"/>
    <x v="419"/>
    <x v="19"/>
    <x v="24"/>
    <x v="2"/>
    <x v="0"/>
    <x v="2"/>
    <x v="0"/>
    <x v="11"/>
    <x v="1"/>
    <x v="3"/>
    <x v="2"/>
  </r>
  <r>
    <s v="TX500446"/>
    <x v="2"/>
    <x v="1"/>
    <n v="100.3"/>
    <x v="420"/>
    <x v="19"/>
    <x v="20"/>
    <x v="2"/>
    <x v="0"/>
    <x v="1"/>
    <x v="0"/>
    <x v="11"/>
    <x v="3"/>
    <x v="3"/>
    <x v="2"/>
  </r>
  <r>
    <s v="TX500447"/>
    <x v="4"/>
    <x v="16"/>
    <n v="24.6"/>
    <x v="421"/>
    <x v="19"/>
    <x v="20"/>
    <x v="2"/>
    <x v="4"/>
    <x v="0"/>
    <x v="0"/>
    <x v="13"/>
    <x v="3"/>
    <x v="3"/>
    <x v="2"/>
  </r>
  <r>
    <s v="TX500448"/>
    <x v="6"/>
    <x v="1"/>
    <n v="47.3"/>
    <x v="422"/>
    <x v="19"/>
    <x v="20"/>
    <x v="1"/>
    <x v="1"/>
    <x v="2"/>
    <x v="0"/>
    <x v="13"/>
    <x v="3"/>
    <x v="3"/>
    <x v="1"/>
  </r>
  <r>
    <s v="TX500449"/>
    <x v="6"/>
    <x v="3"/>
    <n v="40.799999999999997"/>
    <x v="423"/>
    <x v="19"/>
    <x v="23"/>
    <x v="2"/>
    <x v="2"/>
    <x v="2"/>
    <x v="0"/>
    <x v="21"/>
    <x v="2"/>
    <x v="3"/>
    <x v="2"/>
  </r>
  <r>
    <s v="TX500450"/>
    <x v="8"/>
    <x v="8"/>
    <n v="49.2"/>
    <x v="424"/>
    <x v="19"/>
    <x v="24"/>
    <x v="2"/>
    <x v="0"/>
    <x v="0"/>
    <x v="0"/>
    <x v="1"/>
    <x v="1"/>
    <x v="3"/>
    <x v="2"/>
  </r>
  <r>
    <s v="TX500451"/>
    <x v="8"/>
    <x v="0"/>
    <n v="28.5"/>
    <x v="425"/>
    <x v="19"/>
    <x v="24"/>
    <x v="0"/>
    <x v="2"/>
    <x v="1"/>
    <x v="0"/>
    <x v="3"/>
    <x v="1"/>
    <x v="3"/>
    <x v="0"/>
  </r>
  <r>
    <s v="TX500452"/>
    <x v="18"/>
    <x v="1"/>
    <n v="36.799999999999997"/>
    <x v="426"/>
    <x v="19"/>
    <x v="19"/>
    <x v="2"/>
    <x v="0"/>
    <x v="2"/>
    <x v="0"/>
    <x v="3"/>
    <x v="4"/>
    <x v="3"/>
    <x v="2"/>
  </r>
  <r>
    <s v="TX500453"/>
    <x v="7"/>
    <x v="2"/>
    <n v="33.5"/>
    <x v="427"/>
    <x v="19"/>
    <x v="20"/>
    <x v="2"/>
    <x v="0"/>
    <x v="1"/>
    <x v="0"/>
    <x v="3"/>
    <x v="3"/>
    <x v="3"/>
    <x v="2"/>
  </r>
  <r>
    <s v="TX500454"/>
    <x v="6"/>
    <x v="13"/>
    <n v="62.5"/>
    <x v="428"/>
    <x v="19"/>
    <x v="24"/>
    <x v="2"/>
    <x v="0"/>
    <x v="0"/>
    <x v="0"/>
    <x v="3"/>
    <x v="1"/>
    <x v="3"/>
    <x v="2"/>
  </r>
  <r>
    <s v="TX500455"/>
    <x v="8"/>
    <x v="29"/>
    <n v="47.9"/>
    <x v="429"/>
    <x v="19"/>
    <x v="20"/>
    <x v="2"/>
    <x v="3"/>
    <x v="0"/>
    <x v="0"/>
    <x v="3"/>
    <x v="3"/>
    <x v="3"/>
    <x v="2"/>
  </r>
  <r>
    <s v="TX500456"/>
    <x v="6"/>
    <x v="13"/>
    <n v="92.9"/>
    <x v="430"/>
    <x v="19"/>
    <x v="27"/>
    <x v="2"/>
    <x v="0"/>
    <x v="4"/>
    <x v="0"/>
    <x v="3"/>
    <x v="11"/>
    <x v="3"/>
    <x v="2"/>
  </r>
  <r>
    <s v="TX500457"/>
    <x v="12"/>
    <x v="2"/>
    <n v="44.1"/>
    <x v="431"/>
    <x v="19"/>
    <x v="21"/>
    <x v="2"/>
    <x v="1"/>
    <x v="1"/>
    <x v="0"/>
    <x v="43"/>
    <x v="7"/>
    <x v="3"/>
    <x v="2"/>
  </r>
  <r>
    <s v="TX500458"/>
    <x v="0"/>
    <x v="0"/>
    <n v="11.4"/>
    <x v="432"/>
    <x v="20"/>
    <x v="23"/>
    <x v="2"/>
    <x v="2"/>
    <x v="0"/>
    <x v="0"/>
    <x v="5"/>
    <x v="1"/>
    <x v="3"/>
    <x v="2"/>
  </r>
  <r>
    <s v="TX500459"/>
    <x v="6"/>
    <x v="0"/>
    <n v="83.7"/>
    <x v="433"/>
    <x v="20"/>
    <x v="23"/>
    <x v="2"/>
    <x v="0"/>
    <x v="2"/>
    <x v="0"/>
    <x v="6"/>
    <x v="1"/>
    <x v="3"/>
    <x v="2"/>
  </r>
  <r>
    <s v="TX500460"/>
    <x v="10"/>
    <x v="1"/>
    <n v="23.2"/>
    <x v="434"/>
    <x v="20"/>
    <x v="24"/>
    <x v="1"/>
    <x v="2"/>
    <x v="0"/>
    <x v="0"/>
    <x v="8"/>
    <x v="3"/>
    <x v="3"/>
    <x v="1"/>
  </r>
  <r>
    <s v="TX500461"/>
    <x v="2"/>
    <x v="0"/>
    <n v="162.1"/>
    <x v="435"/>
    <x v="20"/>
    <x v="25"/>
    <x v="2"/>
    <x v="0"/>
    <x v="2"/>
    <x v="0"/>
    <x v="9"/>
    <x v="2"/>
    <x v="3"/>
    <x v="2"/>
  </r>
  <r>
    <s v="TX500462"/>
    <x v="6"/>
    <x v="12"/>
    <n v="49.2"/>
    <x v="436"/>
    <x v="20"/>
    <x v="17"/>
    <x v="1"/>
    <x v="1"/>
    <x v="0"/>
    <x v="0"/>
    <x v="9"/>
    <x v="5"/>
    <x v="3"/>
    <x v="1"/>
  </r>
  <r>
    <s v="TX500463"/>
    <x v="1"/>
    <x v="1"/>
    <n v="61"/>
    <x v="164"/>
    <x v="20"/>
    <x v="24"/>
    <x v="1"/>
    <x v="3"/>
    <x v="0"/>
    <x v="0"/>
    <x v="10"/>
    <x v="3"/>
    <x v="3"/>
    <x v="1"/>
  </r>
  <r>
    <s v="TX500464"/>
    <x v="2"/>
    <x v="7"/>
    <n v="53.1"/>
    <x v="437"/>
    <x v="20"/>
    <x v="23"/>
    <x v="1"/>
    <x v="0"/>
    <x v="0"/>
    <x v="0"/>
    <x v="11"/>
    <x v="1"/>
    <x v="3"/>
    <x v="1"/>
  </r>
  <r>
    <s v="TX500465"/>
    <x v="4"/>
    <x v="1"/>
    <n v="22.4"/>
    <x v="438"/>
    <x v="20"/>
    <x v="23"/>
    <x v="0"/>
    <x v="1"/>
    <x v="2"/>
    <x v="0"/>
    <x v="13"/>
    <x v="1"/>
    <x v="3"/>
    <x v="0"/>
  </r>
  <r>
    <s v="TX500466"/>
    <x v="1"/>
    <x v="9"/>
    <n v="75.3"/>
    <x v="439"/>
    <x v="20"/>
    <x v="24"/>
    <x v="1"/>
    <x v="0"/>
    <x v="0"/>
    <x v="0"/>
    <x v="21"/>
    <x v="3"/>
    <x v="3"/>
    <x v="1"/>
  </r>
  <r>
    <s v="TX500467"/>
    <x v="6"/>
    <x v="0"/>
    <n v="48.5"/>
    <x v="319"/>
    <x v="20"/>
    <x v="24"/>
    <x v="2"/>
    <x v="0"/>
    <x v="1"/>
    <x v="0"/>
    <x v="21"/>
    <x v="3"/>
    <x v="3"/>
    <x v="2"/>
  </r>
  <r>
    <s v="TX500468"/>
    <x v="6"/>
    <x v="0"/>
    <n v="42.6"/>
    <x v="440"/>
    <x v="20"/>
    <x v="17"/>
    <x v="2"/>
    <x v="3"/>
    <x v="0"/>
    <x v="0"/>
    <x v="1"/>
    <x v="5"/>
    <x v="3"/>
    <x v="2"/>
  </r>
  <r>
    <s v="TX500469"/>
    <x v="5"/>
    <x v="9"/>
    <n v="49"/>
    <x v="441"/>
    <x v="20"/>
    <x v="24"/>
    <x v="1"/>
    <x v="0"/>
    <x v="0"/>
    <x v="0"/>
    <x v="22"/>
    <x v="3"/>
    <x v="3"/>
    <x v="1"/>
  </r>
  <r>
    <s v="TX500470"/>
    <x v="8"/>
    <x v="2"/>
    <n v="31.3"/>
    <x v="442"/>
    <x v="20"/>
    <x v="24"/>
    <x v="1"/>
    <x v="2"/>
    <x v="1"/>
    <x v="0"/>
    <x v="3"/>
    <x v="3"/>
    <x v="3"/>
    <x v="1"/>
  </r>
  <r>
    <s v="TX500471"/>
    <x v="2"/>
    <x v="1"/>
    <n v="85.4"/>
    <x v="443"/>
    <x v="20"/>
    <x v="24"/>
    <x v="2"/>
    <x v="2"/>
    <x v="0"/>
    <x v="0"/>
    <x v="3"/>
    <x v="3"/>
    <x v="3"/>
    <x v="2"/>
  </r>
  <r>
    <s v="TX500472"/>
    <x v="8"/>
    <x v="12"/>
    <n v="40"/>
    <x v="444"/>
    <x v="20"/>
    <x v="24"/>
    <x v="3"/>
    <x v="0"/>
    <x v="2"/>
    <x v="0"/>
    <x v="3"/>
    <x v="3"/>
    <x v="3"/>
    <x v="3"/>
  </r>
  <r>
    <s v="TX500473"/>
    <x v="5"/>
    <x v="1"/>
    <n v="38.5"/>
    <x v="445"/>
    <x v="20"/>
    <x v="25"/>
    <x v="1"/>
    <x v="1"/>
    <x v="2"/>
    <x v="0"/>
    <x v="3"/>
    <x v="2"/>
    <x v="3"/>
    <x v="1"/>
  </r>
  <r>
    <s v="TX500474"/>
    <x v="2"/>
    <x v="1"/>
    <n v="57.8"/>
    <x v="446"/>
    <x v="20"/>
    <x v="24"/>
    <x v="0"/>
    <x v="0"/>
    <x v="0"/>
    <x v="0"/>
    <x v="3"/>
    <x v="3"/>
    <x v="3"/>
    <x v="0"/>
  </r>
  <r>
    <s v="TX500475"/>
    <x v="8"/>
    <x v="0"/>
    <n v="19.2"/>
    <x v="447"/>
    <x v="20"/>
    <x v="24"/>
    <x v="2"/>
    <x v="0"/>
    <x v="4"/>
    <x v="0"/>
    <x v="3"/>
    <x v="3"/>
    <x v="3"/>
    <x v="2"/>
  </r>
  <r>
    <s v="TX500476"/>
    <x v="6"/>
    <x v="13"/>
    <n v="114.8"/>
    <x v="448"/>
    <x v="20"/>
    <x v="25"/>
    <x v="1"/>
    <x v="1"/>
    <x v="1"/>
    <x v="0"/>
    <x v="3"/>
    <x v="2"/>
    <x v="3"/>
    <x v="1"/>
  </r>
  <r>
    <s v="TX500477"/>
    <x v="10"/>
    <x v="3"/>
    <n v="48.4"/>
    <x v="449"/>
    <x v="20"/>
    <x v="25"/>
    <x v="2"/>
    <x v="3"/>
    <x v="1"/>
    <x v="0"/>
    <x v="3"/>
    <x v="2"/>
    <x v="3"/>
    <x v="2"/>
  </r>
  <r>
    <s v="TX500478"/>
    <x v="9"/>
    <x v="9"/>
    <n v="73.2"/>
    <x v="450"/>
    <x v="20"/>
    <x v="24"/>
    <x v="2"/>
    <x v="1"/>
    <x v="4"/>
    <x v="0"/>
    <x v="3"/>
    <x v="3"/>
    <x v="3"/>
    <x v="2"/>
  </r>
  <r>
    <s v="TX500479"/>
    <x v="15"/>
    <x v="1"/>
    <n v="48.6"/>
    <x v="451"/>
    <x v="20"/>
    <x v="17"/>
    <x v="2"/>
    <x v="3"/>
    <x v="0"/>
    <x v="0"/>
    <x v="3"/>
    <x v="5"/>
    <x v="3"/>
    <x v="2"/>
  </r>
  <r>
    <s v="TX500480"/>
    <x v="0"/>
    <x v="13"/>
    <n v="48.7"/>
    <x v="452"/>
    <x v="20"/>
    <x v="24"/>
    <x v="1"/>
    <x v="0"/>
    <x v="0"/>
    <x v="0"/>
    <x v="3"/>
    <x v="3"/>
    <x v="3"/>
    <x v="1"/>
  </r>
  <r>
    <s v="TX500481"/>
    <x v="4"/>
    <x v="1"/>
    <n v="32.200000000000003"/>
    <x v="453"/>
    <x v="20"/>
    <x v="25"/>
    <x v="1"/>
    <x v="2"/>
    <x v="2"/>
    <x v="0"/>
    <x v="3"/>
    <x v="2"/>
    <x v="3"/>
    <x v="1"/>
  </r>
  <r>
    <s v="TX500482"/>
    <x v="15"/>
    <x v="8"/>
    <n v="25.8"/>
    <x v="454"/>
    <x v="20"/>
    <x v="24"/>
    <x v="1"/>
    <x v="0"/>
    <x v="0"/>
    <x v="0"/>
    <x v="37"/>
    <x v="3"/>
    <x v="3"/>
    <x v="1"/>
  </r>
  <r>
    <s v="TX500483"/>
    <x v="6"/>
    <x v="1"/>
    <n v="94.8"/>
    <x v="455"/>
    <x v="21"/>
    <x v="17"/>
    <x v="2"/>
    <x v="1"/>
    <x v="1"/>
    <x v="0"/>
    <x v="25"/>
    <x v="2"/>
    <x v="3"/>
    <x v="2"/>
  </r>
  <r>
    <s v="TX500484"/>
    <x v="15"/>
    <x v="30"/>
    <n v="56.8"/>
    <x v="456"/>
    <x v="21"/>
    <x v="17"/>
    <x v="1"/>
    <x v="0"/>
    <x v="0"/>
    <x v="0"/>
    <x v="25"/>
    <x v="2"/>
    <x v="3"/>
    <x v="1"/>
  </r>
  <r>
    <s v="TX500485"/>
    <x v="8"/>
    <x v="27"/>
    <n v="18.3"/>
    <x v="457"/>
    <x v="21"/>
    <x v="28"/>
    <x v="2"/>
    <x v="2"/>
    <x v="2"/>
    <x v="0"/>
    <x v="23"/>
    <x v="6"/>
    <x v="3"/>
    <x v="2"/>
  </r>
  <r>
    <s v="TX500486"/>
    <x v="0"/>
    <x v="2"/>
    <n v="16.8"/>
    <x v="458"/>
    <x v="21"/>
    <x v="22"/>
    <x v="2"/>
    <x v="2"/>
    <x v="2"/>
    <x v="0"/>
    <x v="8"/>
    <x v="0"/>
    <x v="3"/>
    <x v="2"/>
  </r>
  <r>
    <s v="TX500487"/>
    <x v="5"/>
    <x v="5"/>
    <n v="35.799999999999997"/>
    <x v="459"/>
    <x v="21"/>
    <x v="23"/>
    <x v="1"/>
    <x v="1"/>
    <x v="0"/>
    <x v="0"/>
    <x v="17"/>
    <x v="3"/>
    <x v="3"/>
    <x v="1"/>
  </r>
  <r>
    <s v="TX500488"/>
    <x v="18"/>
    <x v="0"/>
    <n v="64.900000000000006"/>
    <x v="460"/>
    <x v="21"/>
    <x v="23"/>
    <x v="1"/>
    <x v="0"/>
    <x v="1"/>
    <x v="0"/>
    <x v="17"/>
    <x v="3"/>
    <x v="3"/>
    <x v="1"/>
  </r>
  <r>
    <s v="TX500489"/>
    <x v="18"/>
    <x v="0"/>
    <n v="28.5"/>
    <x v="425"/>
    <x v="21"/>
    <x v="25"/>
    <x v="0"/>
    <x v="1"/>
    <x v="0"/>
    <x v="0"/>
    <x v="9"/>
    <x v="1"/>
    <x v="3"/>
    <x v="0"/>
  </r>
  <r>
    <s v="TX500490"/>
    <x v="18"/>
    <x v="1"/>
    <n v="103.5"/>
    <x v="461"/>
    <x v="21"/>
    <x v="25"/>
    <x v="2"/>
    <x v="1"/>
    <x v="0"/>
    <x v="0"/>
    <x v="10"/>
    <x v="1"/>
    <x v="3"/>
    <x v="2"/>
  </r>
  <r>
    <s v="TX500491"/>
    <x v="4"/>
    <x v="1"/>
    <n v="41.2"/>
    <x v="462"/>
    <x v="21"/>
    <x v="23"/>
    <x v="2"/>
    <x v="1"/>
    <x v="0"/>
    <x v="0"/>
    <x v="10"/>
    <x v="3"/>
    <x v="3"/>
    <x v="2"/>
  </r>
  <r>
    <s v="TX500492"/>
    <x v="9"/>
    <x v="0"/>
    <n v="37.799999999999997"/>
    <x v="463"/>
    <x v="21"/>
    <x v="25"/>
    <x v="2"/>
    <x v="3"/>
    <x v="3"/>
    <x v="0"/>
    <x v="11"/>
    <x v="1"/>
    <x v="3"/>
    <x v="2"/>
  </r>
  <r>
    <s v="TX500493"/>
    <x v="8"/>
    <x v="1"/>
    <n v="42.6"/>
    <x v="464"/>
    <x v="21"/>
    <x v="25"/>
    <x v="2"/>
    <x v="4"/>
    <x v="0"/>
    <x v="0"/>
    <x v="11"/>
    <x v="1"/>
    <x v="3"/>
    <x v="2"/>
  </r>
  <r>
    <s v="TX500494"/>
    <x v="8"/>
    <x v="7"/>
    <n v="15.2"/>
    <x v="465"/>
    <x v="21"/>
    <x v="25"/>
    <x v="2"/>
    <x v="2"/>
    <x v="0"/>
    <x v="0"/>
    <x v="11"/>
    <x v="1"/>
    <x v="3"/>
    <x v="2"/>
  </r>
  <r>
    <s v="TX500495"/>
    <x v="7"/>
    <x v="12"/>
    <n v="83.4"/>
    <x v="335"/>
    <x v="21"/>
    <x v="23"/>
    <x v="2"/>
    <x v="2"/>
    <x v="1"/>
    <x v="0"/>
    <x v="18"/>
    <x v="3"/>
    <x v="3"/>
    <x v="2"/>
  </r>
  <r>
    <s v="TX500496"/>
    <x v="19"/>
    <x v="1"/>
    <n v="27.7"/>
    <x v="466"/>
    <x v="21"/>
    <x v="23"/>
    <x v="2"/>
    <x v="0"/>
    <x v="1"/>
    <x v="0"/>
    <x v="13"/>
    <x v="3"/>
    <x v="3"/>
    <x v="2"/>
  </r>
  <r>
    <s v="TX500497"/>
    <x v="10"/>
    <x v="4"/>
    <n v="20.8"/>
    <x v="467"/>
    <x v="21"/>
    <x v="23"/>
    <x v="1"/>
    <x v="3"/>
    <x v="0"/>
    <x v="0"/>
    <x v="13"/>
    <x v="3"/>
    <x v="3"/>
    <x v="1"/>
  </r>
  <r>
    <s v="TX500498"/>
    <x v="11"/>
    <x v="1"/>
    <n v="72.7"/>
    <x v="468"/>
    <x v="21"/>
    <x v="19"/>
    <x v="2"/>
    <x v="4"/>
    <x v="2"/>
    <x v="0"/>
    <x v="44"/>
    <x v="5"/>
    <x v="3"/>
    <x v="2"/>
  </r>
  <r>
    <s v="TX500499"/>
    <x v="10"/>
    <x v="12"/>
    <n v="38.6"/>
    <x v="55"/>
    <x v="21"/>
    <x v="23"/>
    <x v="1"/>
    <x v="0"/>
    <x v="2"/>
    <x v="0"/>
    <x v="22"/>
    <x v="3"/>
    <x v="3"/>
    <x v="1"/>
  </r>
  <r>
    <s v="TX500500"/>
    <x v="8"/>
    <x v="3"/>
    <n v="33.1"/>
    <x v="217"/>
    <x v="21"/>
    <x v="23"/>
    <x v="3"/>
    <x v="4"/>
    <x v="3"/>
    <x v="0"/>
    <x v="3"/>
    <x v="3"/>
    <x v="3"/>
    <x v="3"/>
  </r>
  <r>
    <s v="TX500501"/>
    <x v="10"/>
    <x v="1"/>
    <n v="30.5"/>
    <x v="170"/>
    <x v="21"/>
    <x v="24"/>
    <x v="0"/>
    <x v="1"/>
    <x v="1"/>
    <x v="0"/>
    <x v="3"/>
    <x v="7"/>
    <x v="3"/>
    <x v="0"/>
  </r>
  <r>
    <s v="TX500502"/>
    <x v="9"/>
    <x v="1"/>
    <n v="69.599999999999994"/>
    <x v="388"/>
    <x v="21"/>
    <x v="23"/>
    <x v="1"/>
    <x v="0"/>
    <x v="1"/>
    <x v="0"/>
    <x v="3"/>
    <x v="3"/>
    <x v="3"/>
    <x v="1"/>
  </r>
  <r>
    <s v="TX500503"/>
    <x v="11"/>
    <x v="0"/>
    <n v="42.4"/>
    <x v="469"/>
    <x v="21"/>
    <x v="19"/>
    <x v="2"/>
    <x v="1"/>
    <x v="0"/>
    <x v="0"/>
    <x v="3"/>
    <x v="5"/>
    <x v="3"/>
    <x v="2"/>
  </r>
  <r>
    <s v="TX500504"/>
    <x v="17"/>
    <x v="0"/>
    <n v="32.200000000000003"/>
    <x v="390"/>
    <x v="21"/>
    <x v="17"/>
    <x v="2"/>
    <x v="2"/>
    <x v="1"/>
    <x v="0"/>
    <x v="3"/>
    <x v="2"/>
    <x v="3"/>
    <x v="2"/>
  </r>
  <r>
    <s v="TX500505"/>
    <x v="6"/>
    <x v="1"/>
    <n v="41.5"/>
    <x v="470"/>
    <x v="21"/>
    <x v="17"/>
    <x v="2"/>
    <x v="0"/>
    <x v="2"/>
    <x v="0"/>
    <x v="3"/>
    <x v="2"/>
    <x v="3"/>
    <x v="2"/>
  </r>
  <r>
    <s v="TX500506"/>
    <x v="16"/>
    <x v="11"/>
    <n v="58.9"/>
    <x v="471"/>
    <x v="21"/>
    <x v="19"/>
    <x v="2"/>
    <x v="3"/>
    <x v="0"/>
    <x v="0"/>
    <x v="3"/>
    <x v="5"/>
    <x v="3"/>
    <x v="2"/>
  </r>
  <r>
    <s v="TX500507"/>
    <x v="2"/>
    <x v="0"/>
    <n v="57.1"/>
    <x v="472"/>
    <x v="21"/>
    <x v="17"/>
    <x v="2"/>
    <x v="1"/>
    <x v="0"/>
    <x v="0"/>
    <x v="3"/>
    <x v="2"/>
    <x v="3"/>
    <x v="2"/>
  </r>
  <r>
    <s v="TX500508"/>
    <x v="6"/>
    <x v="0"/>
    <n v="57.2"/>
    <x v="473"/>
    <x v="21"/>
    <x v="25"/>
    <x v="1"/>
    <x v="1"/>
    <x v="0"/>
    <x v="0"/>
    <x v="3"/>
    <x v="1"/>
    <x v="3"/>
    <x v="1"/>
  </r>
  <r>
    <s v="TX500509"/>
    <x v="8"/>
    <x v="1"/>
    <n v="35.1"/>
    <x v="474"/>
    <x v="21"/>
    <x v="23"/>
    <x v="1"/>
    <x v="1"/>
    <x v="0"/>
    <x v="0"/>
    <x v="6"/>
    <x v="3"/>
    <x v="3"/>
    <x v="1"/>
  </r>
  <r>
    <s v="TX500510"/>
    <x v="1"/>
    <x v="0"/>
    <n v="52.1"/>
    <x v="475"/>
    <x v="21"/>
    <x v="25"/>
    <x v="2"/>
    <x v="4"/>
    <x v="1"/>
    <x v="0"/>
    <x v="8"/>
    <x v="1"/>
    <x v="3"/>
    <x v="2"/>
  </r>
  <r>
    <s v="TX500511"/>
    <x v="13"/>
    <x v="2"/>
    <n v="59.8"/>
    <x v="476"/>
    <x v="21"/>
    <x v="25"/>
    <x v="2"/>
    <x v="4"/>
    <x v="1"/>
    <x v="0"/>
    <x v="8"/>
    <x v="1"/>
    <x v="3"/>
    <x v="2"/>
  </r>
  <r>
    <s v="TX500512"/>
    <x v="3"/>
    <x v="12"/>
    <n v="83.3"/>
    <x v="477"/>
    <x v="21"/>
    <x v="24"/>
    <x v="0"/>
    <x v="2"/>
    <x v="0"/>
    <x v="0"/>
    <x v="8"/>
    <x v="7"/>
    <x v="3"/>
    <x v="0"/>
  </r>
  <r>
    <s v="TX500513"/>
    <x v="15"/>
    <x v="4"/>
    <n v="41.3"/>
    <x v="478"/>
    <x v="21"/>
    <x v="23"/>
    <x v="2"/>
    <x v="1"/>
    <x v="0"/>
    <x v="0"/>
    <x v="8"/>
    <x v="3"/>
    <x v="3"/>
    <x v="2"/>
  </r>
  <r>
    <s v="TX500514"/>
    <x v="8"/>
    <x v="9"/>
    <n v="16"/>
    <x v="479"/>
    <x v="21"/>
    <x v="25"/>
    <x v="1"/>
    <x v="4"/>
    <x v="1"/>
    <x v="0"/>
    <x v="9"/>
    <x v="1"/>
    <x v="3"/>
    <x v="1"/>
  </r>
  <r>
    <s v="TX500515"/>
    <x v="10"/>
    <x v="1"/>
    <n v="20.8"/>
    <x v="480"/>
    <x v="22"/>
    <x v="17"/>
    <x v="1"/>
    <x v="0"/>
    <x v="2"/>
    <x v="0"/>
    <x v="11"/>
    <x v="1"/>
    <x v="3"/>
    <x v="1"/>
  </r>
  <r>
    <s v="TX500516"/>
    <x v="8"/>
    <x v="31"/>
    <n v="27.1"/>
    <x v="481"/>
    <x v="22"/>
    <x v="25"/>
    <x v="0"/>
    <x v="3"/>
    <x v="2"/>
    <x v="0"/>
    <x v="11"/>
    <x v="3"/>
    <x v="3"/>
    <x v="0"/>
  </r>
  <r>
    <s v="TX500517"/>
    <x v="10"/>
    <x v="1"/>
    <n v="38.9"/>
    <x v="482"/>
    <x v="22"/>
    <x v="17"/>
    <x v="2"/>
    <x v="0"/>
    <x v="0"/>
    <x v="0"/>
    <x v="18"/>
    <x v="1"/>
    <x v="3"/>
    <x v="2"/>
  </r>
  <r>
    <s v="TX500518"/>
    <x v="0"/>
    <x v="1"/>
    <n v="10.8"/>
    <x v="483"/>
    <x v="22"/>
    <x v="19"/>
    <x v="2"/>
    <x v="1"/>
    <x v="2"/>
    <x v="0"/>
    <x v="45"/>
    <x v="2"/>
    <x v="3"/>
    <x v="2"/>
  </r>
  <r>
    <s v="TX500519"/>
    <x v="4"/>
    <x v="15"/>
    <n v="48.4"/>
    <x v="484"/>
    <x v="22"/>
    <x v="22"/>
    <x v="2"/>
    <x v="0"/>
    <x v="0"/>
    <x v="0"/>
    <x v="21"/>
    <x v="5"/>
    <x v="3"/>
    <x v="2"/>
  </r>
  <r>
    <s v="TX500520"/>
    <x v="4"/>
    <x v="2"/>
    <n v="29.2"/>
    <x v="485"/>
    <x v="22"/>
    <x v="19"/>
    <x v="2"/>
    <x v="1"/>
    <x v="1"/>
    <x v="0"/>
    <x v="2"/>
    <x v="2"/>
    <x v="3"/>
    <x v="2"/>
  </r>
  <r>
    <s v="TX500521"/>
    <x v="4"/>
    <x v="1"/>
    <n v="25.1"/>
    <x v="486"/>
    <x v="22"/>
    <x v="25"/>
    <x v="1"/>
    <x v="0"/>
    <x v="1"/>
    <x v="0"/>
    <x v="2"/>
    <x v="3"/>
    <x v="3"/>
    <x v="1"/>
  </r>
  <r>
    <s v="TX500522"/>
    <x v="7"/>
    <x v="2"/>
    <n v="65.599999999999994"/>
    <x v="487"/>
    <x v="22"/>
    <x v="23"/>
    <x v="2"/>
    <x v="2"/>
    <x v="1"/>
    <x v="0"/>
    <x v="3"/>
    <x v="7"/>
    <x v="3"/>
    <x v="2"/>
  </r>
  <r>
    <s v="TX500523"/>
    <x v="2"/>
    <x v="1"/>
    <n v="57.3"/>
    <x v="488"/>
    <x v="22"/>
    <x v="23"/>
    <x v="0"/>
    <x v="0"/>
    <x v="0"/>
    <x v="0"/>
    <x v="3"/>
    <x v="7"/>
    <x v="3"/>
    <x v="0"/>
  </r>
  <r>
    <s v="TX500524"/>
    <x v="9"/>
    <x v="12"/>
    <n v="22.4"/>
    <x v="70"/>
    <x v="22"/>
    <x v="25"/>
    <x v="2"/>
    <x v="2"/>
    <x v="2"/>
    <x v="0"/>
    <x v="3"/>
    <x v="3"/>
    <x v="3"/>
    <x v="2"/>
  </r>
  <r>
    <s v="TX500525"/>
    <x v="12"/>
    <x v="11"/>
    <n v="45.7"/>
    <x v="489"/>
    <x v="22"/>
    <x v="25"/>
    <x v="2"/>
    <x v="0"/>
    <x v="0"/>
    <x v="0"/>
    <x v="3"/>
    <x v="3"/>
    <x v="3"/>
    <x v="2"/>
  </r>
  <r>
    <s v="TX500526"/>
    <x v="8"/>
    <x v="1"/>
    <n v="29.3"/>
    <x v="150"/>
    <x v="22"/>
    <x v="25"/>
    <x v="1"/>
    <x v="1"/>
    <x v="0"/>
    <x v="0"/>
    <x v="3"/>
    <x v="3"/>
    <x v="3"/>
    <x v="1"/>
  </r>
  <r>
    <s v="TX500527"/>
    <x v="18"/>
    <x v="32"/>
    <n v="74"/>
    <x v="490"/>
    <x v="22"/>
    <x v="25"/>
    <x v="1"/>
    <x v="0"/>
    <x v="2"/>
    <x v="0"/>
    <x v="3"/>
    <x v="3"/>
    <x v="3"/>
    <x v="1"/>
  </r>
  <r>
    <s v="TX500528"/>
    <x v="14"/>
    <x v="1"/>
    <n v="39.200000000000003"/>
    <x v="491"/>
    <x v="22"/>
    <x v="17"/>
    <x v="2"/>
    <x v="1"/>
    <x v="0"/>
    <x v="0"/>
    <x v="3"/>
    <x v="1"/>
    <x v="3"/>
    <x v="2"/>
  </r>
  <r>
    <s v="TX500529"/>
    <x v="4"/>
    <x v="14"/>
    <n v="62.7"/>
    <x v="492"/>
    <x v="22"/>
    <x v="25"/>
    <x v="2"/>
    <x v="2"/>
    <x v="1"/>
    <x v="0"/>
    <x v="3"/>
    <x v="3"/>
    <x v="3"/>
    <x v="2"/>
  </r>
  <r>
    <s v="TX500530"/>
    <x v="10"/>
    <x v="1"/>
    <n v="60.1"/>
    <x v="493"/>
    <x v="22"/>
    <x v="25"/>
    <x v="2"/>
    <x v="3"/>
    <x v="0"/>
    <x v="0"/>
    <x v="3"/>
    <x v="3"/>
    <x v="3"/>
    <x v="2"/>
  </r>
  <r>
    <s v="TX500531"/>
    <x v="0"/>
    <x v="12"/>
    <n v="11.2"/>
    <x v="438"/>
    <x v="22"/>
    <x v="25"/>
    <x v="2"/>
    <x v="3"/>
    <x v="1"/>
    <x v="0"/>
    <x v="3"/>
    <x v="3"/>
    <x v="3"/>
    <x v="2"/>
  </r>
  <r>
    <s v="TX500532"/>
    <x v="8"/>
    <x v="1"/>
    <n v="22.9"/>
    <x v="494"/>
    <x v="22"/>
    <x v="25"/>
    <x v="2"/>
    <x v="0"/>
    <x v="0"/>
    <x v="0"/>
    <x v="6"/>
    <x v="3"/>
    <x v="3"/>
    <x v="2"/>
  </r>
  <r>
    <s v="TX500533"/>
    <x v="1"/>
    <x v="1"/>
    <n v="37.6"/>
    <x v="495"/>
    <x v="22"/>
    <x v="19"/>
    <x v="2"/>
    <x v="0"/>
    <x v="0"/>
    <x v="0"/>
    <x v="6"/>
    <x v="2"/>
    <x v="3"/>
    <x v="2"/>
  </r>
  <r>
    <s v="TX500534"/>
    <x v="6"/>
    <x v="0"/>
    <n v="42.4"/>
    <x v="469"/>
    <x v="22"/>
    <x v="25"/>
    <x v="2"/>
    <x v="3"/>
    <x v="2"/>
    <x v="0"/>
    <x v="6"/>
    <x v="3"/>
    <x v="3"/>
    <x v="2"/>
  </r>
  <r>
    <s v="TX500535"/>
    <x v="8"/>
    <x v="1"/>
    <n v="19.600000000000001"/>
    <x v="496"/>
    <x v="22"/>
    <x v="22"/>
    <x v="2"/>
    <x v="2"/>
    <x v="0"/>
    <x v="0"/>
    <x v="7"/>
    <x v="5"/>
    <x v="3"/>
    <x v="2"/>
  </r>
  <r>
    <s v="TX500536"/>
    <x v="9"/>
    <x v="0"/>
    <n v="90.5"/>
    <x v="497"/>
    <x v="22"/>
    <x v="19"/>
    <x v="2"/>
    <x v="2"/>
    <x v="0"/>
    <x v="0"/>
    <x v="7"/>
    <x v="2"/>
    <x v="3"/>
    <x v="2"/>
  </r>
  <r>
    <s v="TX500537"/>
    <x v="16"/>
    <x v="5"/>
    <n v="33.9"/>
    <x v="498"/>
    <x v="22"/>
    <x v="25"/>
    <x v="1"/>
    <x v="2"/>
    <x v="1"/>
    <x v="0"/>
    <x v="7"/>
    <x v="3"/>
    <x v="3"/>
    <x v="1"/>
  </r>
  <r>
    <s v="TX500538"/>
    <x v="0"/>
    <x v="1"/>
    <n v="32.799999999999997"/>
    <x v="499"/>
    <x v="22"/>
    <x v="17"/>
    <x v="2"/>
    <x v="4"/>
    <x v="4"/>
    <x v="0"/>
    <x v="8"/>
    <x v="1"/>
    <x v="3"/>
    <x v="2"/>
  </r>
  <r>
    <s v="TX500539"/>
    <x v="15"/>
    <x v="0"/>
    <n v="49.9"/>
    <x v="500"/>
    <x v="22"/>
    <x v="25"/>
    <x v="1"/>
    <x v="3"/>
    <x v="1"/>
    <x v="0"/>
    <x v="8"/>
    <x v="3"/>
    <x v="3"/>
    <x v="1"/>
  </r>
  <r>
    <s v="TX500540"/>
    <x v="7"/>
    <x v="9"/>
    <n v="79.2"/>
    <x v="501"/>
    <x v="22"/>
    <x v="25"/>
    <x v="2"/>
    <x v="4"/>
    <x v="0"/>
    <x v="0"/>
    <x v="8"/>
    <x v="3"/>
    <x v="3"/>
    <x v="2"/>
  </r>
  <r>
    <s v="TX500541"/>
    <x v="8"/>
    <x v="27"/>
    <n v="19.5"/>
    <x v="502"/>
    <x v="22"/>
    <x v="17"/>
    <x v="1"/>
    <x v="3"/>
    <x v="2"/>
    <x v="0"/>
    <x v="8"/>
    <x v="1"/>
    <x v="3"/>
    <x v="1"/>
  </r>
  <r>
    <s v="TX500542"/>
    <x v="8"/>
    <x v="12"/>
    <n v="18"/>
    <x v="503"/>
    <x v="22"/>
    <x v="25"/>
    <x v="1"/>
    <x v="1"/>
    <x v="0"/>
    <x v="0"/>
    <x v="10"/>
    <x v="3"/>
    <x v="3"/>
    <x v="1"/>
  </r>
  <r>
    <s v="TX500543"/>
    <x v="9"/>
    <x v="2"/>
    <n v="45.9"/>
    <x v="223"/>
    <x v="22"/>
    <x v="17"/>
    <x v="2"/>
    <x v="1"/>
    <x v="1"/>
    <x v="0"/>
    <x v="10"/>
    <x v="1"/>
    <x v="3"/>
    <x v="2"/>
  </r>
  <r>
    <s v="TX500544"/>
    <x v="11"/>
    <x v="0"/>
    <n v="41.2"/>
    <x v="504"/>
    <x v="22"/>
    <x v="17"/>
    <x v="2"/>
    <x v="1"/>
    <x v="2"/>
    <x v="0"/>
    <x v="11"/>
    <x v="1"/>
    <x v="3"/>
    <x v="2"/>
  </r>
  <r>
    <s v="TX500545"/>
    <x v="2"/>
    <x v="7"/>
    <n v="167.2"/>
    <x v="505"/>
    <x v="22"/>
    <x v="17"/>
    <x v="2"/>
    <x v="2"/>
    <x v="2"/>
    <x v="0"/>
    <x v="32"/>
    <x v="1"/>
    <x v="3"/>
    <x v="2"/>
  </r>
  <r>
    <s v="TX500546"/>
    <x v="6"/>
    <x v="17"/>
    <n v="74.5"/>
    <x v="506"/>
    <x v="23"/>
    <x v="22"/>
    <x v="2"/>
    <x v="1"/>
    <x v="2"/>
    <x v="0"/>
    <x v="38"/>
    <x v="2"/>
    <x v="3"/>
    <x v="2"/>
  </r>
  <r>
    <s v="TX500547"/>
    <x v="7"/>
    <x v="12"/>
    <n v="39.299999999999997"/>
    <x v="507"/>
    <x v="23"/>
    <x v="17"/>
    <x v="0"/>
    <x v="2"/>
    <x v="0"/>
    <x v="0"/>
    <x v="19"/>
    <x v="3"/>
    <x v="3"/>
    <x v="0"/>
  </r>
  <r>
    <s v="TX500548"/>
    <x v="9"/>
    <x v="0"/>
    <n v="68.5"/>
    <x v="508"/>
    <x v="23"/>
    <x v="22"/>
    <x v="1"/>
    <x v="1"/>
    <x v="2"/>
    <x v="0"/>
    <x v="12"/>
    <x v="2"/>
    <x v="3"/>
    <x v="1"/>
  </r>
  <r>
    <s v="TX500549"/>
    <x v="0"/>
    <x v="2"/>
    <n v="22.5"/>
    <x v="509"/>
    <x v="23"/>
    <x v="25"/>
    <x v="2"/>
    <x v="4"/>
    <x v="0"/>
    <x v="0"/>
    <x v="13"/>
    <x v="7"/>
    <x v="3"/>
    <x v="2"/>
  </r>
  <r>
    <s v="TX500550"/>
    <x v="1"/>
    <x v="0"/>
    <n v="48"/>
    <x v="510"/>
    <x v="23"/>
    <x v="17"/>
    <x v="3"/>
    <x v="4"/>
    <x v="1"/>
    <x v="0"/>
    <x v="46"/>
    <x v="3"/>
    <x v="3"/>
    <x v="3"/>
  </r>
  <r>
    <s v="TX500551"/>
    <x v="6"/>
    <x v="0"/>
    <n v="94"/>
    <x v="255"/>
    <x v="23"/>
    <x v="17"/>
    <x v="1"/>
    <x v="3"/>
    <x v="1"/>
    <x v="0"/>
    <x v="1"/>
    <x v="3"/>
    <x v="3"/>
    <x v="1"/>
  </r>
  <r>
    <s v="TX500552"/>
    <x v="8"/>
    <x v="2"/>
    <n v="21.9"/>
    <x v="511"/>
    <x v="23"/>
    <x v="17"/>
    <x v="2"/>
    <x v="0"/>
    <x v="0"/>
    <x v="0"/>
    <x v="44"/>
    <x v="3"/>
    <x v="3"/>
    <x v="2"/>
  </r>
  <r>
    <s v="TX500553"/>
    <x v="6"/>
    <x v="3"/>
    <n v="64.900000000000006"/>
    <x v="512"/>
    <x v="23"/>
    <x v="17"/>
    <x v="2"/>
    <x v="0"/>
    <x v="0"/>
    <x v="0"/>
    <x v="3"/>
    <x v="3"/>
    <x v="3"/>
    <x v="2"/>
  </r>
  <r>
    <s v="TX500554"/>
    <x v="12"/>
    <x v="0"/>
    <n v="52.9"/>
    <x v="513"/>
    <x v="23"/>
    <x v="25"/>
    <x v="2"/>
    <x v="1"/>
    <x v="1"/>
    <x v="0"/>
    <x v="3"/>
    <x v="7"/>
    <x v="3"/>
    <x v="2"/>
  </r>
  <r>
    <s v="TX500555"/>
    <x v="8"/>
    <x v="2"/>
    <n v="25.5"/>
    <x v="514"/>
    <x v="23"/>
    <x v="17"/>
    <x v="2"/>
    <x v="1"/>
    <x v="2"/>
    <x v="0"/>
    <x v="3"/>
    <x v="3"/>
    <x v="3"/>
    <x v="2"/>
  </r>
  <r>
    <s v="TX500556"/>
    <x v="6"/>
    <x v="2"/>
    <n v="51.9"/>
    <x v="515"/>
    <x v="23"/>
    <x v="17"/>
    <x v="2"/>
    <x v="3"/>
    <x v="0"/>
    <x v="0"/>
    <x v="3"/>
    <x v="3"/>
    <x v="3"/>
    <x v="2"/>
  </r>
  <r>
    <s v="TX500557"/>
    <x v="5"/>
    <x v="0"/>
    <n v="46.3"/>
    <x v="516"/>
    <x v="23"/>
    <x v="22"/>
    <x v="2"/>
    <x v="4"/>
    <x v="0"/>
    <x v="0"/>
    <x v="3"/>
    <x v="2"/>
    <x v="3"/>
    <x v="2"/>
  </r>
  <r>
    <s v="TX500558"/>
    <x v="6"/>
    <x v="1"/>
    <n v="68.2"/>
    <x v="517"/>
    <x v="23"/>
    <x v="19"/>
    <x v="2"/>
    <x v="3"/>
    <x v="0"/>
    <x v="0"/>
    <x v="3"/>
    <x v="1"/>
    <x v="3"/>
    <x v="2"/>
  </r>
  <r>
    <s v="TX500559"/>
    <x v="1"/>
    <x v="0"/>
    <n v="40.299999999999997"/>
    <x v="518"/>
    <x v="23"/>
    <x v="17"/>
    <x v="1"/>
    <x v="0"/>
    <x v="1"/>
    <x v="0"/>
    <x v="3"/>
    <x v="3"/>
    <x v="3"/>
    <x v="1"/>
  </r>
  <r>
    <s v="TX500560"/>
    <x v="2"/>
    <x v="2"/>
    <n v="91.3"/>
    <x v="54"/>
    <x v="23"/>
    <x v="28"/>
    <x v="1"/>
    <x v="0"/>
    <x v="2"/>
    <x v="0"/>
    <x v="6"/>
    <x v="0"/>
    <x v="3"/>
    <x v="1"/>
  </r>
  <r>
    <s v="TX500561"/>
    <x v="0"/>
    <x v="2"/>
    <n v="11.9"/>
    <x v="519"/>
    <x v="23"/>
    <x v="17"/>
    <x v="2"/>
    <x v="0"/>
    <x v="1"/>
    <x v="0"/>
    <x v="6"/>
    <x v="3"/>
    <x v="3"/>
    <x v="2"/>
  </r>
  <r>
    <s v="TX500562"/>
    <x v="2"/>
    <x v="1"/>
    <n v="63.5"/>
    <x v="520"/>
    <x v="23"/>
    <x v="19"/>
    <x v="1"/>
    <x v="1"/>
    <x v="0"/>
    <x v="0"/>
    <x v="6"/>
    <x v="1"/>
    <x v="3"/>
    <x v="1"/>
  </r>
  <r>
    <s v="TX500563"/>
    <x v="4"/>
    <x v="1"/>
    <n v="27.1"/>
    <x v="521"/>
    <x v="23"/>
    <x v="22"/>
    <x v="1"/>
    <x v="2"/>
    <x v="2"/>
    <x v="0"/>
    <x v="6"/>
    <x v="2"/>
    <x v="3"/>
    <x v="1"/>
  </r>
  <r>
    <s v="TX500564"/>
    <x v="1"/>
    <x v="1"/>
    <n v="82.1"/>
    <x v="522"/>
    <x v="24"/>
    <x v="29"/>
    <x v="1"/>
    <x v="1"/>
    <x v="1"/>
    <x v="0"/>
    <x v="7"/>
    <x v="2"/>
    <x v="3"/>
    <x v="1"/>
  </r>
  <r>
    <s v="TX500565"/>
    <x v="3"/>
    <x v="9"/>
    <n v="42.9"/>
    <x v="523"/>
    <x v="24"/>
    <x v="22"/>
    <x v="2"/>
    <x v="1"/>
    <x v="0"/>
    <x v="0"/>
    <x v="8"/>
    <x v="1"/>
    <x v="3"/>
    <x v="2"/>
  </r>
  <r>
    <s v="TX500566"/>
    <x v="8"/>
    <x v="5"/>
    <n v="37.9"/>
    <x v="524"/>
    <x v="24"/>
    <x v="30"/>
    <x v="1"/>
    <x v="0"/>
    <x v="0"/>
    <x v="0"/>
    <x v="8"/>
    <x v="6"/>
    <x v="3"/>
    <x v="1"/>
  </r>
  <r>
    <s v="TX500567"/>
    <x v="0"/>
    <x v="0"/>
    <n v="22.4"/>
    <x v="525"/>
    <x v="24"/>
    <x v="19"/>
    <x v="2"/>
    <x v="0"/>
    <x v="1"/>
    <x v="0"/>
    <x v="17"/>
    <x v="3"/>
    <x v="3"/>
    <x v="2"/>
  </r>
  <r>
    <s v="TX500568"/>
    <x v="2"/>
    <x v="15"/>
    <n v="79.900000000000006"/>
    <x v="526"/>
    <x v="24"/>
    <x v="31"/>
    <x v="2"/>
    <x v="3"/>
    <x v="1"/>
    <x v="0"/>
    <x v="11"/>
    <x v="10"/>
    <x v="3"/>
    <x v="2"/>
  </r>
  <r>
    <s v="TX500569"/>
    <x v="1"/>
    <x v="0"/>
    <n v="70.599999999999994"/>
    <x v="527"/>
    <x v="24"/>
    <x v="29"/>
    <x v="2"/>
    <x v="0"/>
    <x v="1"/>
    <x v="0"/>
    <x v="11"/>
    <x v="2"/>
    <x v="3"/>
    <x v="2"/>
  </r>
  <r>
    <s v="TX500570"/>
    <x v="6"/>
    <x v="0"/>
    <n v="49.5"/>
    <x v="528"/>
    <x v="24"/>
    <x v="22"/>
    <x v="1"/>
    <x v="0"/>
    <x v="0"/>
    <x v="0"/>
    <x v="13"/>
    <x v="1"/>
    <x v="3"/>
    <x v="1"/>
  </r>
  <r>
    <s v="TX500571"/>
    <x v="2"/>
    <x v="1"/>
    <n v="96.6"/>
    <x v="529"/>
    <x v="24"/>
    <x v="22"/>
    <x v="1"/>
    <x v="0"/>
    <x v="0"/>
    <x v="0"/>
    <x v="21"/>
    <x v="1"/>
    <x v="3"/>
    <x v="1"/>
  </r>
  <r>
    <s v="TX500572"/>
    <x v="6"/>
    <x v="1"/>
    <n v="52.8"/>
    <x v="142"/>
    <x v="24"/>
    <x v="19"/>
    <x v="2"/>
    <x v="1"/>
    <x v="1"/>
    <x v="0"/>
    <x v="21"/>
    <x v="3"/>
    <x v="3"/>
    <x v="2"/>
  </r>
  <r>
    <s v="TX500573"/>
    <x v="2"/>
    <x v="0"/>
    <n v="101.7"/>
    <x v="530"/>
    <x v="24"/>
    <x v="19"/>
    <x v="1"/>
    <x v="0"/>
    <x v="0"/>
    <x v="0"/>
    <x v="1"/>
    <x v="3"/>
    <x v="3"/>
    <x v="1"/>
  </r>
  <r>
    <s v="TX500574"/>
    <x v="4"/>
    <x v="9"/>
    <n v="26.9"/>
    <x v="531"/>
    <x v="24"/>
    <x v="26"/>
    <x v="2"/>
    <x v="1"/>
    <x v="1"/>
    <x v="0"/>
    <x v="22"/>
    <x v="0"/>
    <x v="3"/>
    <x v="2"/>
  </r>
  <r>
    <s v="TX500575"/>
    <x v="2"/>
    <x v="12"/>
    <n v="211"/>
    <x v="532"/>
    <x v="24"/>
    <x v="17"/>
    <x v="2"/>
    <x v="1"/>
    <x v="1"/>
    <x v="0"/>
    <x v="3"/>
    <x v="7"/>
    <x v="3"/>
    <x v="2"/>
  </r>
  <r>
    <s v="TX500576"/>
    <x v="0"/>
    <x v="12"/>
    <n v="21.1"/>
    <x v="533"/>
    <x v="24"/>
    <x v="29"/>
    <x v="1"/>
    <x v="4"/>
    <x v="0"/>
    <x v="0"/>
    <x v="3"/>
    <x v="2"/>
    <x v="3"/>
    <x v="1"/>
  </r>
  <r>
    <s v="TX500577"/>
    <x v="10"/>
    <x v="0"/>
    <n v="26.6"/>
    <x v="534"/>
    <x v="24"/>
    <x v="22"/>
    <x v="1"/>
    <x v="0"/>
    <x v="4"/>
    <x v="0"/>
    <x v="3"/>
    <x v="1"/>
    <x v="3"/>
    <x v="1"/>
  </r>
  <r>
    <s v="TX500578"/>
    <x v="12"/>
    <x v="12"/>
    <n v="51.2"/>
    <x v="403"/>
    <x v="24"/>
    <x v="19"/>
    <x v="2"/>
    <x v="3"/>
    <x v="0"/>
    <x v="0"/>
    <x v="47"/>
    <x v="3"/>
    <x v="3"/>
    <x v="2"/>
  </r>
  <r>
    <s v="TX500579"/>
    <x v="0"/>
    <x v="9"/>
    <n v="10.6"/>
    <x v="535"/>
    <x v="24"/>
    <x v="28"/>
    <x v="2"/>
    <x v="0"/>
    <x v="0"/>
    <x v="0"/>
    <x v="8"/>
    <x v="5"/>
    <x v="3"/>
    <x v="2"/>
  </r>
  <r>
    <s v="TX500580"/>
    <x v="6"/>
    <x v="2"/>
    <n v="43.4"/>
    <x v="33"/>
    <x v="24"/>
    <x v="29"/>
    <x v="2"/>
    <x v="4"/>
    <x v="0"/>
    <x v="0"/>
    <x v="8"/>
    <x v="2"/>
    <x v="3"/>
    <x v="2"/>
  </r>
  <r>
    <s v="TX500581"/>
    <x v="12"/>
    <x v="0"/>
    <n v="80"/>
    <x v="479"/>
    <x v="24"/>
    <x v="17"/>
    <x v="2"/>
    <x v="0"/>
    <x v="2"/>
    <x v="0"/>
    <x v="8"/>
    <x v="7"/>
    <x v="3"/>
    <x v="2"/>
  </r>
  <r>
    <s v="TX500582"/>
    <x v="10"/>
    <x v="12"/>
    <n v="64.7"/>
    <x v="536"/>
    <x v="24"/>
    <x v="22"/>
    <x v="2"/>
    <x v="1"/>
    <x v="4"/>
    <x v="0"/>
    <x v="8"/>
    <x v="1"/>
    <x v="3"/>
    <x v="2"/>
  </r>
  <r>
    <s v="TX500583"/>
    <x v="8"/>
    <x v="5"/>
    <n v="26.3"/>
    <x v="537"/>
    <x v="25"/>
    <x v="19"/>
    <x v="2"/>
    <x v="4"/>
    <x v="1"/>
    <x v="0"/>
    <x v="26"/>
    <x v="7"/>
    <x v="4"/>
    <x v="2"/>
  </r>
  <r>
    <s v="TX500584"/>
    <x v="10"/>
    <x v="0"/>
    <n v="28.5"/>
    <x v="425"/>
    <x v="25"/>
    <x v="19"/>
    <x v="1"/>
    <x v="0"/>
    <x v="1"/>
    <x v="0"/>
    <x v="9"/>
    <x v="7"/>
    <x v="4"/>
    <x v="1"/>
  </r>
  <r>
    <s v="TX500585"/>
    <x v="17"/>
    <x v="0"/>
    <n v="47.8"/>
    <x v="538"/>
    <x v="25"/>
    <x v="29"/>
    <x v="2"/>
    <x v="0"/>
    <x v="1"/>
    <x v="0"/>
    <x v="9"/>
    <x v="1"/>
    <x v="4"/>
    <x v="2"/>
  </r>
  <r>
    <s v="TX500586"/>
    <x v="10"/>
    <x v="2"/>
    <n v="42.8"/>
    <x v="539"/>
    <x v="25"/>
    <x v="28"/>
    <x v="2"/>
    <x v="4"/>
    <x v="1"/>
    <x v="0"/>
    <x v="11"/>
    <x v="2"/>
    <x v="4"/>
    <x v="2"/>
  </r>
  <r>
    <s v="TX500587"/>
    <x v="6"/>
    <x v="9"/>
    <n v="46.8"/>
    <x v="540"/>
    <x v="25"/>
    <x v="27"/>
    <x v="2"/>
    <x v="1"/>
    <x v="2"/>
    <x v="0"/>
    <x v="11"/>
    <x v="0"/>
    <x v="4"/>
    <x v="2"/>
  </r>
  <r>
    <s v="TX500588"/>
    <x v="1"/>
    <x v="7"/>
    <n v="64.099999999999994"/>
    <x v="541"/>
    <x v="25"/>
    <x v="22"/>
    <x v="1"/>
    <x v="1"/>
    <x v="0"/>
    <x v="0"/>
    <x v="11"/>
    <x v="3"/>
    <x v="4"/>
    <x v="1"/>
  </r>
  <r>
    <s v="TX500589"/>
    <x v="2"/>
    <x v="0"/>
    <n v="89.1"/>
    <x v="542"/>
    <x v="25"/>
    <x v="22"/>
    <x v="2"/>
    <x v="0"/>
    <x v="1"/>
    <x v="0"/>
    <x v="20"/>
    <x v="3"/>
    <x v="4"/>
    <x v="2"/>
  </r>
  <r>
    <s v="TX500590"/>
    <x v="2"/>
    <x v="2"/>
    <n v="83.1"/>
    <x v="543"/>
    <x v="25"/>
    <x v="22"/>
    <x v="2"/>
    <x v="2"/>
    <x v="1"/>
    <x v="0"/>
    <x v="13"/>
    <x v="3"/>
    <x v="4"/>
    <x v="2"/>
  </r>
  <r>
    <s v="TX500591"/>
    <x v="8"/>
    <x v="2"/>
    <n v="40.9"/>
    <x v="544"/>
    <x v="25"/>
    <x v="22"/>
    <x v="1"/>
    <x v="0"/>
    <x v="0"/>
    <x v="0"/>
    <x v="1"/>
    <x v="3"/>
    <x v="4"/>
    <x v="1"/>
  </r>
  <r>
    <s v="TX500592"/>
    <x v="2"/>
    <x v="1"/>
    <n v="125.7"/>
    <x v="545"/>
    <x v="25"/>
    <x v="22"/>
    <x v="2"/>
    <x v="3"/>
    <x v="0"/>
    <x v="0"/>
    <x v="2"/>
    <x v="3"/>
    <x v="4"/>
    <x v="2"/>
  </r>
  <r>
    <s v="TX500593"/>
    <x v="3"/>
    <x v="1"/>
    <n v="30.9"/>
    <x v="546"/>
    <x v="25"/>
    <x v="19"/>
    <x v="2"/>
    <x v="2"/>
    <x v="2"/>
    <x v="0"/>
    <x v="22"/>
    <x v="7"/>
    <x v="4"/>
    <x v="2"/>
  </r>
  <r>
    <s v="TX500594"/>
    <x v="8"/>
    <x v="1"/>
    <n v="18.3"/>
    <x v="547"/>
    <x v="25"/>
    <x v="22"/>
    <x v="2"/>
    <x v="1"/>
    <x v="0"/>
    <x v="0"/>
    <x v="3"/>
    <x v="3"/>
    <x v="4"/>
    <x v="2"/>
  </r>
  <r>
    <s v="TX500595"/>
    <x v="4"/>
    <x v="1"/>
    <n v="56.5"/>
    <x v="548"/>
    <x v="25"/>
    <x v="26"/>
    <x v="1"/>
    <x v="2"/>
    <x v="2"/>
    <x v="0"/>
    <x v="3"/>
    <x v="5"/>
    <x v="4"/>
    <x v="1"/>
  </r>
  <r>
    <s v="TX500596"/>
    <x v="10"/>
    <x v="3"/>
    <n v="29.9"/>
    <x v="549"/>
    <x v="25"/>
    <x v="29"/>
    <x v="1"/>
    <x v="4"/>
    <x v="2"/>
    <x v="0"/>
    <x v="3"/>
    <x v="1"/>
    <x v="4"/>
    <x v="1"/>
  </r>
  <r>
    <s v="TX500597"/>
    <x v="5"/>
    <x v="1"/>
    <n v="50.4"/>
    <x v="90"/>
    <x v="25"/>
    <x v="22"/>
    <x v="2"/>
    <x v="2"/>
    <x v="0"/>
    <x v="0"/>
    <x v="3"/>
    <x v="3"/>
    <x v="4"/>
    <x v="2"/>
  </r>
  <r>
    <s v="TX500598"/>
    <x v="2"/>
    <x v="0"/>
    <n v="85.8"/>
    <x v="550"/>
    <x v="25"/>
    <x v="19"/>
    <x v="2"/>
    <x v="2"/>
    <x v="2"/>
    <x v="0"/>
    <x v="3"/>
    <x v="7"/>
    <x v="4"/>
    <x v="2"/>
  </r>
  <r>
    <s v="TX500599"/>
    <x v="4"/>
    <x v="27"/>
    <n v="66.599999999999994"/>
    <x v="551"/>
    <x v="25"/>
    <x v="29"/>
    <x v="1"/>
    <x v="1"/>
    <x v="0"/>
    <x v="0"/>
    <x v="3"/>
    <x v="1"/>
    <x v="4"/>
    <x v="1"/>
  </r>
  <r>
    <s v="TX500600"/>
    <x v="6"/>
    <x v="12"/>
    <n v="70.3"/>
    <x v="552"/>
    <x v="25"/>
    <x v="22"/>
    <x v="2"/>
    <x v="0"/>
    <x v="1"/>
    <x v="0"/>
    <x v="3"/>
    <x v="3"/>
    <x v="4"/>
    <x v="2"/>
  </r>
  <r>
    <s v="TX500601"/>
    <x v="8"/>
    <x v="12"/>
    <n v="31"/>
    <x v="553"/>
    <x v="25"/>
    <x v="28"/>
    <x v="1"/>
    <x v="0"/>
    <x v="2"/>
    <x v="0"/>
    <x v="3"/>
    <x v="2"/>
    <x v="4"/>
    <x v="1"/>
  </r>
  <r>
    <s v="TX500602"/>
    <x v="7"/>
    <x v="13"/>
    <n v="81.599999999999994"/>
    <x v="554"/>
    <x v="25"/>
    <x v="22"/>
    <x v="2"/>
    <x v="1"/>
    <x v="1"/>
    <x v="0"/>
    <x v="37"/>
    <x v="3"/>
    <x v="4"/>
    <x v="2"/>
  </r>
  <r>
    <s v="TX500603"/>
    <x v="1"/>
    <x v="30"/>
    <n v="58.3"/>
    <x v="555"/>
    <x v="25"/>
    <x v="22"/>
    <x v="2"/>
    <x v="0"/>
    <x v="0"/>
    <x v="0"/>
    <x v="16"/>
    <x v="3"/>
    <x v="4"/>
    <x v="2"/>
  </r>
  <r>
    <s v="TX500604"/>
    <x v="1"/>
    <x v="12"/>
    <n v="35.1"/>
    <x v="381"/>
    <x v="25"/>
    <x v="29"/>
    <x v="1"/>
    <x v="0"/>
    <x v="2"/>
    <x v="0"/>
    <x v="8"/>
    <x v="1"/>
    <x v="4"/>
    <x v="1"/>
  </r>
  <r>
    <s v="TX500605"/>
    <x v="2"/>
    <x v="0"/>
    <n v="80.2"/>
    <x v="556"/>
    <x v="25"/>
    <x v="22"/>
    <x v="1"/>
    <x v="3"/>
    <x v="2"/>
    <x v="0"/>
    <x v="8"/>
    <x v="3"/>
    <x v="4"/>
    <x v="1"/>
  </r>
  <r>
    <s v="TX500606"/>
    <x v="14"/>
    <x v="2"/>
    <n v="39.200000000000003"/>
    <x v="557"/>
    <x v="25"/>
    <x v="29"/>
    <x v="2"/>
    <x v="1"/>
    <x v="0"/>
    <x v="0"/>
    <x v="9"/>
    <x v="1"/>
    <x v="4"/>
    <x v="2"/>
  </r>
  <r>
    <s v="TX500607"/>
    <x v="0"/>
    <x v="1"/>
    <n v="15.4"/>
    <x v="558"/>
    <x v="25"/>
    <x v="19"/>
    <x v="2"/>
    <x v="3"/>
    <x v="0"/>
    <x v="0"/>
    <x v="48"/>
    <x v="7"/>
    <x v="4"/>
    <x v="2"/>
  </r>
  <r>
    <s v="TX500608"/>
    <x v="3"/>
    <x v="2"/>
    <n v="65.400000000000006"/>
    <x v="338"/>
    <x v="25"/>
    <x v="28"/>
    <x v="1"/>
    <x v="3"/>
    <x v="0"/>
    <x v="0"/>
    <x v="18"/>
    <x v="2"/>
    <x v="4"/>
    <x v="1"/>
  </r>
  <r>
    <s v="TX500609"/>
    <x v="1"/>
    <x v="8"/>
    <n v="63.2"/>
    <x v="559"/>
    <x v="25"/>
    <x v="29"/>
    <x v="2"/>
    <x v="1"/>
    <x v="0"/>
    <x v="0"/>
    <x v="19"/>
    <x v="1"/>
    <x v="4"/>
    <x v="2"/>
  </r>
  <r>
    <s v="TX500610"/>
    <x v="1"/>
    <x v="13"/>
    <n v="35.700000000000003"/>
    <x v="560"/>
    <x v="25"/>
    <x v="26"/>
    <x v="2"/>
    <x v="4"/>
    <x v="1"/>
    <x v="0"/>
    <x v="19"/>
    <x v="5"/>
    <x v="4"/>
    <x v="2"/>
  </r>
  <r>
    <s v="TX500611"/>
    <x v="0"/>
    <x v="28"/>
    <n v="26.2"/>
    <x v="561"/>
    <x v="25"/>
    <x v="22"/>
    <x v="2"/>
    <x v="3"/>
    <x v="0"/>
    <x v="0"/>
    <x v="21"/>
    <x v="3"/>
    <x v="4"/>
    <x v="2"/>
  </r>
  <r>
    <s v="TX500612"/>
    <x v="7"/>
    <x v="1"/>
    <n v="31"/>
    <x v="85"/>
    <x v="25"/>
    <x v="22"/>
    <x v="2"/>
    <x v="0"/>
    <x v="2"/>
    <x v="0"/>
    <x v="1"/>
    <x v="3"/>
    <x v="4"/>
    <x v="2"/>
  </r>
  <r>
    <s v="TX500613"/>
    <x v="8"/>
    <x v="12"/>
    <n v="37.700000000000003"/>
    <x v="562"/>
    <x v="25"/>
    <x v="22"/>
    <x v="2"/>
    <x v="1"/>
    <x v="0"/>
    <x v="0"/>
    <x v="22"/>
    <x v="3"/>
    <x v="4"/>
    <x v="2"/>
  </r>
  <r>
    <s v="TX500614"/>
    <x v="10"/>
    <x v="33"/>
    <n v="43.6"/>
    <x v="563"/>
    <x v="25"/>
    <x v="29"/>
    <x v="2"/>
    <x v="4"/>
    <x v="1"/>
    <x v="0"/>
    <x v="3"/>
    <x v="1"/>
    <x v="4"/>
    <x v="2"/>
  </r>
  <r>
    <s v="TX500615"/>
    <x v="9"/>
    <x v="12"/>
    <n v="26.5"/>
    <x v="101"/>
    <x v="25"/>
    <x v="29"/>
    <x v="1"/>
    <x v="0"/>
    <x v="4"/>
    <x v="0"/>
    <x v="3"/>
    <x v="1"/>
    <x v="4"/>
    <x v="1"/>
  </r>
  <r>
    <s v="TX500616"/>
    <x v="0"/>
    <x v="1"/>
    <n v="34.6"/>
    <x v="564"/>
    <x v="25"/>
    <x v="22"/>
    <x v="1"/>
    <x v="4"/>
    <x v="1"/>
    <x v="0"/>
    <x v="3"/>
    <x v="3"/>
    <x v="4"/>
    <x v="1"/>
  </r>
  <r>
    <s v="TX500617"/>
    <x v="8"/>
    <x v="1"/>
    <n v="58.2"/>
    <x v="565"/>
    <x v="25"/>
    <x v="22"/>
    <x v="1"/>
    <x v="2"/>
    <x v="2"/>
    <x v="0"/>
    <x v="3"/>
    <x v="3"/>
    <x v="4"/>
    <x v="1"/>
  </r>
  <r>
    <s v="TX500618"/>
    <x v="7"/>
    <x v="0"/>
    <n v="30.2"/>
    <x v="242"/>
    <x v="26"/>
    <x v="29"/>
    <x v="2"/>
    <x v="2"/>
    <x v="1"/>
    <x v="0"/>
    <x v="3"/>
    <x v="3"/>
    <x v="4"/>
    <x v="2"/>
  </r>
  <r>
    <s v="TX500619"/>
    <x v="1"/>
    <x v="7"/>
    <n v="53.2"/>
    <x v="566"/>
    <x v="26"/>
    <x v="29"/>
    <x v="1"/>
    <x v="0"/>
    <x v="2"/>
    <x v="0"/>
    <x v="5"/>
    <x v="3"/>
    <x v="4"/>
    <x v="1"/>
  </r>
  <r>
    <s v="TX500620"/>
    <x v="12"/>
    <x v="13"/>
    <n v="51.1"/>
    <x v="567"/>
    <x v="26"/>
    <x v="22"/>
    <x v="1"/>
    <x v="1"/>
    <x v="2"/>
    <x v="0"/>
    <x v="5"/>
    <x v="7"/>
    <x v="4"/>
    <x v="1"/>
  </r>
  <r>
    <s v="TX500621"/>
    <x v="1"/>
    <x v="0"/>
    <n v="105.4"/>
    <x v="568"/>
    <x v="26"/>
    <x v="27"/>
    <x v="2"/>
    <x v="1"/>
    <x v="2"/>
    <x v="0"/>
    <x v="23"/>
    <x v="5"/>
    <x v="4"/>
    <x v="2"/>
  </r>
  <r>
    <s v="TX500622"/>
    <x v="7"/>
    <x v="0"/>
    <n v="57.7"/>
    <x v="569"/>
    <x v="26"/>
    <x v="22"/>
    <x v="1"/>
    <x v="0"/>
    <x v="4"/>
    <x v="0"/>
    <x v="8"/>
    <x v="7"/>
    <x v="4"/>
    <x v="1"/>
  </r>
  <r>
    <s v="TX500623"/>
    <x v="15"/>
    <x v="1"/>
    <n v="72.400000000000006"/>
    <x v="353"/>
    <x v="26"/>
    <x v="30"/>
    <x v="2"/>
    <x v="0"/>
    <x v="0"/>
    <x v="0"/>
    <x v="17"/>
    <x v="0"/>
    <x v="4"/>
    <x v="2"/>
  </r>
  <r>
    <s v="TX500624"/>
    <x v="6"/>
    <x v="1"/>
    <n v="62.5"/>
    <x v="570"/>
    <x v="26"/>
    <x v="29"/>
    <x v="0"/>
    <x v="0"/>
    <x v="2"/>
    <x v="0"/>
    <x v="11"/>
    <x v="3"/>
    <x v="4"/>
    <x v="0"/>
  </r>
  <r>
    <s v="TX500625"/>
    <x v="0"/>
    <x v="32"/>
    <n v="11.6"/>
    <x v="281"/>
    <x v="26"/>
    <x v="28"/>
    <x v="2"/>
    <x v="3"/>
    <x v="2"/>
    <x v="0"/>
    <x v="18"/>
    <x v="1"/>
    <x v="4"/>
    <x v="2"/>
  </r>
  <r>
    <s v="TX500626"/>
    <x v="10"/>
    <x v="7"/>
    <n v="39.6"/>
    <x v="501"/>
    <x v="26"/>
    <x v="28"/>
    <x v="2"/>
    <x v="2"/>
    <x v="2"/>
    <x v="0"/>
    <x v="18"/>
    <x v="1"/>
    <x v="4"/>
    <x v="2"/>
  </r>
  <r>
    <s v="TX500627"/>
    <x v="8"/>
    <x v="1"/>
    <n v="40.1"/>
    <x v="556"/>
    <x v="26"/>
    <x v="29"/>
    <x v="2"/>
    <x v="2"/>
    <x v="0"/>
    <x v="0"/>
    <x v="18"/>
    <x v="3"/>
    <x v="4"/>
    <x v="2"/>
  </r>
  <r>
    <s v="TX500628"/>
    <x v="8"/>
    <x v="2"/>
    <n v="18.600000000000001"/>
    <x v="571"/>
    <x v="26"/>
    <x v="29"/>
    <x v="2"/>
    <x v="2"/>
    <x v="0"/>
    <x v="0"/>
    <x v="21"/>
    <x v="3"/>
    <x v="4"/>
    <x v="2"/>
  </r>
  <r>
    <s v="TX500629"/>
    <x v="4"/>
    <x v="0"/>
    <n v="58.8"/>
    <x v="572"/>
    <x v="26"/>
    <x v="28"/>
    <x v="2"/>
    <x v="0"/>
    <x v="1"/>
    <x v="0"/>
    <x v="21"/>
    <x v="1"/>
    <x v="4"/>
    <x v="2"/>
  </r>
  <r>
    <s v="TX500630"/>
    <x v="8"/>
    <x v="1"/>
    <n v="22.1"/>
    <x v="573"/>
    <x v="26"/>
    <x v="26"/>
    <x v="1"/>
    <x v="1"/>
    <x v="2"/>
    <x v="0"/>
    <x v="21"/>
    <x v="2"/>
    <x v="4"/>
    <x v="1"/>
  </r>
  <r>
    <s v="TX500631"/>
    <x v="2"/>
    <x v="0"/>
    <n v="114.9"/>
    <x v="574"/>
    <x v="27"/>
    <x v="28"/>
    <x v="2"/>
    <x v="1"/>
    <x v="1"/>
    <x v="0"/>
    <x v="22"/>
    <x v="3"/>
    <x v="4"/>
    <x v="2"/>
  </r>
  <r>
    <s v="TX500632"/>
    <x v="9"/>
    <x v="9"/>
    <n v="75.8"/>
    <x v="575"/>
    <x v="27"/>
    <x v="28"/>
    <x v="1"/>
    <x v="0"/>
    <x v="2"/>
    <x v="0"/>
    <x v="3"/>
    <x v="3"/>
    <x v="4"/>
    <x v="1"/>
  </r>
  <r>
    <s v="TX500633"/>
    <x v="14"/>
    <x v="9"/>
    <n v="20.6"/>
    <x v="576"/>
    <x v="27"/>
    <x v="28"/>
    <x v="1"/>
    <x v="2"/>
    <x v="2"/>
    <x v="0"/>
    <x v="3"/>
    <x v="3"/>
    <x v="4"/>
    <x v="1"/>
  </r>
  <r>
    <s v="TX500634"/>
    <x v="17"/>
    <x v="2"/>
    <n v="67.900000000000006"/>
    <x v="577"/>
    <x v="27"/>
    <x v="28"/>
    <x v="2"/>
    <x v="1"/>
    <x v="1"/>
    <x v="0"/>
    <x v="3"/>
    <x v="3"/>
    <x v="4"/>
    <x v="2"/>
  </r>
  <r>
    <s v="TX500635"/>
    <x v="0"/>
    <x v="9"/>
    <n v="27"/>
    <x v="340"/>
    <x v="27"/>
    <x v="32"/>
    <x v="2"/>
    <x v="0"/>
    <x v="2"/>
    <x v="0"/>
    <x v="3"/>
    <x v="6"/>
    <x v="4"/>
    <x v="2"/>
  </r>
  <r>
    <s v="TX500636"/>
    <x v="13"/>
    <x v="0"/>
    <n v="50.6"/>
    <x v="578"/>
    <x v="27"/>
    <x v="29"/>
    <x v="1"/>
    <x v="0"/>
    <x v="1"/>
    <x v="0"/>
    <x v="3"/>
    <x v="7"/>
    <x v="4"/>
    <x v="1"/>
  </r>
  <r>
    <s v="TX500637"/>
    <x v="4"/>
    <x v="9"/>
    <n v="22.1"/>
    <x v="579"/>
    <x v="27"/>
    <x v="33"/>
    <x v="1"/>
    <x v="0"/>
    <x v="0"/>
    <x v="0"/>
    <x v="3"/>
    <x v="0"/>
    <x v="4"/>
    <x v="1"/>
  </r>
  <r>
    <s v="TX500638"/>
    <x v="8"/>
    <x v="2"/>
    <n v="42.9"/>
    <x v="580"/>
    <x v="27"/>
    <x v="26"/>
    <x v="2"/>
    <x v="0"/>
    <x v="0"/>
    <x v="0"/>
    <x v="3"/>
    <x v="1"/>
    <x v="4"/>
    <x v="2"/>
  </r>
  <r>
    <s v="TX500639"/>
    <x v="1"/>
    <x v="5"/>
    <n v="62.4"/>
    <x v="581"/>
    <x v="27"/>
    <x v="26"/>
    <x v="2"/>
    <x v="2"/>
    <x v="0"/>
    <x v="0"/>
    <x v="3"/>
    <x v="1"/>
    <x v="4"/>
    <x v="2"/>
  </r>
  <r>
    <s v="TX500640"/>
    <x v="13"/>
    <x v="11"/>
    <n v="36.4"/>
    <x v="582"/>
    <x v="27"/>
    <x v="26"/>
    <x v="2"/>
    <x v="0"/>
    <x v="2"/>
    <x v="0"/>
    <x v="3"/>
    <x v="1"/>
    <x v="4"/>
    <x v="2"/>
  </r>
  <r>
    <s v="TX500641"/>
    <x v="0"/>
    <x v="1"/>
    <n v="22.5"/>
    <x v="583"/>
    <x v="27"/>
    <x v="27"/>
    <x v="1"/>
    <x v="0"/>
    <x v="0"/>
    <x v="0"/>
    <x v="3"/>
    <x v="2"/>
    <x v="4"/>
    <x v="1"/>
  </r>
  <r>
    <s v="TX500642"/>
    <x v="6"/>
    <x v="12"/>
    <n v="70.8"/>
    <x v="584"/>
    <x v="27"/>
    <x v="26"/>
    <x v="2"/>
    <x v="4"/>
    <x v="0"/>
    <x v="0"/>
    <x v="3"/>
    <x v="1"/>
    <x v="4"/>
    <x v="2"/>
  </r>
  <r>
    <s v="TX500643"/>
    <x v="6"/>
    <x v="9"/>
    <n v="56.6"/>
    <x v="585"/>
    <x v="27"/>
    <x v="26"/>
    <x v="1"/>
    <x v="0"/>
    <x v="1"/>
    <x v="0"/>
    <x v="4"/>
    <x v="1"/>
    <x v="4"/>
    <x v="1"/>
  </r>
  <r>
    <s v="TX500644"/>
    <x v="6"/>
    <x v="1"/>
    <n v="47.9"/>
    <x v="586"/>
    <x v="27"/>
    <x v="28"/>
    <x v="2"/>
    <x v="0"/>
    <x v="0"/>
    <x v="0"/>
    <x v="6"/>
    <x v="3"/>
    <x v="4"/>
    <x v="2"/>
  </r>
  <r>
    <s v="TX500645"/>
    <x v="6"/>
    <x v="8"/>
    <n v="78.400000000000006"/>
    <x v="587"/>
    <x v="27"/>
    <x v="26"/>
    <x v="2"/>
    <x v="1"/>
    <x v="0"/>
    <x v="0"/>
    <x v="6"/>
    <x v="1"/>
    <x v="4"/>
    <x v="2"/>
  </r>
  <r>
    <s v="TX500646"/>
    <x v="2"/>
    <x v="21"/>
    <n v="122.1"/>
    <x v="588"/>
    <x v="27"/>
    <x v="33"/>
    <x v="2"/>
    <x v="0"/>
    <x v="2"/>
    <x v="0"/>
    <x v="6"/>
    <x v="0"/>
    <x v="4"/>
    <x v="2"/>
  </r>
  <r>
    <s v="TX500647"/>
    <x v="2"/>
    <x v="1"/>
    <n v="83.7"/>
    <x v="589"/>
    <x v="28"/>
    <x v="28"/>
    <x v="0"/>
    <x v="1"/>
    <x v="2"/>
    <x v="0"/>
    <x v="7"/>
    <x v="7"/>
    <x v="4"/>
    <x v="0"/>
  </r>
  <r>
    <s v="TX500648"/>
    <x v="3"/>
    <x v="12"/>
    <n v="97.9"/>
    <x v="590"/>
    <x v="28"/>
    <x v="33"/>
    <x v="2"/>
    <x v="3"/>
    <x v="2"/>
    <x v="0"/>
    <x v="7"/>
    <x v="5"/>
    <x v="4"/>
    <x v="2"/>
  </r>
  <r>
    <s v="TX500649"/>
    <x v="14"/>
    <x v="0"/>
    <n v="15"/>
    <x v="591"/>
    <x v="28"/>
    <x v="34"/>
    <x v="2"/>
    <x v="3"/>
    <x v="0"/>
    <x v="0"/>
    <x v="8"/>
    <x v="0"/>
    <x v="4"/>
    <x v="2"/>
  </r>
  <r>
    <s v="TX500650"/>
    <x v="12"/>
    <x v="2"/>
    <n v="94.6"/>
    <x v="592"/>
    <x v="28"/>
    <x v="26"/>
    <x v="1"/>
    <x v="2"/>
    <x v="1"/>
    <x v="0"/>
    <x v="8"/>
    <x v="3"/>
    <x v="4"/>
    <x v="1"/>
  </r>
  <r>
    <s v="TX500651"/>
    <x v="0"/>
    <x v="13"/>
    <n v="19.7"/>
    <x v="593"/>
    <x v="28"/>
    <x v="35"/>
    <x v="2"/>
    <x v="0"/>
    <x v="2"/>
    <x v="0"/>
    <x v="8"/>
    <x v="11"/>
    <x v="4"/>
    <x v="2"/>
  </r>
  <r>
    <s v="TX500652"/>
    <x v="7"/>
    <x v="0"/>
    <n v="46.7"/>
    <x v="594"/>
    <x v="28"/>
    <x v="30"/>
    <x v="2"/>
    <x v="2"/>
    <x v="0"/>
    <x v="0"/>
    <x v="17"/>
    <x v="2"/>
    <x v="4"/>
    <x v="2"/>
  </r>
  <r>
    <s v="TX500653"/>
    <x v="1"/>
    <x v="12"/>
    <n v="43"/>
    <x v="595"/>
    <x v="28"/>
    <x v="26"/>
    <x v="1"/>
    <x v="2"/>
    <x v="2"/>
    <x v="0"/>
    <x v="17"/>
    <x v="3"/>
    <x v="4"/>
    <x v="1"/>
  </r>
  <r>
    <s v="TX500654"/>
    <x v="6"/>
    <x v="2"/>
    <n v="68.2"/>
    <x v="214"/>
    <x v="28"/>
    <x v="32"/>
    <x v="2"/>
    <x v="0"/>
    <x v="0"/>
    <x v="0"/>
    <x v="9"/>
    <x v="4"/>
    <x v="4"/>
    <x v="2"/>
  </r>
  <r>
    <s v="TX500655"/>
    <x v="10"/>
    <x v="7"/>
    <n v="24.3"/>
    <x v="596"/>
    <x v="28"/>
    <x v="26"/>
    <x v="1"/>
    <x v="0"/>
    <x v="2"/>
    <x v="0"/>
    <x v="10"/>
    <x v="3"/>
    <x v="4"/>
    <x v="1"/>
  </r>
  <r>
    <s v="TX500656"/>
    <x v="7"/>
    <x v="1"/>
    <n v="86.8"/>
    <x v="597"/>
    <x v="28"/>
    <x v="33"/>
    <x v="2"/>
    <x v="4"/>
    <x v="2"/>
    <x v="0"/>
    <x v="11"/>
    <x v="5"/>
    <x v="4"/>
    <x v="2"/>
  </r>
  <r>
    <s v="TX500657"/>
    <x v="0"/>
    <x v="1"/>
    <n v="15.8"/>
    <x v="35"/>
    <x v="28"/>
    <x v="27"/>
    <x v="1"/>
    <x v="1"/>
    <x v="0"/>
    <x v="0"/>
    <x v="11"/>
    <x v="1"/>
    <x v="4"/>
    <x v="1"/>
  </r>
  <r>
    <s v="TX500658"/>
    <x v="2"/>
    <x v="12"/>
    <n v="61.6"/>
    <x v="598"/>
    <x v="28"/>
    <x v="26"/>
    <x v="1"/>
    <x v="2"/>
    <x v="0"/>
    <x v="0"/>
    <x v="11"/>
    <x v="3"/>
    <x v="4"/>
    <x v="1"/>
  </r>
  <r>
    <s v="TX500659"/>
    <x v="6"/>
    <x v="2"/>
    <n v="48.7"/>
    <x v="599"/>
    <x v="28"/>
    <x v="32"/>
    <x v="2"/>
    <x v="1"/>
    <x v="2"/>
    <x v="0"/>
    <x v="45"/>
    <x v="4"/>
    <x v="4"/>
    <x v="2"/>
  </r>
  <r>
    <s v="TX500660"/>
    <x v="8"/>
    <x v="12"/>
    <n v="24.3"/>
    <x v="451"/>
    <x v="28"/>
    <x v="27"/>
    <x v="2"/>
    <x v="1"/>
    <x v="2"/>
    <x v="0"/>
    <x v="21"/>
    <x v="1"/>
    <x v="4"/>
    <x v="2"/>
  </r>
  <r>
    <s v="TX500661"/>
    <x v="2"/>
    <x v="1"/>
    <n v="130.69999999999999"/>
    <x v="600"/>
    <x v="28"/>
    <x v="26"/>
    <x v="2"/>
    <x v="2"/>
    <x v="0"/>
    <x v="0"/>
    <x v="44"/>
    <x v="3"/>
    <x v="4"/>
    <x v="2"/>
  </r>
  <r>
    <s v="TX500662"/>
    <x v="10"/>
    <x v="0"/>
    <n v="26"/>
    <x v="601"/>
    <x v="28"/>
    <x v="27"/>
    <x v="1"/>
    <x v="0"/>
    <x v="0"/>
    <x v="0"/>
    <x v="3"/>
    <x v="1"/>
    <x v="4"/>
    <x v="1"/>
  </r>
  <r>
    <s v="TX500663"/>
    <x v="2"/>
    <x v="9"/>
    <n v="94.4"/>
    <x v="602"/>
    <x v="28"/>
    <x v="26"/>
    <x v="2"/>
    <x v="0"/>
    <x v="0"/>
    <x v="0"/>
    <x v="3"/>
    <x v="3"/>
    <x v="4"/>
    <x v="2"/>
  </r>
  <r>
    <s v="TX500664"/>
    <x v="0"/>
    <x v="13"/>
    <n v="23.7"/>
    <x v="60"/>
    <x v="28"/>
    <x v="27"/>
    <x v="1"/>
    <x v="2"/>
    <x v="2"/>
    <x v="0"/>
    <x v="3"/>
    <x v="1"/>
    <x v="4"/>
    <x v="1"/>
  </r>
  <r>
    <s v="TX500665"/>
    <x v="9"/>
    <x v="4"/>
    <n v="37.4"/>
    <x v="603"/>
    <x v="28"/>
    <x v="27"/>
    <x v="1"/>
    <x v="2"/>
    <x v="0"/>
    <x v="0"/>
    <x v="3"/>
    <x v="1"/>
    <x v="4"/>
    <x v="1"/>
  </r>
  <r>
    <s v="TX500666"/>
    <x v="1"/>
    <x v="34"/>
    <n v="55.2"/>
    <x v="604"/>
    <x v="28"/>
    <x v="28"/>
    <x v="2"/>
    <x v="3"/>
    <x v="1"/>
    <x v="0"/>
    <x v="3"/>
    <x v="7"/>
    <x v="4"/>
    <x v="2"/>
  </r>
  <r>
    <s v="TX500667"/>
    <x v="2"/>
    <x v="11"/>
    <n v="57.1"/>
    <x v="605"/>
    <x v="28"/>
    <x v="27"/>
    <x v="1"/>
    <x v="0"/>
    <x v="2"/>
    <x v="0"/>
    <x v="3"/>
    <x v="1"/>
    <x v="4"/>
    <x v="1"/>
  </r>
  <r>
    <s v="TX500668"/>
    <x v="12"/>
    <x v="0"/>
    <n v="55.3"/>
    <x v="6"/>
    <x v="28"/>
    <x v="26"/>
    <x v="2"/>
    <x v="2"/>
    <x v="2"/>
    <x v="0"/>
    <x v="3"/>
    <x v="3"/>
    <x v="4"/>
    <x v="2"/>
  </r>
  <r>
    <s v="TX500669"/>
    <x v="15"/>
    <x v="3"/>
    <n v="23.9"/>
    <x v="606"/>
    <x v="28"/>
    <x v="26"/>
    <x v="2"/>
    <x v="4"/>
    <x v="1"/>
    <x v="0"/>
    <x v="3"/>
    <x v="3"/>
    <x v="4"/>
    <x v="2"/>
  </r>
  <r>
    <s v="TX500670"/>
    <x v="0"/>
    <x v="0"/>
    <n v="34.1"/>
    <x v="607"/>
    <x v="28"/>
    <x v="36"/>
    <x v="2"/>
    <x v="2"/>
    <x v="0"/>
    <x v="0"/>
    <x v="3"/>
    <x v="6"/>
    <x v="4"/>
    <x v="2"/>
  </r>
  <r>
    <s v="TX500671"/>
    <x v="12"/>
    <x v="12"/>
    <n v="38.5"/>
    <x v="608"/>
    <x v="28"/>
    <x v="35"/>
    <x v="2"/>
    <x v="0"/>
    <x v="0"/>
    <x v="0"/>
    <x v="3"/>
    <x v="11"/>
    <x v="4"/>
    <x v="2"/>
  </r>
  <r>
    <s v="TX500672"/>
    <x v="7"/>
    <x v="1"/>
    <n v="105"/>
    <x v="609"/>
    <x v="28"/>
    <x v="32"/>
    <x v="2"/>
    <x v="0"/>
    <x v="2"/>
    <x v="0"/>
    <x v="3"/>
    <x v="4"/>
    <x v="4"/>
    <x v="2"/>
  </r>
  <r>
    <s v="TX500673"/>
    <x v="8"/>
    <x v="9"/>
    <n v="45.2"/>
    <x v="326"/>
    <x v="28"/>
    <x v="27"/>
    <x v="2"/>
    <x v="0"/>
    <x v="2"/>
    <x v="0"/>
    <x v="3"/>
    <x v="1"/>
    <x v="4"/>
    <x v="2"/>
  </r>
  <r>
    <s v="TX500674"/>
    <x v="17"/>
    <x v="2"/>
    <n v="24.8"/>
    <x v="610"/>
    <x v="28"/>
    <x v="28"/>
    <x v="0"/>
    <x v="0"/>
    <x v="1"/>
    <x v="0"/>
    <x v="3"/>
    <x v="7"/>
    <x v="4"/>
    <x v="0"/>
  </r>
  <r>
    <s v="TX500675"/>
    <x v="11"/>
    <x v="12"/>
    <n v="43.8"/>
    <x v="122"/>
    <x v="28"/>
    <x v="36"/>
    <x v="2"/>
    <x v="1"/>
    <x v="2"/>
    <x v="0"/>
    <x v="6"/>
    <x v="6"/>
    <x v="4"/>
    <x v="2"/>
  </r>
  <r>
    <s v="TX500676"/>
    <x v="1"/>
    <x v="0"/>
    <n v="75"/>
    <x v="611"/>
    <x v="28"/>
    <x v="27"/>
    <x v="2"/>
    <x v="4"/>
    <x v="1"/>
    <x v="0"/>
    <x v="6"/>
    <x v="1"/>
    <x v="4"/>
    <x v="2"/>
  </r>
  <r>
    <s v="TX500677"/>
    <x v="2"/>
    <x v="0"/>
    <n v="169.9"/>
    <x v="612"/>
    <x v="28"/>
    <x v="26"/>
    <x v="1"/>
    <x v="2"/>
    <x v="0"/>
    <x v="0"/>
    <x v="6"/>
    <x v="3"/>
    <x v="4"/>
    <x v="1"/>
  </r>
  <r>
    <s v="TX500678"/>
    <x v="9"/>
    <x v="1"/>
    <n v="72.2"/>
    <x v="613"/>
    <x v="28"/>
    <x v="27"/>
    <x v="2"/>
    <x v="4"/>
    <x v="1"/>
    <x v="0"/>
    <x v="6"/>
    <x v="1"/>
    <x v="4"/>
    <x v="2"/>
  </r>
  <r>
    <s v="TX500679"/>
    <x v="0"/>
    <x v="0"/>
    <n v="20"/>
    <x v="614"/>
    <x v="29"/>
    <x v="33"/>
    <x v="2"/>
    <x v="2"/>
    <x v="1"/>
    <x v="0"/>
    <x v="7"/>
    <x v="2"/>
    <x v="4"/>
    <x v="2"/>
  </r>
  <r>
    <s v="TX500680"/>
    <x v="9"/>
    <x v="1"/>
    <n v="40.799999999999997"/>
    <x v="330"/>
    <x v="29"/>
    <x v="30"/>
    <x v="2"/>
    <x v="3"/>
    <x v="2"/>
    <x v="0"/>
    <x v="8"/>
    <x v="1"/>
    <x v="4"/>
    <x v="2"/>
  </r>
  <r>
    <s v="TX500681"/>
    <x v="10"/>
    <x v="12"/>
    <n v="58"/>
    <x v="615"/>
    <x v="29"/>
    <x v="34"/>
    <x v="2"/>
    <x v="0"/>
    <x v="0"/>
    <x v="0"/>
    <x v="8"/>
    <x v="5"/>
    <x v="4"/>
    <x v="2"/>
  </r>
  <r>
    <s v="TX500682"/>
    <x v="12"/>
    <x v="1"/>
    <n v="43.1"/>
    <x v="616"/>
    <x v="29"/>
    <x v="27"/>
    <x v="2"/>
    <x v="1"/>
    <x v="2"/>
    <x v="0"/>
    <x v="8"/>
    <x v="3"/>
    <x v="4"/>
    <x v="2"/>
  </r>
  <r>
    <s v="TX500683"/>
    <x v="6"/>
    <x v="11"/>
    <n v="74.7"/>
    <x v="617"/>
    <x v="29"/>
    <x v="30"/>
    <x v="1"/>
    <x v="0"/>
    <x v="2"/>
    <x v="0"/>
    <x v="8"/>
    <x v="1"/>
    <x v="4"/>
    <x v="1"/>
  </r>
  <r>
    <s v="TX500684"/>
    <x v="6"/>
    <x v="0"/>
    <n v="128.19999999999999"/>
    <x v="618"/>
    <x v="29"/>
    <x v="26"/>
    <x v="1"/>
    <x v="1"/>
    <x v="0"/>
    <x v="0"/>
    <x v="8"/>
    <x v="7"/>
    <x v="4"/>
    <x v="1"/>
  </r>
  <r>
    <s v="TX500685"/>
    <x v="14"/>
    <x v="12"/>
    <n v="26.7"/>
    <x v="619"/>
    <x v="29"/>
    <x v="27"/>
    <x v="1"/>
    <x v="1"/>
    <x v="0"/>
    <x v="0"/>
    <x v="8"/>
    <x v="3"/>
    <x v="4"/>
    <x v="1"/>
  </r>
  <r>
    <s v="TX500686"/>
    <x v="17"/>
    <x v="13"/>
    <n v="31.5"/>
    <x v="620"/>
    <x v="29"/>
    <x v="27"/>
    <x v="2"/>
    <x v="2"/>
    <x v="0"/>
    <x v="0"/>
    <x v="17"/>
    <x v="3"/>
    <x v="4"/>
    <x v="2"/>
  </r>
  <r>
    <s v="TX500687"/>
    <x v="3"/>
    <x v="3"/>
    <n v="64.7"/>
    <x v="621"/>
    <x v="29"/>
    <x v="27"/>
    <x v="2"/>
    <x v="0"/>
    <x v="2"/>
    <x v="0"/>
    <x v="9"/>
    <x v="3"/>
    <x v="4"/>
    <x v="2"/>
  </r>
  <r>
    <s v="TX500688"/>
    <x v="5"/>
    <x v="1"/>
    <n v="55.6"/>
    <x v="622"/>
    <x v="29"/>
    <x v="33"/>
    <x v="2"/>
    <x v="3"/>
    <x v="0"/>
    <x v="0"/>
    <x v="11"/>
    <x v="2"/>
    <x v="4"/>
    <x v="2"/>
  </r>
  <r>
    <s v="TX500689"/>
    <x v="3"/>
    <x v="1"/>
    <n v="36.200000000000003"/>
    <x v="623"/>
    <x v="29"/>
    <x v="27"/>
    <x v="2"/>
    <x v="3"/>
    <x v="0"/>
    <x v="0"/>
    <x v="11"/>
    <x v="3"/>
    <x v="4"/>
    <x v="2"/>
  </r>
  <r>
    <s v="TX500690"/>
    <x v="0"/>
    <x v="0"/>
    <n v="26.6"/>
    <x v="534"/>
    <x v="29"/>
    <x v="27"/>
    <x v="0"/>
    <x v="1"/>
    <x v="1"/>
    <x v="0"/>
    <x v="19"/>
    <x v="3"/>
    <x v="4"/>
    <x v="0"/>
  </r>
  <r>
    <s v="TX500691"/>
    <x v="10"/>
    <x v="12"/>
    <n v="31.5"/>
    <x v="624"/>
    <x v="29"/>
    <x v="30"/>
    <x v="1"/>
    <x v="0"/>
    <x v="0"/>
    <x v="0"/>
    <x v="31"/>
    <x v="1"/>
    <x v="4"/>
    <x v="1"/>
  </r>
  <r>
    <s v="TX500692"/>
    <x v="10"/>
    <x v="0"/>
    <n v="27"/>
    <x v="49"/>
    <x v="29"/>
    <x v="30"/>
    <x v="2"/>
    <x v="1"/>
    <x v="2"/>
    <x v="0"/>
    <x v="13"/>
    <x v="1"/>
    <x v="4"/>
    <x v="2"/>
  </r>
  <r>
    <s v="TX500693"/>
    <x v="4"/>
    <x v="0"/>
    <n v="32"/>
    <x v="109"/>
    <x v="29"/>
    <x v="33"/>
    <x v="1"/>
    <x v="3"/>
    <x v="0"/>
    <x v="0"/>
    <x v="21"/>
    <x v="2"/>
    <x v="4"/>
    <x v="1"/>
  </r>
  <r>
    <s v="TX500694"/>
    <x v="1"/>
    <x v="2"/>
    <n v="48.1"/>
    <x v="625"/>
    <x v="29"/>
    <x v="30"/>
    <x v="1"/>
    <x v="2"/>
    <x v="1"/>
    <x v="0"/>
    <x v="1"/>
    <x v="1"/>
    <x v="4"/>
    <x v="1"/>
  </r>
  <r>
    <s v="TX500695"/>
    <x v="9"/>
    <x v="1"/>
    <n v="43.4"/>
    <x v="626"/>
    <x v="29"/>
    <x v="27"/>
    <x v="1"/>
    <x v="1"/>
    <x v="1"/>
    <x v="0"/>
    <x v="22"/>
    <x v="3"/>
    <x v="4"/>
    <x v="1"/>
  </r>
  <r>
    <s v="TX500696"/>
    <x v="6"/>
    <x v="1"/>
    <n v="42.6"/>
    <x v="464"/>
    <x v="29"/>
    <x v="33"/>
    <x v="2"/>
    <x v="3"/>
    <x v="0"/>
    <x v="0"/>
    <x v="22"/>
    <x v="2"/>
    <x v="4"/>
    <x v="2"/>
  </r>
  <r>
    <s v="TX500697"/>
    <x v="8"/>
    <x v="1"/>
    <n v="15.9"/>
    <x v="627"/>
    <x v="29"/>
    <x v="27"/>
    <x v="2"/>
    <x v="0"/>
    <x v="0"/>
    <x v="0"/>
    <x v="34"/>
    <x v="3"/>
    <x v="4"/>
    <x v="2"/>
  </r>
  <r>
    <s v="TX500698"/>
    <x v="9"/>
    <x v="1"/>
    <n v="63.2"/>
    <x v="628"/>
    <x v="29"/>
    <x v="27"/>
    <x v="1"/>
    <x v="1"/>
    <x v="0"/>
    <x v="0"/>
    <x v="3"/>
    <x v="3"/>
    <x v="4"/>
    <x v="1"/>
  </r>
  <r>
    <s v="TX500699"/>
    <x v="7"/>
    <x v="12"/>
    <n v="64.8"/>
    <x v="629"/>
    <x v="29"/>
    <x v="30"/>
    <x v="0"/>
    <x v="4"/>
    <x v="1"/>
    <x v="0"/>
    <x v="3"/>
    <x v="1"/>
    <x v="4"/>
    <x v="0"/>
  </r>
  <r>
    <s v="TX500700"/>
    <x v="7"/>
    <x v="2"/>
    <n v="79.8"/>
    <x v="342"/>
    <x v="29"/>
    <x v="27"/>
    <x v="1"/>
    <x v="0"/>
    <x v="0"/>
    <x v="0"/>
    <x v="3"/>
    <x v="3"/>
    <x v="4"/>
    <x v="1"/>
  </r>
  <r>
    <s v="TX500701"/>
    <x v="9"/>
    <x v="0"/>
    <n v="54.4"/>
    <x v="630"/>
    <x v="29"/>
    <x v="30"/>
    <x v="2"/>
    <x v="4"/>
    <x v="2"/>
    <x v="0"/>
    <x v="3"/>
    <x v="1"/>
    <x v="4"/>
    <x v="2"/>
  </r>
  <r>
    <s v="TX500702"/>
    <x v="6"/>
    <x v="0"/>
    <n v="87.3"/>
    <x v="631"/>
    <x v="29"/>
    <x v="27"/>
    <x v="1"/>
    <x v="1"/>
    <x v="0"/>
    <x v="0"/>
    <x v="3"/>
    <x v="3"/>
    <x v="4"/>
    <x v="1"/>
  </r>
  <r>
    <s v="TX500703"/>
    <x v="8"/>
    <x v="12"/>
    <n v="32.4"/>
    <x v="632"/>
    <x v="29"/>
    <x v="26"/>
    <x v="1"/>
    <x v="1"/>
    <x v="0"/>
    <x v="0"/>
    <x v="3"/>
    <x v="7"/>
    <x v="4"/>
    <x v="1"/>
  </r>
  <r>
    <s v="TX500704"/>
    <x v="2"/>
    <x v="0"/>
    <n v="177.4"/>
    <x v="633"/>
    <x v="29"/>
    <x v="34"/>
    <x v="1"/>
    <x v="0"/>
    <x v="2"/>
    <x v="0"/>
    <x v="3"/>
    <x v="5"/>
    <x v="4"/>
    <x v="1"/>
  </r>
  <r>
    <s v="TX500705"/>
    <x v="7"/>
    <x v="1"/>
    <n v="70.099999999999994"/>
    <x v="634"/>
    <x v="29"/>
    <x v="27"/>
    <x v="1"/>
    <x v="3"/>
    <x v="1"/>
    <x v="0"/>
    <x v="3"/>
    <x v="3"/>
    <x v="4"/>
    <x v="1"/>
  </r>
  <r>
    <s v="TX500706"/>
    <x v="9"/>
    <x v="13"/>
    <n v="51.1"/>
    <x v="567"/>
    <x v="29"/>
    <x v="27"/>
    <x v="2"/>
    <x v="0"/>
    <x v="0"/>
    <x v="0"/>
    <x v="3"/>
    <x v="3"/>
    <x v="4"/>
    <x v="2"/>
  </r>
  <r>
    <s v="TX500707"/>
    <x v="2"/>
    <x v="9"/>
    <n v="79.900000000000006"/>
    <x v="635"/>
    <x v="29"/>
    <x v="30"/>
    <x v="1"/>
    <x v="3"/>
    <x v="2"/>
    <x v="0"/>
    <x v="24"/>
    <x v="1"/>
    <x v="4"/>
    <x v="1"/>
  </r>
  <r>
    <s v="TX500708"/>
    <x v="6"/>
    <x v="0"/>
    <n v="57.6"/>
    <x v="636"/>
    <x v="30"/>
    <x v="36"/>
    <x v="1"/>
    <x v="0"/>
    <x v="2"/>
    <x v="0"/>
    <x v="49"/>
    <x v="0"/>
    <x v="4"/>
    <x v="1"/>
  </r>
  <r>
    <s v="TX500709"/>
    <x v="8"/>
    <x v="7"/>
    <n v="59.7"/>
    <x v="637"/>
    <x v="30"/>
    <x v="32"/>
    <x v="1"/>
    <x v="2"/>
    <x v="0"/>
    <x v="0"/>
    <x v="25"/>
    <x v="5"/>
    <x v="4"/>
    <x v="1"/>
  </r>
  <r>
    <s v="TX500710"/>
    <x v="8"/>
    <x v="9"/>
    <n v="30"/>
    <x v="638"/>
    <x v="30"/>
    <x v="33"/>
    <x v="1"/>
    <x v="1"/>
    <x v="0"/>
    <x v="0"/>
    <x v="6"/>
    <x v="1"/>
    <x v="4"/>
    <x v="1"/>
  </r>
  <r>
    <s v="TX500711"/>
    <x v="10"/>
    <x v="1"/>
    <n v="69.2"/>
    <x v="639"/>
    <x v="30"/>
    <x v="33"/>
    <x v="0"/>
    <x v="2"/>
    <x v="1"/>
    <x v="0"/>
    <x v="6"/>
    <x v="1"/>
    <x v="4"/>
    <x v="0"/>
  </r>
  <r>
    <s v="TX500712"/>
    <x v="0"/>
    <x v="8"/>
    <n v="10.9"/>
    <x v="640"/>
    <x v="30"/>
    <x v="30"/>
    <x v="2"/>
    <x v="0"/>
    <x v="2"/>
    <x v="0"/>
    <x v="6"/>
    <x v="3"/>
    <x v="4"/>
    <x v="2"/>
  </r>
  <r>
    <s v="TX500713"/>
    <x v="16"/>
    <x v="1"/>
    <n v="48.6"/>
    <x v="451"/>
    <x v="30"/>
    <x v="32"/>
    <x v="1"/>
    <x v="1"/>
    <x v="2"/>
    <x v="0"/>
    <x v="6"/>
    <x v="5"/>
    <x v="4"/>
    <x v="1"/>
  </r>
  <r>
    <s v="TX500714"/>
    <x v="2"/>
    <x v="1"/>
    <n v="61.1"/>
    <x v="641"/>
    <x v="30"/>
    <x v="34"/>
    <x v="2"/>
    <x v="1"/>
    <x v="2"/>
    <x v="0"/>
    <x v="7"/>
    <x v="2"/>
    <x v="4"/>
    <x v="2"/>
  </r>
  <r>
    <s v="TX500715"/>
    <x v="8"/>
    <x v="1"/>
    <n v="23.2"/>
    <x v="434"/>
    <x v="30"/>
    <x v="30"/>
    <x v="1"/>
    <x v="3"/>
    <x v="2"/>
    <x v="0"/>
    <x v="8"/>
    <x v="3"/>
    <x v="4"/>
    <x v="1"/>
  </r>
  <r>
    <s v="TX500716"/>
    <x v="12"/>
    <x v="12"/>
    <n v="55.8"/>
    <x v="642"/>
    <x v="30"/>
    <x v="30"/>
    <x v="1"/>
    <x v="0"/>
    <x v="0"/>
    <x v="0"/>
    <x v="8"/>
    <x v="3"/>
    <x v="4"/>
    <x v="1"/>
  </r>
  <r>
    <s v="TX500717"/>
    <x v="9"/>
    <x v="12"/>
    <n v="24.8"/>
    <x v="643"/>
    <x v="30"/>
    <x v="30"/>
    <x v="2"/>
    <x v="0"/>
    <x v="2"/>
    <x v="0"/>
    <x v="8"/>
    <x v="3"/>
    <x v="4"/>
    <x v="2"/>
  </r>
  <r>
    <s v="TX500718"/>
    <x v="10"/>
    <x v="1"/>
    <n v="27.9"/>
    <x v="391"/>
    <x v="30"/>
    <x v="27"/>
    <x v="1"/>
    <x v="2"/>
    <x v="2"/>
    <x v="0"/>
    <x v="8"/>
    <x v="7"/>
    <x v="4"/>
    <x v="1"/>
  </r>
  <r>
    <s v="TX500719"/>
    <x v="10"/>
    <x v="13"/>
    <n v="51.1"/>
    <x v="567"/>
    <x v="30"/>
    <x v="27"/>
    <x v="2"/>
    <x v="3"/>
    <x v="0"/>
    <x v="0"/>
    <x v="8"/>
    <x v="7"/>
    <x v="4"/>
    <x v="2"/>
  </r>
  <r>
    <s v="TX500720"/>
    <x v="17"/>
    <x v="5"/>
    <n v="32.700000000000003"/>
    <x v="644"/>
    <x v="30"/>
    <x v="30"/>
    <x v="1"/>
    <x v="4"/>
    <x v="2"/>
    <x v="0"/>
    <x v="17"/>
    <x v="3"/>
    <x v="4"/>
    <x v="1"/>
  </r>
  <r>
    <s v="TX500721"/>
    <x v="8"/>
    <x v="12"/>
    <n v="22.5"/>
    <x v="645"/>
    <x v="30"/>
    <x v="27"/>
    <x v="1"/>
    <x v="0"/>
    <x v="2"/>
    <x v="0"/>
    <x v="26"/>
    <x v="7"/>
    <x v="4"/>
    <x v="1"/>
  </r>
  <r>
    <s v="TX500722"/>
    <x v="0"/>
    <x v="3"/>
    <n v="14.6"/>
    <x v="646"/>
    <x v="30"/>
    <x v="30"/>
    <x v="2"/>
    <x v="2"/>
    <x v="0"/>
    <x v="0"/>
    <x v="41"/>
    <x v="3"/>
    <x v="4"/>
    <x v="2"/>
  </r>
  <r>
    <s v="TX500723"/>
    <x v="5"/>
    <x v="2"/>
    <n v="32.5"/>
    <x v="647"/>
    <x v="30"/>
    <x v="34"/>
    <x v="1"/>
    <x v="0"/>
    <x v="0"/>
    <x v="0"/>
    <x v="10"/>
    <x v="2"/>
    <x v="4"/>
    <x v="1"/>
  </r>
  <r>
    <s v="TX500724"/>
    <x v="18"/>
    <x v="0"/>
    <n v="78.099999999999994"/>
    <x v="648"/>
    <x v="30"/>
    <x v="34"/>
    <x v="1"/>
    <x v="0"/>
    <x v="2"/>
    <x v="0"/>
    <x v="11"/>
    <x v="2"/>
    <x v="4"/>
    <x v="1"/>
  </r>
  <r>
    <s v="TX500725"/>
    <x v="12"/>
    <x v="13"/>
    <n v="110.2"/>
    <x v="649"/>
    <x v="30"/>
    <x v="27"/>
    <x v="1"/>
    <x v="1"/>
    <x v="4"/>
    <x v="0"/>
    <x v="13"/>
    <x v="7"/>
    <x v="4"/>
    <x v="1"/>
  </r>
  <r>
    <s v="TX500726"/>
    <x v="6"/>
    <x v="2"/>
    <n v="86.3"/>
    <x v="650"/>
    <x v="30"/>
    <x v="33"/>
    <x v="2"/>
    <x v="3"/>
    <x v="0"/>
    <x v="0"/>
    <x v="21"/>
    <x v="1"/>
    <x v="4"/>
    <x v="2"/>
  </r>
  <r>
    <s v="TX500727"/>
    <x v="1"/>
    <x v="13"/>
    <n v="73.599999999999994"/>
    <x v="651"/>
    <x v="30"/>
    <x v="33"/>
    <x v="3"/>
    <x v="3"/>
    <x v="4"/>
    <x v="0"/>
    <x v="44"/>
    <x v="1"/>
    <x v="4"/>
    <x v="3"/>
  </r>
  <r>
    <s v="TX500728"/>
    <x v="6"/>
    <x v="15"/>
    <n v="67.7"/>
    <x v="652"/>
    <x v="30"/>
    <x v="33"/>
    <x v="2"/>
    <x v="0"/>
    <x v="2"/>
    <x v="0"/>
    <x v="3"/>
    <x v="1"/>
    <x v="4"/>
    <x v="2"/>
  </r>
  <r>
    <s v="TX500729"/>
    <x v="7"/>
    <x v="13"/>
    <n v="142.19999999999999"/>
    <x v="653"/>
    <x v="30"/>
    <x v="30"/>
    <x v="2"/>
    <x v="2"/>
    <x v="4"/>
    <x v="0"/>
    <x v="3"/>
    <x v="3"/>
    <x v="4"/>
    <x v="2"/>
  </r>
  <r>
    <s v="TX500730"/>
    <x v="1"/>
    <x v="11"/>
    <n v="45.8"/>
    <x v="654"/>
    <x v="30"/>
    <x v="33"/>
    <x v="2"/>
    <x v="1"/>
    <x v="2"/>
    <x v="0"/>
    <x v="3"/>
    <x v="1"/>
    <x v="4"/>
    <x v="2"/>
  </r>
  <r>
    <s v="TX500731"/>
    <x v="10"/>
    <x v="1"/>
    <n v="24.2"/>
    <x v="655"/>
    <x v="31"/>
    <x v="32"/>
    <x v="2"/>
    <x v="3"/>
    <x v="2"/>
    <x v="0"/>
    <x v="3"/>
    <x v="2"/>
    <x v="4"/>
    <x v="2"/>
  </r>
  <r>
    <s v="TX500732"/>
    <x v="2"/>
    <x v="2"/>
    <n v="144.9"/>
    <x v="656"/>
    <x v="31"/>
    <x v="33"/>
    <x v="3"/>
    <x v="2"/>
    <x v="2"/>
    <x v="0"/>
    <x v="3"/>
    <x v="3"/>
    <x v="4"/>
    <x v="3"/>
  </r>
  <r>
    <s v="TX500733"/>
    <x v="11"/>
    <x v="9"/>
    <n v="32.799999999999997"/>
    <x v="657"/>
    <x v="31"/>
    <x v="32"/>
    <x v="2"/>
    <x v="2"/>
    <x v="0"/>
    <x v="0"/>
    <x v="23"/>
    <x v="2"/>
    <x v="4"/>
    <x v="2"/>
  </r>
  <r>
    <s v="TX500734"/>
    <x v="7"/>
    <x v="7"/>
    <n v="35.700000000000003"/>
    <x v="658"/>
    <x v="31"/>
    <x v="30"/>
    <x v="2"/>
    <x v="0"/>
    <x v="1"/>
    <x v="0"/>
    <x v="6"/>
    <x v="7"/>
    <x v="4"/>
    <x v="2"/>
  </r>
  <r>
    <s v="TX500735"/>
    <x v="9"/>
    <x v="1"/>
    <n v="54.6"/>
    <x v="659"/>
    <x v="31"/>
    <x v="33"/>
    <x v="2"/>
    <x v="2"/>
    <x v="0"/>
    <x v="0"/>
    <x v="6"/>
    <x v="3"/>
    <x v="4"/>
    <x v="2"/>
  </r>
  <r>
    <s v="TX500736"/>
    <x v="8"/>
    <x v="1"/>
    <n v="35.700000000000003"/>
    <x v="660"/>
    <x v="31"/>
    <x v="32"/>
    <x v="0"/>
    <x v="0"/>
    <x v="1"/>
    <x v="0"/>
    <x v="6"/>
    <x v="2"/>
    <x v="4"/>
    <x v="0"/>
  </r>
  <r>
    <s v="TX500737"/>
    <x v="10"/>
    <x v="1"/>
    <n v="52.4"/>
    <x v="661"/>
    <x v="31"/>
    <x v="30"/>
    <x v="2"/>
    <x v="0"/>
    <x v="3"/>
    <x v="0"/>
    <x v="6"/>
    <x v="7"/>
    <x v="4"/>
    <x v="2"/>
  </r>
  <r>
    <s v="TX500738"/>
    <x v="8"/>
    <x v="21"/>
    <n v="16.2"/>
    <x v="662"/>
    <x v="31"/>
    <x v="33"/>
    <x v="0"/>
    <x v="0"/>
    <x v="1"/>
    <x v="0"/>
    <x v="8"/>
    <x v="3"/>
    <x v="4"/>
    <x v="0"/>
  </r>
  <r>
    <s v="TX500739"/>
    <x v="6"/>
    <x v="35"/>
    <n v="42.8"/>
    <x v="663"/>
    <x v="31"/>
    <x v="33"/>
    <x v="2"/>
    <x v="0"/>
    <x v="0"/>
    <x v="0"/>
    <x v="8"/>
    <x v="3"/>
    <x v="4"/>
    <x v="2"/>
  </r>
  <r>
    <s v="TX500740"/>
    <x v="6"/>
    <x v="11"/>
    <n v="144.4"/>
    <x v="664"/>
    <x v="31"/>
    <x v="32"/>
    <x v="2"/>
    <x v="4"/>
    <x v="0"/>
    <x v="0"/>
    <x v="8"/>
    <x v="2"/>
    <x v="4"/>
    <x v="2"/>
  </r>
  <r>
    <s v="TX500741"/>
    <x v="3"/>
    <x v="34"/>
    <n v="30.6"/>
    <x v="665"/>
    <x v="31"/>
    <x v="36"/>
    <x v="2"/>
    <x v="2"/>
    <x v="2"/>
    <x v="0"/>
    <x v="11"/>
    <x v="5"/>
    <x v="4"/>
    <x v="2"/>
  </r>
  <r>
    <s v="TX500742"/>
    <x v="2"/>
    <x v="1"/>
    <n v="117.5"/>
    <x v="666"/>
    <x v="31"/>
    <x v="33"/>
    <x v="1"/>
    <x v="0"/>
    <x v="0"/>
    <x v="0"/>
    <x v="19"/>
    <x v="3"/>
    <x v="4"/>
    <x v="1"/>
  </r>
  <r>
    <s v="TX500743"/>
    <x v="6"/>
    <x v="1"/>
    <n v="105.7"/>
    <x v="667"/>
    <x v="31"/>
    <x v="33"/>
    <x v="2"/>
    <x v="2"/>
    <x v="2"/>
    <x v="0"/>
    <x v="21"/>
    <x v="3"/>
    <x v="4"/>
    <x v="2"/>
  </r>
  <r>
    <s v="TX500744"/>
    <x v="3"/>
    <x v="2"/>
    <n v="133.69999999999999"/>
    <x v="668"/>
    <x v="31"/>
    <x v="33"/>
    <x v="0"/>
    <x v="4"/>
    <x v="2"/>
    <x v="0"/>
    <x v="21"/>
    <x v="3"/>
    <x v="4"/>
    <x v="0"/>
  </r>
  <r>
    <s v="TX500745"/>
    <x v="4"/>
    <x v="9"/>
    <n v="46.8"/>
    <x v="540"/>
    <x v="32"/>
    <x v="37"/>
    <x v="2"/>
    <x v="0"/>
    <x v="1"/>
    <x v="0"/>
    <x v="21"/>
    <x v="9"/>
    <x v="5"/>
    <x v="2"/>
  </r>
  <r>
    <s v="TX500746"/>
    <x v="10"/>
    <x v="2"/>
    <n v="58.4"/>
    <x v="122"/>
    <x v="32"/>
    <x v="32"/>
    <x v="2"/>
    <x v="0"/>
    <x v="0"/>
    <x v="0"/>
    <x v="1"/>
    <x v="1"/>
    <x v="5"/>
    <x v="2"/>
  </r>
  <r>
    <s v="TX500747"/>
    <x v="6"/>
    <x v="11"/>
    <n v="65.099999999999994"/>
    <x v="669"/>
    <x v="32"/>
    <x v="38"/>
    <x v="1"/>
    <x v="1"/>
    <x v="2"/>
    <x v="0"/>
    <x v="22"/>
    <x v="5"/>
    <x v="5"/>
    <x v="1"/>
  </r>
  <r>
    <s v="TX500748"/>
    <x v="8"/>
    <x v="0"/>
    <n v="18.600000000000001"/>
    <x v="670"/>
    <x v="32"/>
    <x v="36"/>
    <x v="2"/>
    <x v="0"/>
    <x v="4"/>
    <x v="0"/>
    <x v="22"/>
    <x v="2"/>
    <x v="5"/>
    <x v="2"/>
  </r>
  <r>
    <s v="TX500749"/>
    <x v="1"/>
    <x v="5"/>
    <n v="92.3"/>
    <x v="671"/>
    <x v="32"/>
    <x v="32"/>
    <x v="1"/>
    <x v="1"/>
    <x v="0"/>
    <x v="0"/>
    <x v="3"/>
    <x v="1"/>
    <x v="5"/>
    <x v="1"/>
  </r>
  <r>
    <s v="TX500750"/>
    <x v="6"/>
    <x v="2"/>
    <n v="81.7"/>
    <x v="672"/>
    <x v="32"/>
    <x v="34"/>
    <x v="0"/>
    <x v="4"/>
    <x v="4"/>
    <x v="0"/>
    <x v="3"/>
    <x v="3"/>
    <x v="5"/>
    <x v="0"/>
  </r>
  <r>
    <s v="TX500751"/>
    <x v="8"/>
    <x v="1"/>
    <n v="40.9"/>
    <x v="673"/>
    <x v="32"/>
    <x v="32"/>
    <x v="1"/>
    <x v="0"/>
    <x v="1"/>
    <x v="0"/>
    <x v="3"/>
    <x v="1"/>
    <x v="5"/>
    <x v="1"/>
  </r>
  <r>
    <s v="TX500752"/>
    <x v="6"/>
    <x v="12"/>
    <n v="43.2"/>
    <x v="162"/>
    <x v="32"/>
    <x v="39"/>
    <x v="2"/>
    <x v="0"/>
    <x v="1"/>
    <x v="0"/>
    <x v="3"/>
    <x v="4"/>
    <x v="5"/>
    <x v="2"/>
  </r>
  <r>
    <s v="TX500753"/>
    <x v="8"/>
    <x v="5"/>
    <n v="25.8"/>
    <x v="674"/>
    <x v="32"/>
    <x v="36"/>
    <x v="1"/>
    <x v="2"/>
    <x v="1"/>
    <x v="0"/>
    <x v="3"/>
    <x v="2"/>
    <x v="5"/>
    <x v="1"/>
  </r>
  <r>
    <s v="TX500754"/>
    <x v="15"/>
    <x v="12"/>
    <n v="36.4"/>
    <x v="675"/>
    <x v="32"/>
    <x v="34"/>
    <x v="1"/>
    <x v="0"/>
    <x v="0"/>
    <x v="0"/>
    <x v="3"/>
    <x v="3"/>
    <x v="5"/>
    <x v="1"/>
  </r>
  <r>
    <s v="TX500755"/>
    <x v="10"/>
    <x v="0"/>
    <n v="59.1"/>
    <x v="676"/>
    <x v="32"/>
    <x v="34"/>
    <x v="2"/>
    <x v="2"/>
    <x v="0"/>
    <x v="0"/>
    <x v="7"/>
    <x v="3"/>
    <x v="5"/>
    <x v="2"/>
  </r>
  <r>
    <s v="TX500756"/>
    <x v="2"/>
    <x v="14"/>
    <n v="74.5"/>
    <x v="677"/>
    <x v="32"/>
    <x v="32"/>
    <x v="1"/>
    <x v="4"/>
    <x v="0"/>
    <x v="0"/>
    <x v="18"/>
    <x v="1"/>
    <x v="5"/>
    <x v="1"/>
  </r>
  <r>
    <s v="TX500757"/>
    <x v="5"/>
    <x v="0"/>
    <n v="72.8"/>
    <x v="236"/>
    <x v="32"/>
    <x v="34"/>
    <x v="2"/>
    <x v="0"/>
    <x v="1"/>
    <x v="0"/>
    <x v="19"/>
    <x v="3"/>
    <x v="5"/>
    <x v="2"/>
  </r>
  <r>
    <s v="TX500758"/>
    <x v="6"/>
    <x v="12"/>
    <n v="137.30000000000001"/>
    <x v="678"/>
    <x v="32"/>
    <x v="36"/>
    <x v="2"/>
    <x v="0"/>
    <x v="0"/>
    <x v="0"/>
    <x v="13"/>
    <x v="2"/>
    <x v="5"/>
    <x v="2"/>
  </r>
  <r>
    <s v="TX500759"/>
    <x v="1"/>
    <x v="2"/>
    <n v="48.7"/>
    <x v="599"/>
    <x v="32"/>
    <x v="31"/>
    <x v="2"/>
    <x v="0"/>
    <x v="1"/>
    <x v="0"/>
    <x v="21"/>
    <x v="0"/>
    <x v="5"/>
    <x v="2"/>
  </r>
  <r>
    <s v="TX500760"/>
    <x v="6"/>
    <x v="12"/>
    <n v="53.7"/>
    <x v="679"/>
    <x v="32"/>
    <x v="38"/>
    <x v="1"/>
    <x v="1"/>
    <x v="4"/>
    <x v="0"/>
    <x v="2"/>
    <x v="5"/>
    <x v="5"/>
    <x v="1"/>
  </r>
  <r>
    <s v="TX500761"/>
    <x v="2"/>
    <x v="3"/>
    <n v="100.9"/>
    <x v="680"/>
    <x v="32"/>
    <x v="32"/>
    <x v="2"/>
    <x v="0"/>
    <x v="1"/>
    <x v="0"/>
    <x v="2"/>
    <x v="1"/>
    <x v="5"/>
    <x v="2"/>
  </r>
  <r>
    <s v="TX500762"/>
    <x v="10"/>
    <x v="1"/>
    <n v="41.8"/>
    <x v="681"/>
    <x v="32"/>
    <x v="38"/>
    <x v="1"/>
    <x v="3"/>
    <x v="2"/>
    <x v="0"/>
    <x v="22"/>
    <x v="5"/>
    <x v="5"/>
    <x v="1"/>
  </r>
  <r>
    <s v="TX500763"/>
    <x v="4"/>
    <x v="8"/>
    <n v="28.5"/>
    <x v="416"/>
    <x v="32"/>
    <x v="32"/>
    <x v="1"/>
    <x v="2"/>
    <x v="1"/>
    <x v="0"/>
    <x v="3"/>
    <x v="1"/>
    <x v="5"/>
    <x v="1"/>
  </r>
  <r>
    <s v="TX500764"/>
    <x v="7"/>
    <x v="12"/>
    <n v="88.9"/>
    <x v="682"/>
    <x v="32"/>
    <x v="36"/>
    <x v="2"/>
    <x v="0"/>
    <x v="2"/>
    <x v="0"/>
    <x v="3"/>
    <x v="2"/>
    <x v="5"/>
    <x v="2"/>
  </r>
  <r>
    <s v="TX500765"/>
    <x v="6"/>
    <x v="0"/>
    <n v="62.5"/>
    <x v="683"/>
    <x v="32"/>
    <x v="40"/>
    <x v="2"/>
    <x v="0"/>
    <x v="2"/>
    <x v="0"/>
    <x v="3"/>
    <x v="8"/>
    <x v="5"/>
    <x v="2"/>
  </r>
  <r>
    <s v="TX500766"/>
    <x v="1"/>
    <x v="2"/>
    <n v="46.9"/>
    <x v="684"/>
    <x v="32"/>
    <x v="34"/>
    <x v="1"/>
    <x v="0"/>
    <x v="2"/>
    <x v="0"/>
    <x v="3"/>
    <x v="3"/>
    <x v="5"/>
    <x v="1"/>
  </r>
  <r>
    <s v="TX500767"/>
    <x v="8"/>
    <x v="2"/>
    <n v="45"/>
    <x v="340"/>
    <x v="32"/>
    <x v="41"/>
    <x v="1"/>
    <x v="1"/>
    <x v="0"/>
    <x v="0"/>
    <x v="3"/>
    <x v="12"/>
    <x v="5"/>
    <x v="1"/>
  </r>
  <r>
    <s v="TX500768"/>
    <x v="6"/>
    <x v="2"/>
    <n v="45.2"/>
    <x v="685"/>
    <x v="32"/>
    <x v="32"/>
    <x v="1"/>
    <x v="4"/>
    <x v="2"/>
    <x v="0"/>
    <x v="3"/>
    <x v="1"/>
    <x v="5"/>
    <x v="1"/>
  </r>
  <r>
    <s v="TX500769"/>
    <x v="4"/>
    <x v="1"/>
    <n v="60.1"/>
    <x v="493"/>
    <x v="32"/>
    <x v="34"/>
    <x v="2"/>
    <x v="0"/>
    <x v="2"/>
    <x v="0"/>
    <x v="3"/>
    <x v="3"/>
    <x v="5"/>
    <x v="2"/>
  </r>
  <r>
    <s v="TX500770"/>
    <x v="12"/>
    <x v="12"/>
    <n v="118.7"/>
    <x v="686"/>
    <x v="32"/>
    <x v="32"/>
    <x v="2"/>
    <x v="0"/>
    <x v="0"/>
    <x v="0"/>
    <x v="3"/>
    <x v="1"/>
    <x v="5"/>
    <x v="2"/>
  </r>
  <r>
    <s v="TX500771"/>
    <x v="9"/>
    <x v="0"/>
    <n v="57.8"/>
    <x v="687"/>
    <x v="32"/>
    <x v="40"/>
    <x v="2"/>
    <x v="1"/>
    <x v="0"/>
    <x v="0"/>
    <x v="3"/>
    <x v="8"/>
    <x v="5"/>
    <x v="2"/>
  </r>
  <r>
    <s v="TX500772"/>
    <x v="4"/>
    <x v="0"/>
    <n v="19.5"/>
    <x v="688"/>
    <x v="32"/>
    <x v="34"/>
    <x v="1"/>
    <x v="1"/>
    <x v="1"/>
    <x v="0"/>
    <x v="3"/>
    <x v="3"/>
    <x v="5"/>
    <x v="1"/>
  </r>
  <r>
    <s v="TX500773"/>
    <x v="12"/>
    <x v="0"/>
    <n v="42.6"/>
    <x v="440"/>
    <x v="32"/>
    <x v="34"/>
    <x v="1"/>
    <x v="0"/>
    <x v="1"/>
    <x v="0"/>
    <x v="3"/>
    <x v="3"/>
    <x v="5"/>
    <x v="1"/>
  </r>
  <r>
    <s v="TX500774"/>
    <x v="6"/>
    <x v="1"/>
    <n v="74.8"/>
    <x v="689"/>
    <x v="32"/>
    <x v="34"/>
    <x v="2"/>
    <x v="3"/>
    <x v="2"/>
    <x v="0"/>
    <x v="37"/>
    <x v="3"/>
    <x v="5"/>
    <x v="2"/>
  </r>
  <r>
    <s v="TX500775"/>
    <x v="8"/>
    <x v="2"/>
    <n v="32.5"/>
    <x v="647"/>
    <x v="32"/>
    <x v="34"/>
    <x v="1"/>
    <x v="2"/>
    <x v="4"/>
    <x v="0"/>
    <x v="16"/>
    <x v="3"/>
    <x v="5"/>
    <x v="1"/>
  </r>
  <r>
    <s v="TX500776"/>
    <x v="2"/>
    <x v="2"/>
    <n v="60.5"/>
    <x v="690"/>
    <x v="32"/>
    <x v="33"/>
    <x v="2"/>
    <x v="1"/>
    <x v="2"/>
    <x v="0"/>
    <x v="25"/>
    <x v="7"/>
    <x v="5"/>
    <x v="2"/>
  </r>
  <r>
    <s v="TX500777"/>
    <x v="1"/>
    <x v="3"/>
    <n v="57.2"/>
    <x v="691"/>
    <x v="32"/>
    <x v="32"/>
    <x v="0"/>
    <x v="2"/>
    <x v="0"/>
    <x v="0"/>
    <x v="25"/>
    <x v="1"/>
    <x v="5"/>
    <x v="0"/>
  </r>
  <r>
    <s v="TX500778"/>
    <x v="16"/>
    <x v="1"/>
    <n v="112"/>
    <x v="692"/>
    <x v="32"/>
    <x v="34"/>
    <x v="2"/>
    <x v="1"/>
    <x v="1"/>
    <x v="0"/>
    <x v="5"/>
    <x v="3"/>
    <x v="5"/>
    <x v="2"/>
  </r>
  <r>
    <s v="TX500779"/>
    <x v="7"/>
    <x v="7"/>
    <n v="49"/>
    <x v="157"/>
    <x v="32"/>
    <x v="34"/>
    <x v="3"/>
    <x v="2"/>
    <x v="1"/>
    <x v="0"/>
    <x v="6"/>
    <x v="3"/>
    <x v="5"/>
    <x v="3"/>
  </r>
  <r>
    <s v="TX500780"/>
    <x v="0"/>
    <x v="1"/>
    <n v="33.700000000000003"/>
    <x v="693"/>
    <x v="32"/>
    <x v="38"/>
    <x v="2"/>
    <x v="3"/>
    <x v="0"/>
    <x v="0"/>
    <x v="6"/>
    <x v="5"/>
    <x v="5"/>
    <x v="2"/>
  </r>
  <r>
    <s v="TX500781"/>
    <x v="4"/>
    <x v="2"/>
    <n v="35.6"/>
    <x v="694"/>
    <x v="32"/>
    <x v="36"/>
    <x v="2"/>
    <x v="0"/>
    <x v="2"/>
    <x v="0"/>
    <x v="6"/>
    <x v="2"/>
    <x v="5"/>
    <x v="2"/>
  </r>
  <r>
    <s v="TX500782"/>
    <x v="4"/>
    <x v="36"/>
    <n v="30.4"/>
    <x v="695"/>
    <x v="33"/>
    <x v="34"/>
    <x v="2"/>
    <x v="0"/>
    <x v="1"/>
    <x v="0"/>
    <x v="7"/>
    <x v="7"/>
    <x v="5"/>
    <x v="2"/>
  </r>
  <r>
    <s v="TX500783"/>
    <x v="10"/>
    <x v="4"/>
    <n v="50.2"/>
    <x v="696"/>
    <x v="33"/>
    <x v="32"/>
    <x v="1"/>
    <x v="4"/>
    <x v="0"/>
    <x v="0"/>
    <x v="8"/>
    <x v="3"/>
    <x v="5"/>
    <x v="1"/>
  </r>
  <r>
    <s v="TX500784"/>
    <x v="1"/>
    <x v="1"/>
    <n v="43.7"/>
    <x v="697"/>
    <x v="33"/>
    <x v="36"/>
    <x v="2"/>
    <x v="0"/>
    <x v="0"/>
    <x v="0"/>
    <x v="8"/>
    <x v="1"/>
    <x v="5"/>
    <x v="2"/>
  </r>
  <r>
    <s v="TX500785"/>
    <x v="10"/>
    <x v="0"/>
    <n v="33.299999999999997"/>
    <x v="698"/>
    <x v="33"/>
    <x v="32"/>
    <x v="2"/>
    <x v="2"/>
    <x v="1"/>
    <x v="0"/>
    <x v="8"/>
    <x v="3"/>
    <x v="5"/>
    <x v="2"/>
  </r>
  <r>
    <s v="TX500786"/>
    <x v="8"/>
    <x v="12"/>
    <n v="15.1"/>
    <x v="266"/>
    <x v="33"/>
    <x v="36"/>
    <x v="2"/>
    <x v="4"/>
    <x v="2"/>
    <x v="0"/>
    <x v="8"/>
    <x v="1"/>
    <x v="5"/>
    <x v="2"/>
  </r>
  <r>
    <s v="TX500787"/>
    <x v="6"/>
    <x v="9"/>
    <n v="118.2"/>
    <x v="699"/>
    <x v="33"/>
    <x v="32"/>
    <x v="2"/>
    <x v="3"/>
    <x v="4"/>
    <x v="0"/>
    <x v="8"/>
    <x v="3"/>
    <x v="5"/>
    <x v="2"/>
  </r>
  <r>
    <s v="TX500788"/>
    <x v="10"/>
    <x v="2"/>
    <n v="28.9"/>
    <x v="700"/>
    <x v="33"/>
    <x v="36"/>
    <x v="2"/>
    <x v="2"/>
    <x v="1"/>
    <x v="0"/>
    <x v="8"/>
    <x v="1"/>
    <x v="5"/>
    <x v="2"/>
  </r>
  <r>
    <s v="TX500789"/>
    <x v="4"/>
    <x v="2"/>
    <n v="55.6"/>
    <x v="701"/>
    <x v="33"/>
    <x v="32"/>
    <x v="1"/>
    <x v="0"/>
    <x v="1"/>
    <x v="0"/>
    <x v="8"/>
    <x v="3"/>
    <x v="5"/>
    <x v="1"/>
  </r>
  <r>
    <s v="TX500790"/>
    <x v="9"/>
    <x v="12"/>
    <n v="25.6"/>
    <x v="298"/>
    <x v="33"/>
    <x v="36"/>
    <x v="2"/>
    <x v="0"/>
    <x v="1"/>
    <x v="0"/>
    <x v="8"/>
    <x v="1"/>
    <x v="5"/>
    <x v="2"/>
  </r>
  <r>
    <s v="TX500791"/>
    <x v="7"/>
    <x v="2"/>
    <n v="31.3"/>
    <x v="442"/>
    <x v="33"/>
    <x v="32"/>
    <x v="1"/>
    <x v="0"/>
    <x v="0"/>
    <x v="0"/>
    <x v="17"/>
    <x v="3"/>
    <x v="5"/>
    <x v="1"/>
  </r>
  <r>
    <s v="TX500792"/>
    <x v="0"/>
    <x v="2"/>
    <n v="22.1"/>
    <x v="702"/>
    <x v="33"/>
    <x v="31"/>
    <x v="1"/>
    <x v="0"/>
    <x v="0"/>
    <x v="0"/>
    <x v="17"/>
    <x v="5"/>
    <x v="5"/>
    <x v="1"/>
  </r>
  <r>
    <s v="TX500793"/>
    <x v="2"/>
    <x v="21"/>
    <n v="99.4"/>
    <x v="703"/>
    <x v="33"/>
    <x v="32"/>
    <x v="1"/>
    <x v="1"/>
    <x v="0"/>
    <x v="0"/>
    <x v="11"/>
    <x v="3"/>
    <x v="5"/>
    <x v="1"/>
  </r>
  <r>
    <s v="TX500794"/>
    <x v="7"/>
    <x v="13"/>
    <n v="66.599999999999994"/>
    <x v="704"/>
    <x v="33"/>
    <x v="32"/>
    <x v="2"/>
    <x v="0"/>
    <x v="0"/>
    <x v="0"/>
    <x v="11"/>
    <x v="3"/>
    <x v="5"/>
    <x v="2"/>
  </r>
  <r>
    <s v="TX500795"/>
    <x v="8"/>
    <x v="1"/>
    <n v="22.6"/>
    <x v="705"/>
    <x v="33"/>
    <x v="38"/>
    <x v="1"/>
    <x v="0"/>
    <x v="0"/>
    <x v="0"/>
    <x v="11"/>
    <x v="2"/>
    <x v="5"/>
    <x v="1"/>
  </r>
  <r>
    <s v="TX500796"/>
    <x v="2"/>
    <x v="16"/>
    <n v="66.8"/>
    <x v="706"/>
    <x v="33"/>
    <x v="32"/>
    <x v="2"/>
    <x v="0"/>
    <x v="4"/>
    <x v="0"/>
    <x v="13"/>
    <x v="3"/>
    <x v="5"/>
    <x v="2"/>
  </r>
  <r>
    <s v="TX500797"/>
    <x v="0"/>
    <x v="12"/>
    <n v="20.8"/>
    <x v="707"/>
    <x v="33"/>
    <x v="37"/>
    <x v="1"/>
    <x v="1"/>
    <x v="4"/>
    <x v="0"/>
    <x v="1"/>
    <x v="6"/>
    <x v="5"/>
    <x v="1"/>
  </r>
  <r>
    <s v="TX500798"/>
    <x v="2"/>
    <x v="3"/>
    <n v="102.5"/>
    <x v="708"/>
    <x v="33"/>
    <x v="32"/>
    <x v="2"/>
    <x v="4"/>
    <x v="2"/>
    <x v="0"/>
    <x v="3"/>
    <x v="3"/>
    <x v="5"/>
    <x v="2"/>
  </r>
  <r>
    <s v="TX500799"/>
    <x v="0"/>
    <x v="16"/>
    <n v="24.8"/>
    <x v="709"/>
    <x v="33"/>
    <x v="31"/>
    <x v="2"/>
    <x v="0"/>
    <x v="0"/>
    <x v="0"/>
    <x v="3"/>
    <x v="5"/>
    <x v="5"/>
    <x v="2"/>
  </r>
  <r>
    <s v="TX500800"/>
    <x v="4"/>
    <x v="37"/>
    <n v="31.4"/>
    <x v="710"/>
    <x v="33"/>
    <x v="32"/>
    <x v="2"/>
    <x v="3"/>
    <x v="0"/>
    <x v="0"/>
    <x v="3"/>
    <x v="3"/>
    <x v="5"/>
    <x v="2"/>
  </r>
  <r>
    <s v="TX500801"/>
    <x v="9"/>
    <x v="9"/>
    <n v="59.3"/>
    <x v="711"/>
    <x v="33"/>
    <x v="38"/>
    <x v="1"/>
    <x v="1"/>
    <x v="2"/>
    <x v="0"/>
    <x v="43"/>
    <x v="2"/>
    <x v="5"/>
    <x v="1"/>
  </r>
  <r>
    <s v="TX500802"/>
    <x v="11"/>
    <x v="13"/>
    <n v="39"/>
    <x v="540"/>
    <x v="33"/>
    <x v="38"/>
    <x v="1"/>
    <x v="1"/>
    <x v="0"/>
    <x v="0"/>
    <x v="6"/>
    <x v="2"/>
    <x v="5"/>
    <x v="1"/>
  </r>
  <r>
    <s v="TX500803"/>
    <x v="5"/>
    <x v="13"/>
    <n v="98.6"/>
    <x v="712"/>
    <x v="33"/>
    <x v="36"/>
    <x v="2"/>
    <x v="1"/>
    <x v="0"/>
    <x v="0"/>
    <x v="6"/>
    <x v="1"/>
    <x v="5"/>
    <x v="2"/>
  </r>
  <r>
    <s v="TX500804"/>
    <x v="8"/>
    <x v="0"/>
    <n v="20"/>
    <x v="614"/>
    <x v="34"/>
    <x v="36"/>
    <x v="1"/>
    <x v="3"/>
    <x v="2"/>
    <x v="0"/>
    <x v="8"/>
    <x v="3"/>
    <x v="5"/>
    <x v="1"/>
  </r>
  <r>
    <s v="TX500805"/>
    <x v="1"/>
    <x v="1"/>
    <n v="42.9"/>
    <x v="550"/>
    <x v="34"/>
    <x v="38"/>
    <x v="2"/>
    <x v="0"/>
    <x v="2"/>
    <x v="0"/>
    <x v="8"/>
    <x v="1"/>
    <x v="5"/>
    <x v="2"/>
  </r>
  <r>
    <s v="TX500806"/>
    <x v="7"/>
    <x v="3"/>
    <n v="55.6"/>
    <x v="713"/>
    <x v="34"/>
    <x v="38"/>
    <x v="2"/>
    <x v="2"/>
    <x v="1"/>
    <x v="0"/>
    <x v="8"/>
    <x v="1"/>
    <x v="5"/>
    <x v="2"/>
  </r>
  <r>
    <s v="TX500807"/>
    <x v="8"/>
    <x v="12"/>
    <n v="19.2"/>
    <x v="714"/>
    <x v="34"/>
    <x v="35"/>
    <x v="2"/>
    <x v="0"/>
    <x v="0"/>
    <x v="0"/>
    <x v="41"/>
    <x v="0"/>
    <x v="5"/>
    <x v="2"/>
  </r>
  <r>
    <s v="TX500808"/>
    <x v="5"/>
    <x v="1"/>
    <n v="28.8"/>
    <x v="636"/>
    <x v="34"/>
    <x v="38"/>
    <x v="1"/>
    <x v="1"/>
    <x v="0"/>
    <x v="0"/>
    <x v="18"/>
    <x v="1"/>
    <x v="5"/>
    <x v="1"/>
  </r>
  <r>
    <s v="TX500809"/>
    <x v="4"/>
    <x v="0"/>
    <n v="29.7"/>
    <x v="47"/>
    <x v="34"/>
    <x v="38"/>
    <x v="2"/>
    <x v="2"/>
    <x v="4"/>
    <x v="0"/>
    <x v="20"/>
    <x v="1"/>
    <x v="5"/>
    <x v="2"/>
  </r>
  <r>
    <s v="TX500810"/>
    <x v="6"/>
    <x v="13"/>
    <n v="63.3"/>
    <x v="715"/>
    <x v="34"/>
    <x v="36"/>
    <x v="0"/>
    <x v="0"/>
    <x v="2"/>
    <x v="0"/>
    <x v="21"/>
    <x v="3"/>
    <x v="5"/>
    <x v="0"/>
  </r>
  <r>
    <s v="TX500811"/>
    <x v="4"/>
    <x v="0"/>
    <n v="46"/>
    <x v="716"/>
    <x v="34"/>
    <x v="36"/>
    <x v="2"/>
    <x v="0"/>
    <x v="2"/>
    <x v="0"/>
    <x v="21"/>
    <x v="3"/>
    <x v="5"/>
    <x v="2"/>
  </r>
  <r>
    <s v="TX500812"/>
    <x v="11"/>
    <x v="2"/>
    <n v="38"/>
    <x v="717"/>
    <x v="34"/>
    <x v="38"/>
    <x v="2"/>
    <x v="1"/>
    <x v="2"/>
    <x v="0"/>
    <x v="21"/>
    <x v="1"/>
    <x v="5"/>
    <x v="2"/>
  </r>
  <r>
    <s v="TX500813"/>
    <x v="10"/>
    <x v="15"/>
    <n v="34.6"/>
    <x v="327"/>
    <x v="34"/>
    <x v="38"/>
    <x v="2"/>
    <x v="0"/>
    <x v="1"/>
    <x v="0"/>
    <x v="21"/>
    <x v="1"/>
    <x v="5"/>
    <x v="2"/>
  </r>
  <r>
    <s v="TX500814"/>
    <x v="3"/>
    <x v="7"/>
    <n v="79.7"/>
    <x v="718"/>
    <x v="34"/>
    <x v="36"/>
    <x v="2"/>
    <x v="4"/>
    <x v="1"/>
    <x v="0"/>
    <x v="21"/>
    <x v="3"/>
    <x v="5"/>
    <x v="2"/>
  </r>
  <r>
    <s v="TX500815"/>
    <x v="8"/>
    <x v="8"/>
    <n v="30.5"/>
    <x v="719"/>
    <x v="34"/>
    <x v="39"/>
    <x v="1"/>
    <x v="3"/>
    <x v="0"/>
    <x v="0"/>
    <x v="1"/>
    <x v="5"/>
    <x v="5"/>
    <x v="1"/>
  </r>
  <r>
    <s v="TX500816"/>
    <x v="0"/>
    <x v="1"/>
    <n v="20.8"/>
    <x v="480"/>
    <x v="34"/>
    <x v="36"/>
    <x v="2"/>
    <x v="0"/>
    <x v="0"/>
    <x v="0"/>
    <x v="2"/>
    <x v="3"/>
    <x v="5"/>
    <x v="2"/>
  </r>
  <r>
    <s v="TX500817"/>
    <x v="11"/>
    <x v="3"/>
    <n v="48.5"/>
    <x v="720"/>
    <x v="34"/>
    <x v="39"/>
    <x v="2"/>
    <x v="2"/>
    <x v="2"/>
    <x v="0"/>
    <x v="2"/>
    <x v="5"/>
    <x v="5"/>
    <x v="2"/>
  </r>
  <r>
    <s v="TX500818"/>
    <x v="2"/>
    <x v="12"/>
    <n v="61.8"/>
    <x v="721"/>
    <x v="34"/>
    <x v="39"/>
    <x v="2"/>
    <x v="4"/>
    <x v="0"/>
    <x v="0"/>
    <x v="22"/>
    <x v="5"/>
    <x v="5"/>
    <x v="2"/>
  </r>
  <r>
    <s v="TX500819"/>
    <x v="10"/>
    <x v="0"/>
    <n v="46.1"/>
    <x v="722"/>
    <x v="34"/>
    <x v="36"/>
    <x v="3"/>
    <x v="2"/>
    <x v="0"/>
    <x v="0"/>
    <x v="3"/>
    <x v="3"/>
    <x v="5"/>
    <x v="3"/>
  </r>
  <r>
    <s v="TX500820"/>
    <x v="4"/>
    <x v="13"/>
    <n v="44"/>
    <x v="723"/>
    <x v="34"/>
    <x v="36"/>
    <x v="2"/>
    <x v="0"/>
    <x v="0"/>
    <x v="0"/>
    <x v="3"/>
    <x v="3"/>
    <x v="5"/>
    <x v="2"/>
  </r>
  <r>
    <s v="TX500821"/>
    <x v="18"/>
    <x v="1"/>
    <n v="95.7"/>
    <x v="724"/>
    <x v="34"/>
    <x v="37"/>
    <x v="2"/>
    <x v="3"/>
    <x v="2"/>
    <x v="0"/>
    <x v="3"/>
    <x v="4"/>
    <x v="5"/>
    <x v="2"/>
  </r>
  <r>
    <s v="TX500822"/>
    <x v="7"/>
    <x v="9"/>
    <n v="46.4"/>
    <x v="615"/>
    <x v="34"/>
    <x v="31"/>
    <x v="2"/>
    <x v="0"/>
    <x v="0"/>
    <x v="0"/>
    <x v="3"/>
    <x v="2"/>
    <x v="5"/>
    <x v="2"/>
  </r>
  <r>
    <s v="TX500823"/>
    <x v="6"/>
    <x v="1"/>
    <n v="47.2"/>
    <x v="725"/>
    <x v="34"/>
    <x v="38"/>
    <x v="2"/>
    <x v="0"/>
    <x v="2"/>
    <x v="0"/>
    <x v="3"/>
    <x v="1"/>
    <x v="5"/>
    <x v="2"/>
  </r>
  <r>
    <s v="TX500824"/>
    <x v="7"/>
    <x v="1"/>
    <n v="58.6"/>
    <x v="726"/>
    <x v="34"/>
    <x v="36"/>
    <x v="2"/>
    <x v="2"/>
    <x v="1"/>
    <x v="0"/>
    <x v="3"/>
    <x v="3"/>
    <x v="5"/>
    <x v="2"/>
  </r>
  <r>
    <s v="TX500825"/>
    <x v="4"/>
    <x v="2"/>
    <n v="57"/>
    <x v="727"/>
    <x v="34"/>
    <x v="36"/>
    <x v="1"/>
    <x v="0"/>
    <x v="2"/>
    <x v="0"/>
    <x v="3"/>
    <x v="3"/>
    <x v="5"/>
    <x v="1"/>
  </r>
  <r>
    <s v="TX500826"/>
    <x v="8"/>
    <x v="12"/>
    <n v="28.9"/>
    <x v="446"/>
    <x v="34"/>
    <x v="39"/>
    <x v="1"/>
    <x v="2"/>
    <x v="0"/>
    <x v="0"/>
    <x v="3"/>
    <x v="5"/>
    <x v="5"/>
    <x v="1"/>
  </r>
  <r>
    <s v="TX500827"/>
    <x v="12"/>
    <x v="9"/>
    <n v="60.7"/>
    <x v="728"/>
    <x v="34"/>
    <x v="39"/>
    <x v="0"/>
    <x v="1"/>
    <x v="1"/>
    <x v="0"/>
    <x v="3"/>
    <x v="5"/>
    <x v="5"/>
    <x v="0"/>
  </r>
  <r>
    <s v="TX500828"/>
    <x v="6"/>
    <x v="9"/>
    <n v="60.8"/>
    <x v="729"/>
    <x v="34"/>
    <x v="39"/>
    <x v="1"/>
    <x v="0"/>
    <x v="1"/>
    <x v="0"/>
    <x v="3"/>
    <x v="5"/>
    <x v="5"/>
    <x v="1"/>
  </r>
  <r>
    <s v="TX500829"/>
    <x v="6"/>
    <x v="9"/>
    <n v="64.599999999999994"/>
    <x v="730"/>
    <x v="34"/>
    <x v="36"/>
    <x v="2"/>
    <x v="3"/>
    <x v="0"/>
    <x v="0"/>
    <x v="3"/>
    <x v="3"/>
    <x v="5"/>
    <x v="2"/>
  </r>
  <r>
    <s v="TX500830"/>
    <x v="8"/>
    <x v="0"/>
    <n v="21.9"/>
    <x v="731"/>
    <x v="34"/>
    <x v="31"/>
    <x v="1"/>
    <x v="1"/>
    <x v="2"/>
    <x v="0"/>
    <x v="4"/>
    <x v="2"/>
    <x v="5"/>
    <x v="1"/>
  </r>
  <r>
    <s v="TX500831"/>
    <x v="4"/>
    <x v="4"/>
    <n v="33.4"/>
    <x v="732"/>
    <x v="34"/>
    <x v="38"/>
    <x v="2"/>
    <x v="0"/>
    <x v="0"/>
    <x v="0"/>
    <x v="23"/>
    <x v="1"/>
    <x v="5"/>
    <x v="2"/>
  </r>
  <r>
    <s v="TX500832"/>
    <x v="2"/>
    <x v="0"/>
    <n v="51.7"/>
    <x v="733"/>
    <x v="34"/>
    <x v="36"/>
    <x v="0"/>
    <x v="0"/>
    <x v="0"/>
    <x v="0"/>
    <x v="6"/>
    <x v="3"/>
    <x v="5"/>
    <x v="0"/>
  </r>
  <r>
    <s v="TX500833"/>
    <x v="1"/>
    <x v="12"/>
    <n v="84.9"/>
    <x v="734"/>
    <x v="34"/>
    <x v="36"/>
    <x v="2"/>
    <x v="1"/>
    <x v="1"/>
    <x v="0"/>
    <x v="6"/>
    <x v="3"/>
    <x v="5"/>
    <x v="2"/>
  </r>
  <r>
    <s v="TX500834"/>
    <x v="1"/>
    <x v="5"/>
    <n v="62.3"/>
    <x v="735"/>
    <x v="34"/>
    <x v="36"/>
    <x v="2"/>
    <x v="2"/>
    <x v="2"/>
    <x v="0"/>
    <x v="7"/>
    <x v="3"/>
    <x v="5"/>
    <x v="2"/>
  </r>
  <r>
    <s v="TX500835"/>
    <x v="4"/>
    <x v="0"/>
    <n v="50.7"/>
    <x v="163"/>
    <x v="34"/>
    <x v="38"/>
    <x v="1"/>
    <x v="2"/>
    <x v="2"/>
    <x v="0"/>
    <x v="8"/>
    <x v="1"/>
    <x v="5"/>
    <x v="1"/>
  </r>
  <r>
    <s v="TX500836"/>
    <x v="18"/>
    <x v="0"/>
    <n v="39.5"/>
    <x v="736"/>
    <x v="34"/>
    <x v="36"/>
    <x v="1"/>
    <x v="4"/>
    <x v="1"/>
    <x v="0"/>
    <x v="8"/>
    <x v="3"/>
    <x v="5"/>
    <x v="1"/>
  </r>
  <r>
    <s v="TX500837"/>
    <x v="12"/>
    <x v="2"/>
    <n v="30.9"/>
    <x v="737"/>
    <x v="34"/>
    <x v="36"/>
    <x v="0"/>
    <x v="4"/>
    <x v="2"/>
    <x v="0"/>
    <x v="8"/>
    <x v="3"/>
    <x v="5"/>
    <x v="0"/>
  </r>
  <r>
    <s v="TX500838"/>
    <x v="1"/>
    <x v="3"/>
    <n v="36.4"/>
    <x v="133"/>
    <x v="34"/>
    <x v="31"/>
    <x v="2"/>
    <x v="0"/>
    <x v="2"/>
    <x v="0"/>
    <x v="8"/>
    <x v="2"/>
    <x v="5"/>
    <x v="2"/>
  </r>
  <r>
    <s v="TX500839"/>
    <x v="6"/>
    <x v="8"/>
    <n v="105.6"/>
    <x v="738"/>
    <x v="34"/>
    <x v="42"/>
    <x v="2"/>
    <x v="0"/>
    <x v="0"/>
    <x v="0"/>
    <x v="8"/>
    <x v="14"/>
    <x v="5"/>
    <x v="2"/>
  </r>
  <r>
    <s v="TX500840"/>
    <x v="8"/>
    <x v="1"/>
    <n v="22.1"/>
    <x v="573"/>
    <x v="34"/>
    <x v="36"/>
    <x v="2"/>
    <x v="0"/>
    <x v="2"/>
    <x v="0"/>
    <x v="17"/>
    <x v="3"/>
    <x v="5"/>
    <x v="2"/>
  </r>
  <r>
    <s v="TX500841"/>
    <x v="0"/>
    <x v="2"/>
    <n v="22.6"/>
    <x v="418"/>
    <x v="34"/>
    <x v="36"/>
    <x v="2"/>
    <x v="2"/>
    <x v="0"/>
    <x v="0"/>
    <x v="17"/>
    <x v="3"/>
    <x v="5"/>
    <x v="2"/>
  </r>
  <r>
    <s v="TX500842"/>
    <x v="10"/>
    <x v="13"/>
    <n v="26.3"/>
    <x v="739"/>
    <x v="34"/>
    <x v="32"/>
    <x v="2"/>
    <x v="2"/>
    <x v="0"/>
    <x v="0"/>
    <x v="9"/>
    <x v="7"/>
    <x v="5"/>
    <x v="2"/>
  </r>
  <r>
    <s v="TX500843"/>
    <x v="1"/>
    <x v="12"/>
    <n v="37.799999999999997"/>
    <x v="277"/>
    <x v="34"/>
    <x v="36"/>
    <x v="2"/>
    <x v="0"/>
    <x v="2"/>
    <x v="0"/>
    <x v="11"/>
    <x v="3"/>
    <x v="5"/>
    <x v="2"/>
  </r>
  <r>
    <s v="TX500844"/>
    <x v="6"/>
    <x v="14"/>
    <n v="96"/>
    <x v="740"/>
    <x v="34"/>
    <x v="31"/>
    <x v="2"/>
    <x v="4"/>
    <x v="1"/>
    <x v="0"/>
    <x v="18"/>
    <x v="2"/>
    <x v="5"/>
    <x v="2"/>
  </r>
  <r>
    <s v="TX500845"/>
    <x v="1"/>
    <x v="0"/>
    <n v="83.6"/>
    <x v="681"/>
    <x v="34"/>
    <x v="31"/>
    <x v="2"/>
    <x v="2"/>
    <x v="1"/>
    <x v="0"/>
    <x v="19"/>
    <x v="2"/>
    <x v="5"/>
    <x v="2"/>
  </r>
  <r>
    <s v="TX500846"/>
    <x v="2"/>
    <x v="13"/>
    <n v="72.599999999999994"/>
    <x v="349"/>
    <x v="34"/>
    <x v="36"/>
    <x v="2"/>
    <x v="0"/>
    <x v="0"/>
    <x v="0"/>
    <x v="21"/>
    <x v="3"/>
    <x v="5"/>
    <x v="2"/>
  </r>
  <r>
    <s v="TX500847"/>
    <x v="5"/>
    <x v="28"/>
    <n v="69.099999999999994"/>
    <x v="741"/>
    <x v="35"/>
    <x v="40"/>
    <x v="1"/>
    <x v="0"/>
    <x v="2"/>
    <x v="0"/>
    <x v="21"/>
    <x v="4"/>
    <x v="5"/>
    <x v="1"/>
  </r>
  <r>
    <s v="TX500848"/>
    <x v="4"/>
    <x v="1"/>
    <n v="22.6"/>
    <x v="705"/>
    <x v="35"/>
    <x v="31"/>
    <x v="2"/>
    <x v="1"/>
    <x v="2"/>
    <x v="0"/>
    <x v="21"/>
    <x v="1"/>
    <x v="5"/>
    <x v="2"/>
  </r>
  <r>
    <s v="TX500849"/>
    <x v="6"/>
    <x v="1"/>
    <n v="45.3"/>
    <x v="742"/>
    <x v="35"/>
    <x v="35"/>
    <x v="1"/>
    <x v="4"/>
    <x v="2"/>
    <x v="0"/>
    <x v="21"/>
    <x v="5"/>
    <x v="5"/>
    <x v="1"/>
  </r>
  <r>
    <s v="TX500850"/>
    <x v="2"/>
    <x v="1"/>
    <n v="115.1"/>
    <x v="743"/>
    <x v="35"/>
    <x v="38"/>
    <x v="2"/>
    <x v="1"/>
    <x v="0"/>
    <x v="0"/>
    <x v="1"/>
    <x v="3"/>
    <x v="5"/>
    <x v="2"/>
  </r>
  <r>
    <s v="TX500851"/>
    <x v="18"/>
    <x v="12"/>
    <n v="79"/>
    <x v="744"/>
    <x v="35"/>
    <x v="31"/>
    <x v="1"/>
    <x v="2"/>
    <x v="4"/>
    <x v="0"/>
    <x v="1"/>
    <x v="1"/>
    <x v="5"/>
    <x v="1"/>
  </r>
  <r>
    <s v="TX500852"/>
    <x v="6"/>
    <x v="9"/>
    <n v="52.8"/>
    <x v="723"/>
    <x v="35"/>
    <x v="38"/>
    <x v="2"/>
    <x v="0"/>
    <x v="0"/>
    <x v="0"/>
    <x v="42"/>
    <x v="3"/>
    <x v="5"/>
    <x v="2"/>
  </r>
  <r>
    <s v="TX500853"/>
    <x v="8"/>
    <x v="1"/>
    <n v="34.1"/>
    <x v="745"/>
    <x v="35"/>
    <x v="38"/>
    <x v="1"/>
    <x v="3"/>
    <x v="2"/>
    <x v="0"/>
    <x v="44"/>
    <x v="3"/>
    <x v="5"/>
    <x v="1"/>
  </r>
  <r>
    <s v="TX500854"/>
    <x v="6"/>
    <x v="9"/>
    <n v="107.9"/>
    <x v="746"/>
    <x v="35"/>
    <x v="36"/>
    <x v="2"/>
    <x v="0"/>
    <x v="2"/>
    <x v="0"/>
    <x v="50"/>
    <x v="7"/>
    <x v="5"/>
    <x v="2"/>
  </r>
  <r>
    <s v="TX500855"/>
    <x v="8"/>
    <x v="15"/>
    <n v="48.5"/>
    <x v="747"/>
    <x v="35"/>
    <x v="36"/>
    <x v="1"/>
    <x v="2"/>
    <x v="2"/>
    <x v="0"/>
    <x v="3"/>
    <x v="7"/>
    <x v="5"/>
    <x v="1"/>
  </r>
  <r>
    <s v="TX500856"/>
    <x v="5"/>
    <x v="2"/>
    <n v="34.700000000000003"/>
    <x v="748"/>
    <x v="35"/>
    <x v="38"/>
    <x v="0"/>
    <x v="4"/>
    <x v="1"/>
    <x v="0"/>
    <x v="3"/>
    <x v="3"/>
    <x v="5"/>
    <x v="0"/>
  </r>
  <r>
    <s v="TX500857"/>
    <x v="8"/>
    <x v="0"/>
    <n v="16.8"/>
    <x v="749"/>
    <x v="35"/>
    <x v="31"/>
    <x v="2"/>
    <x v="3"/>
    <x v="0"/>
    <x v="0"/>
    <x v="3"/>
    <x v="1"/>
    <x v="5"/>
    <x v="2"/>
  </r>
  <r>
    <s v="TX500858"/>
    <x v="8"/>
    <x v="13"/>
    <n v="18.3"/>
    <x v="17"/>
    <x v="35"/>
    <x v="39"/>
    <x v="2"/>
    <x v="0"/>
    <x v="0"/>
    <x v="0"/>
    <x v="3"/>
    <x v="2"/>
    <x v="5"/>
    <x v="2"/>
  </r>
  <r>
    <s v="TX500859"/>
    <x v="18"/>
    <x v="2"/>
    <n v="55.9"/>
    <x v="750"/>
    <x v="35"/>
    <x v="40"/>
    <x v="1"/>
    <x v="3"/>
    <x v="1"/>
    <x v="0"/>
    <x v="3"/>
    <x v="4"/>
    <x v="5"/>
    <x v="1"/>
  </r>
  <r>
    <s v="TX500860"/>
    <x v="8"/>
    <x v="2"/>
    <n v="39.200000000000003"/>
    <x v="557"/>
    <x v="35"/>
    <x v="31"/>
    <x v="2"/>
    <x v="0"/>
    <x v="1"/>
    <x v="0"/>
    <x v="3"/>
    <x v="1"/>
    <x v="5"/>
    <x v="2"/>
  </r>
  <r>
    <s v="TX500861"/>
    <x v="15"/>
    <x v="12"/>
    <n v="66.5"/>
    <x v="751"/>
    <x v="35"/>
    <x v="31"/>
    <x v="0"/>
    <x v="3"/>
    <x v="1"/>
    <x v="0"/>
    <x v="3"/>
    <x v="1"/>
    <x v="5"/>
    <x v="0"/>
  </r>
  <r>
    <s v="TX500862"/>
    <x v="6"/>
    <x v="13"/>
    <n v="52.1"/>
    <x v="752"/>
    <x v="35"/>
    <x v="31"/>
    <x v="1"/>
    <x v="1"/>
    <x v="1"/>
    <x v="0"/>
    <x v="16"/>
    <x v="1"/>
    <x v="5"/>
    <x v="1"/>
  </r>
  <r>
    <s v="TX500863"/>
    <x v="8"/>
    <x v="1"/>
    <n v="19"/>
    <x v="753"/>
    <x v="35"/>
    <x v="38"/>
    <x v="1"/>
    <x v="4"/>
    <x v="2"/>
    <x v="0"/>
    <x v="6"/>
    <x v="3"/>
    <x v="5"/>
    <x v="1"/>
  </r>
  <r>
    <s v="TX500864"/>
    <x v="7"/>
    <x v="2"/>
    <n v="84.8"/>
    <x v="754"/>
    <x v="35"/>
    <x v="31"/>
    <x v="2"/>
    <x v="2"/>
    <x v="0"/>
    <x v="0"/>
    <x v="8"/>
    <x v="1"/>
    <x v="5"/>
    <x v="2"/>
  </r>
  <r>
    <s v="TX500865"/>
    <x v="2"/>
    <x v="12"/>
    <n v="63.9"/>
    <x v="755"/>
    <x v="35"/>
    <x v="39"/>
    <x v="2"/>
    <x v="0"/>
    <x v="0"/>
    <x v="0"/>
    <x v="8"/>
    <x v="2"/>
    <x v="5"/>
    <x v="2"/>
  </r>
  <r>
    <s v="TX500866"/>
    <x v="2"/>
    <x v="2"/>
    <n v="65.5"/>
    <x v="756"/>
    <x v="35"/>
    <x v="36"/>
    <x v="2"/>
    <x v="1"/>
    <x v="1"/>
    <x v="0"/>
    <x v="8"/>
    <x v="7"/>
    <x v="5"/>
    <x v="2"/>
  </r>
  <r>
    <s v="TX500867"/>
    <x v="12"/>
    <x v="1"/>
    <n v="116.2"/>
    <x v="757"/>
    <x v="35"/>
    <x v="40"/>
    <x v="1"/>
    <x v="3"/>
    <x v="0"/>
    <x v="0"/>
    <x v="17"/>
    <x v="4"/>
    <x v="5"/>
    <x v="1"/>
  </r>
  <r>
    <s v="TX500868"/>
    <x v="10"/>
    <x v="12"/>
    <n v="22.9"/>
    <x v="758"/>
    <x v="35"/>
    <x v="31"/>
    <x v="2"/>
    <x v="2"/>
    <x v="1"/>
    <x v="0"/>
    <x v="38"/>
    <x v="1"/>
    <x v="5"/>
    <x v="2"/>
  </r>
  <r>
    <s v="TX500869"/>
    <x v="10"/>
    <x v="2"/>
    <n v="53.7"/>
    <x v="759"/>
    <x v="35"/>
    <x v="38"/>
    <x v="1"/>
    <x v="0"/>
    <x v="4"/>
    <x v="0"/>
    <x v="18"/>
    <x v="3"/>
    <x v="5"/>
    <x v="1"/>
  </r>
  <r>
    <s v="TX500870"/>
    <x v="6"/>
    <x v="9"/>
    <n v="43.2"/>
    <x v="760"/>
    <x v="35"/>
    <x v="31"/>
    <x v="2"/>
    <x v="0"/>
    <x v="0"/>
    <x v="0"/>
    <x v="19"/>
    <x v="1"/>
    <x v="5"/>
    <x v="2"/>
  </r>
  <r>
    <s v="TX500871"/>
    <x v="1"/>
    <x v="2"/>
    <n v="84.5"/>
    <x v="103"/>
    <x v="35"/>
    <x v="31"/>
    <x v="1"/>
    <x v="2"/>
    <x v="2"/>
    <x v="0"/>
    <x v="51"/>
    <x v="1"/>
    <x v="5"/>
    <x v="1"/>
  </r>
  <r>
    <s v="TX500872"/>
    <x v="3"/>
    <x v="1"/>
    <n v="42.2"/>
    <x v="533"/>
    <x v="35"/>
    <x v="38"/>
    <x v="2"/>
    <x v="1"/>
    <x v="2"/>
    <x v="0"/>
    <x v="1"/>
    <x v="3"/>
    <x v="5"/>
    <x v="2"/>
  </r>
  <r>
    <s v="TX500873"/>
    <x v="2"/>
    <x v="13"/>
    <n v="94.7"/>
    <x v="761"/>
    <x v="35"/>
    <x v="39"/>
    <x v="2"/>
    <x v="1"/>
    <x v="2"/>
    <x v="0"/>
    <x v="2"/>
    <x v="2"/>
    <x v="5"/>
    <x v="2"/>
  </r>
  <r>
    <s v="TX500874"/>
    <x v="8"/>
    <x v="16"/>
    <n v="16.7"/>
    <x v="182"/>
    <x v="35"/>
    <x v="43"/>
    <x v="2"/>
    <x v="0"/>
    <x v="2"/>
    <x v="0"/>
    <x v="2"/>
    <x v="13"/>
    <x v="5"/>
    <x v="2"/>
  </r>
  <r>
    <s v="TX500875"/>
    <x v="2"/>
    <x v="1"/>
    <n v="83.6"/>
    <x v="762"/>
    <x v="35"/>
    <x v="40"/>
    <x v="2"/>
    <x v="1"/>
    <x v="0"/>
    <x v="0"/>
    <x v="3"/>
    <x v="4"/>
    <x v="5"/>
    <x v="2"/>
  </r>
  <r>
    <s v="TX500876"/>
    <x v="7"/>
    <x v="13"/>
    <n v="33.6"/>
    <x v="763"/>
    <x v="36"/>
    <x v="31"/>
    <x v="2"/>
    <x v="3"/>
    <x v="0"/>
    <x v="0"/>
    <x v="3"/>
    <x v="3"/>
    <x v="5"/>
    <x v="2"/>
  </r>
  <r>
    <s v="TX500877"/>
    <x v="7"/>
    <x v="1"/>
    <n v="64.7"/>
    <x v="385"/>
    <x v="36"/>
    <x v="39"/>
    <x v="1"/>
    <x v="1"/>
    <x v="2"/>
    <x v="0"/>
    <x v="3"/>
    <x v="1"/>
    <x v="5"/>
    <x v="1"/>
  </r>
  <r>
    <s v="TX500878"/>
    <x v="0"/>
    <x v="2"/>
    <n v="15.7"/>
    <x v="179"/>
    <x v="36"/>
    <x v="44"/>
    <x v="2"/>
    <x v="0"/>
    <x v="0"/>
    <x v="0"/>
    <x v="3"/>
    <x v="4"/>
    <x v="5"/>
    <x v="2"/>
  </r>
  <r>
    <s v="TX500879"/>
    <x v="15"/>
    <x v="13"/>
    <n v="49.4"/>
    <x v="764"/>
    <x v="36"/>
    <x v="38"/>
    <x v="1"/>
    <x v="1"/>
    <x v="0"/>
    <x v="0"/>
    <x v="3"/>
    <x v="7"/>
    <x v="5"/>
    <x v="1"/>
  </r>
  <r>
    <s v="TX500880"/>
    <x v="10"/>
    <x v="13"/>
    <n v="37"/>
    <x v="765"/>
    <x v="36"/>
    <x v="35"/>
    <x v="2"/>
    <x v="1"/>
    <x v="2"/>
    <x v="0"/>
    <x v="3"/>
    <x v="2"/>
    <x v="5"/>
    <x v="2"/>
  </r>
  <r>
    <s v="TX500881"/>
    <x v="2"/>
    <x v="1"/>
    <n v="83.7"/>
    <x v="589"/>
    <x v="36"/>
    <x v="39"/>
    <x v="2"/>
    <x v="3"/>
    <x v="2"/>
    <x v="0"/>
    <x v="3"/>
    <x v="1"/>
    <x v="5"/>
    <x v="2"/>
  </r>
  <r>
    <s v="TX500882"/>
    <x v="1"/>
    <x v="9"/>
    <n v="35.1"/>
    <x v="766"/>
    <x v="36"/>
    <x v="31"/>
    <x v="2"/>
    <x v="0"/>
    <x v="0"/>
    <x v="0"/>
    <x v="3"/>
    <x v="3"/>
    <x v="5"/>
    <x v="2"/>
  </r>
  <r>
    <s v="TX500883"/>
    <x v="16"/>
    <x v="8"/>
    <n v="74"/>
    <x v="767"/>
    <x v="36"/>
    <x v="31"/>
    <x v="2"/>
    <x v="4"/>
    <x v="0"/>
    <x v="0"/>
    <x v="37"/>
    <x v="3"/>
    <x v="5"/>
    <x v="2"/>
  </r>
  <r>
    <s v="TX500884"/>
    <x v="6"/>
    <x v="25"/>
    <n v="55.5"/>
    <x v="768"/>
    <x v="36"/>
    <x v="35"/>
    <x v="1"/>
    <x v="3"/>
    <x v="0"/>
    <x v="0"/>
    <x v="49"/>
    <x v="2"/>
    <x v="5"/>
    <x v="1"/>
  </r>
  <r>
    <s v="TX500885"/>
    <x v="11"/>
    <x v="1"/>
    <n v="38.9"/>
    <x v="482"/>
    <x v="36"/>
    <x v="39"/>
    <x v="2"/>
    <x v="1"/>
    <x v="2"/>
    <x v="0"/>
    <x v="25"/>
    <x v="1"/>
    <x v="5"/>
    <x v="2"/>
  </r>
  <r>
    <s v="TX500886"/>
    <x v="16"/>
    <x v="1"/>
    <n v="64.599999999999994"/>
    <x v="769"/>
    <x v="36"/>
    <x v="45"/>
    <x v="1"/>
    <x v="2"/>
    <x v="1"/>
    <x v="0"/>
    <x v="25"/>
    <x v="6"/>
    <x v="5"/>
    <x v="1"/>
  </r>
  <r>
    <s v="TX500887"/>
    <x v="2"/>
    <x v="2"/>
    <n v="95.3"/>
    <x v="770"/>
    <x v="36"/>
    <x v="31"/>
    <x v="1"/>
    <x v="0"/>
    <x v="0"/>
    <x v="0"/>
    <x v="5"/>
    <x v="3"/>
    <x v="5"/>
    <x v="1"/>
  </r>
  <r>
    <s v="TX500888"/>
    <x v="13"/>
    <x v="2"/>
    <n v="25.8"/>
    <x v="771"/>
    <x v="36"/>
    <x v="31"/>
    <x v="2"/>
    <x v="1"/>
    <x v="1"/>
    <x v="0"/>
    <x v="6"/>
    <x v="3"/>
    <x v="5"/>
    <x v="2"/>
  </r>
  <r>
    <s v="TX500889"/>
    <x v="0"/>
    <x v="1"/>
    <n v="11.6"/>
    <x v="772"/>
    <x v="36"/>
    <x v="37"/>
    <x v="2"/>
    <x v="1"/>
    <x v="1"/>
    <x v="0"/>
    <x v="6"/>
    <x v="5"/>
    <x v="5"/>
    <x v="2"/>
  </r>
  <r>
    <s v="TX500890"/>
    <x v="7"/>
    <x v="0"/>
    <n v="52.3"/>
    <x v="773"/>
    <x v="36"/>
    <x v="31"/>
    <x v="2"/>
    <x v="1"/>
    <x v="0"/>
    <x v="0"/>
    <x v="8"/>
    <x v="3"/>
    <x v="5"/>
    <x v="2"/>
  </r>
  <r>
    <s v="TX500891"/>
    <x v="2"/>
    <x v="7"/>
    <n v="112.2"/>
    <x v="774"/>
    <x v="36"/>
    <x v="31"/>
    <x v="2"/>
    <x v="1"/>
    <x v="1"/>
    <x v="0"/>
    <x v="8"/>
    <x v="3"/>
    <x v="5"/>
    <x v="2"/>
  </r>
  <r>
    <s v="TX500892"/>
    <x v="4"/>
    <x v="9"/>
    <n v="34.6"/>
    <x v="775"/>
    <x v="36"/>
    <x v="39"/>
    <x v="1"/>
    <x v="2"/>
    <x v="0"/>
    <x v="0"/>
    <x v="8"/>
    <x v="1"/>
    <x v="5"/>
    <x v="1"/>
  </r>
  <r>
    <s v="TX500893"/>
    <x v="14"/>
    <x v="12"/>
    <n v="20.100000000000001"/>
    <x v="48"/>
    <x v="36"/>
    <x v="44"/>
    <x v="1"/>
    <x v="1"/>
    <x v="2"/>
    <x v="0"/>
    <x v="8"/>
    <x v="4"/>
    <x v="5"/>
    <x v="1"/>
  </r>
  <r>
    <s v="TX500894"/>
    <x v="2"/>
    <x v="12"/>
    <n v="56.4"/>
    <x v="776"/>
    <x v="36"/>
    <x v="39"/>
    <x v="2"/>
    <x v="2"/>
    <x v="0"/>
    <x v="0"/>
    <x v="10"/>
    <x v="1"/>
    <x v="5"/>
    <x v="2"/>
  </r>
  <r>
    <s v="TX500895"/>
    <x v="13"/>
    <x v="11"/>
    <n v="55.3"/>
    <x v="777"/>
    <x v="36"/>
    <x v="39"/>
    <x v="2"/>
    <x v="1"/>
    <x v="4"/>
    <x v="0"/>
    <x v="11"/>
    <x v="1"/>
    <x v="5"/>
    <x v="2"/>
  </r>
  <r>
    <s v="TX500896"/>
    <x v="2"/>
    <x v="31"/>
    <n v="75.5"/>
    <x v="778"/>
    <x v="36"/>
    <x v="31"/>
    <x v="2"/>
    <x v="0"/>
    <x v="0"/>
    <x v="0"/>
    <x v="11"/>
    <x v="3"/>
    <x v="5"/>
    <x v="2"/>
  </r>
  <r>
    <s v="TX500897"/>
    <x v="8"/>
    <x v="0"/>
    <n v="23.6"/>
    <x v="779"/>
    <x v="36"/>
    <x v="40"/>
    <x v="2"/>
    <x v="0"/>
    <x v="0"/>
    <x v="0"/>
    <x v="19"/>
    <x v="0"/>
    <x v="5"/>
    <x v="2"/>
  </r>
  <r>
    <s v="TX500898"/>
    <x v="9"/>
    <x v="1"/>
    <n v="70.7"/>
    <x v="780"/>
    <x v="36"/>
    <x v="39"/>
    <x v="2"/>
    <x v="2"/>
    <x v="0"/>
    <x v="0"/>
    <x v="19"/>
    <x v="1"/>
    <x v="5"/>
    <x v="2"/>
  </r>
  <r>
    <s v="TX500899"/>
    <x v="12"/>
    <x v="1"/>
    <n v="43.2"/>
    <x v="781"/>
    <x v="36"/>
    <x v="31"/>
    <x v="2"/>
    <x v="2"/>
    <x v="0"/>
    <x v="0"/>
    <x v="31"/>
    <x v="3"/>
    <x v="5"/>
    <x v="2"/>
  </r>
  <r>
    <s v="TX500900"/>
    <x v="9"/>
    <x v="11"/>
    <n v="70"/>
    <x v="782"/>
    <x v="36"/>
    <x v="31"/>
    <x v="0"/>
    <x v="1"/>
    <x v="0"/>
    <x v="0"/>
    <x v="52"/>
    <x v="3"/>
    <x v="5"/>
    <x v="0"/>
  </r>
  <r>
    <s v="TX500901"/>
    <x v="0"/>
    <x v="1"/>
    <n v="20.5"/>
    <x v="783"/>
    <x v="36"/>
    <x v="39"/>
    <x v="2"/>
    <x v="2"/>
    <x v="4"/>
    <x v="0"/>
    <x v="13"/>
    <x v="1"/>
    <x v="5"/>
    <x v="2"/>
  </r>
  <r>
    <s v="TX500902"/>
    <x v="0"/>
    <x v="12"/>
    <n v="29.1"/>
    <x v="565"/>
    <x v="36"/>
    <x v="31"/>
    <x v="2"/>
    <x v="3"/>
    <x v="0"/>
    <x v="0"/>
    <x v="28"/>
    <x v="3"/>
    <x v="5"/>
    <x v="2"/>
  </r>
  <r>
    <s v="TX500903"/>
    <x v="6"/>
    <x v="11"/>
    <n v="53.6"/>
    <x v="784"/>
    <x v="36"/>
    <x v="31"/>
    <x v="1"/>
    <x v="2"/>
    <x v="1"/>
    <x v="0"/>
    <x v="3"/>
    <x v="3"/>
    <x v="5"/>
    <x v="1"/>
  </r>
  <r>
    <s v="TX500904"/>
    <x v="6"/>
    <x v="9"/>
    <n v="72.3"/>
    <x v="785"/>
    <x v="36"/>
    <x v="39"/>
    <x v="2"/>
    <x v="1"/>
    <x v="0"/>
    <x v="0"/>
    <x v="3"/>
    <x v="1"/>
    <x v="5"/>
    <x v="2"/>
  </r>
  <r>
    <s v="TX500905"/>
    <x v="13"/>
    <x v="12"/>
    <n v="22.6"/>
    <x v="786"/>
    <x v="36"/>
    <x v="35"/>
    <x v="3"/>
    <x v="0"/>
    <x v="1"/>
    <x v="0"/>
    <x v="3"/>
    <x v="2"/>
    <x v="5"/>
    <x v="3"/>
  </r>
  <r>
    <s v="TX500906"/>
    <x v="9"/>
    <x v="1"/>
    <n v="44.2"/>
    <x v="787"/>
    <x v="36"/>
    <x v="37"/>
    <x v="0"/>
    <x v="2"/>
    <x v="4"/>
    <x v="0"/>
    <x v="3"/>
    <x v="5"/>
    <x v="5"/>
    <x v="0"/>
  </r>
  <r>
    <s v="TX500907"/>
    <x v="9"/>
    <x v="2"/>
    <n v="94.1"/>
    <x v="788"/>
    <x v="36"/>
    <x v="46"/>
    <x v="2"/>
    <x v="2"/>
    <x v="2"/>
    <x v="0"/>
    <x v="3"/>
    <x v="10"/>
    <x v="5"/>
    <x v="2"/>
  </r>
  <r>
    <s v="TX500908"/>
    <x v="8"/>
    <x v="2"/>
    <n v="17.899999999999999"/>
    <x v="789"/>
    <x v="36"/>
    <x v="39"/>
    <x v="1"/>
    <x v="1"/>
    <x v="1"/>
    <x v="0"/>
    <x v="3"/>
    <x v="1"/>
    <x v="5"/>
    <x v="1"/>
  </r>
  <r>
    <s v="TX500909"/>
    <x v="12"/>
    <x v="3"/>
    <n v="52.7"/>
    <x v="790"/>
    <x v="36"/>
    <x v="31"/>
    <x v="1"/>
    <x v="1"/>
    <x v="1"/>
    <x v="0"/>
    <x v="3"/>
    <x v="3"/>
    <x v="5"/>
    <x v="1"/>
  </r>
  <r>
    <s v="TX500910"/>
    <x v="8"/>
    <x v="0"/>
    <n v="36.799999999999997"/>
    <x v="791"/>
    <x v="36"/>
    <x v="38"/>
    <x v="0"/>
    <x v="0"/>
    <x v="2"/>
    <x v="0"/>
    <x v="3"/>
    <x v="7"/>
    <x v="5"/>
    <x v="0"/>
  </r>
  <r>
    <s v="TX500911"/>
    <x v="4"/>
    <x v="0"/>
    <n v="52.5"/>
    <x v="413"/>
    <x v="36"/>
    <x v="31"/>
    <x v="1"/>
    <x v="0"/>
    <x v="1"/>
    <x v="0"/>
    <x v="6"/>
    <x v="3"/>
    <x v="5"/>
    <x v="1"/>
  </r>
  <r>
    <s v="TX500912"/>
    <x v="2"/>
    <x v="1"/>
    <n v="133.80000000000001"/>
    <x v="792"/>
    <x v="36"/>
    <x v="39"/>
    <x v="1"/>
    <x v="0"/>
    <x v="1"/>
    <x v="0"/>
    <x v="7"/>
    <x v="1"/>
    <x v="5"/>
    <x v="1"/>
  </r>
  <r>
    <s v="TX500913"/>
    <x v="6"/>
    <x v="1"/>
    <n v="53.2"/>
    <x v="793"/>
    <x v="36"/>
    <x v="39"/>
    <x v="1"/>
    <x v="0"/>
    <x v="0"/>
    <x v="0"/>
    <x v="17"/>
    <x v="1"/>
    <x v="5"/>
    <x v="1"/>
  </r>
  <r>
    <s v="TX500914"/>
    <x v="14"/>
    <x v="13"/>
    <n v="18.7"/>
    <x v="794"/>
    <x v="36"/>
    <x v="39"/>
    <x v="0"/>
    <x v="0"/>
    <x v="1"/>
    <x v="0"/>
    <x v="10"/>
    <x v="1"/>
    <x v="5"/>
    <x v="0"/>
  </r>
  <r>
    <s v="TX500915"/>
    <x v="6"/>
    <x v="12"/>
    <n v="108.8"/>
    <x v="795"/>
    <x v="36"/>
    <x v="31"/>
    <x v="2"/>
    <x v="3"/>
    <x v="2"/>
    <x v="0"/>
    <x v="11"/>
    <x v="3"/>
    <x v="5"/>
    <x v="2"/>
  </r>
  <r>
    <s v="TX500916"/>
    <x v="15"/>
    <x v="9"/>
    <n v="38.5"/>
    <x v="796"/>
    <x v="36"/>
    <x v="37"/>
    <x v="2"/>
    <x v="0"/>
    <x v="1"/>
    <x v="0"/>
    <x v="14"/>
    <x v="5"/>
    <x v="5"/>
    <x v="2"/>
  </r>
  <r>
    <s v="TX500917"/>
    <x v="10"/>
    <x v="7"/>
    <n v="46.5"/>
    <x v="797"/>
    <x v="36"/>
    <x v="39"/>
    <x v="1"/>
    <x v="2"/>
    <x v="1"/>
    <x v="0"/>
    <x v="2"/>
    <x v="1"/>
    <x v="5"/>
    <x v="1"/>
  </r>
  <r>
    <s v="TX500918"/>
    <x v="2"/>
    <x v="2"/>
    <n v="75.8"/>
    <x v="129"/>
    <x v="36"/>
    <x v="37"/>
    <x v="2"/>
    <x v="1"/>
    <x v="4"/>
    <x v="0"/>
    <x v="44"/>
    <x v="5"/>
    <x v="5"/>
    <x v="2"/>
  </r>
  <r>
    <s v="TX500919"/>
    <x v="8"/>
    <x v="0"/>
    <n v="20.9"/>
    <x v="798"/>
    <x v="36"/>
    <x v="37"/>
    <x v="1"/>
    <x v="0"/>
    <x v="0"/>
    <x v="0"/>
    <x v="22"/>
    <x v="5"/>
    <x v="5"/>
    <x v="1"/>
  </r>
  <r>
    <s v="TX500920"/>
    <x v="18"/>
    <x v="2"/>
    <n v="47.4"/>
    <x v="60"/>
    <x v="36"/>
    <x v="35"/>
    <x v="2"/>
    <x v="0"/>
    <x v="0"/>
    <x v="0"/>
    <x v="3"/>
    <x v="2"/>
    <x v="5"/>
    <x v="2"/>
  </r>
  <r>
    <s v="TX500921"/>
    <x v="9"/>
    <x v="1"/>
    <n v="53.8"/>
    <x v="799"/>
    <x v="36"/>
    <x v="31"/>
    <x v="0"/>
    <x v="0"/>
    <x v="1"/>
    <x v="0"/>
    <x v="3"/>
    <x v="3"/>
    <x v="5"/>
    <x v="0"/>
  </r>
  <r>
    <s v="TX500922"/>
    <x v="8"/>
    <x v="2"/>
    <n v="24.6"/>
    <x v="800"/>
    <x v="36"/>
    <x v="39"/>
    <x v="3"/>
    <x v="1"/>
    <x v="2"/>
    <x v="0"/>
    <x v="3"/>
    <x v="1"/>
    <x v="5"/>
    <x v="3"/>
  </r>
  <r>
    <s v="TX500923"/>
    <x v="9"/>
    <x v="2"/>
    <n v="70.900000000000006"/>
    <x v="801"/>
    <x v="36"/>
    <x v="40"/>
    <x v="2"/>
    <x v="2"/>
    <x v="2"/>
    <x v="0"/>
    <x v="3"/>
    <x v="0"/>
    <x v="5"/>
    <x v="2"/>
  </r>
  <r>
    <s v="TX500924"/>
    <x v="17"/>
    <x v="2"/>
    <n v="31.9"/>
    <x v="802"/>
    <x v="36"/>
    <x v="39"/>
    <x v="2"/>
    <x v="2"/>
    <x v="2"/>
    <x v="0"/>
    <x v="3"/>
    <x v="1"/>
    <x v="5"/>
    <x v="2"/>
  </r>
  <r>
    <s v="TX500925"/>
    <x v="0"/>
    <x v="1"/>
    <n v="20.399999999999999"/>
    <x v="803"/>
    <x v="36"/>
    <x v="37"/>
    <x v="1"/>
    <x v="3"/>
    <x v="2"/>
    <x v="0"/>
    <x v="3"/>
    <x v="5"/>
    <x v="5"/>
    <x v="1"/>
  </r>
  <r>
    <s v="TX500926"/>
    <x v="8"/>
    <x v="1"/>
    <n v="18.600000000000001"/>
    <x v="804"/>
    <x v="36"/>
    <x v="39"/>
    <x v="0"/>
    <x v="0"/>
    <x v="1"/>
    <x v="0"/>
    <x v="3"/>
    <x v="1"/>
    <x v="5"/>
    <x v="0"/>
  </r>
  <r>
    <s v="TX500927"/>
    <x v="4"/>
    <x v="9"/>
    <n v="48.3"/>
    <x v="805"/>
    <x v="36"/>
    <x v="39"/>
    <x v="2"/>
    <x v="1"/>
    <x v="0"/>
    <x v="0"/>
    <x v="3"/>
    <x v="1"/>
    <x v="5"/>
    <x v="2"/>
  </r>
  <r>
    <s v="TX500928"/>
    <x v="0"/>
    <x v="12"/>
    <n v="27.7"/>
    <x v="806"/>
    <x v="36"/>
    <x v="39"/>
    <x v="2"/>
    <x v="0"/>
    <x v="0"/>
    <x v="0"/>
    <x v="3"/>
    <x v="1"/>
    <x v="5"/>
    <x v="2"/>
  </r>
  <r>
    <s v="TX500929"/>
    <x v="4"/>
    <x v="9"/>
    <n v="22.5"/>
    <x v="158"/>
    <x v="36"/>
    <x v="39"/>
    <x v="2"/>
    <x v="4"/>
    <x v="2"/>
    <x v="0"/>
    <x v="3"/>
    <x v="1"/>
    <x v="5"/>
    <x v="2"/>
  </r>
  <r>
    <s v="TX500930"/>
    <x v="17"/>
    <x v="9"/>
    <n v="21.6"/>
    <x v="807"/>
    <x v="36"/>
    <x v="42"/>
    <x v="2"/>
    <x v="0"/>
    <x v="1"/>
    <x v="0"/>
    <x v="3"/>
    <x v="9"/>
    <x v="5"/>
    <x v="2"/>
  </r>
  <r>
    <s v="TX500931"/>
    <x v="10"/>
    <x v="3"/>
    <n v="26.3"/>
    <x v="808"/>
    <x v="36"/>
    <x v="38"/>
    <x v="2"/>
    <x v="2"/>
    <x v="1"/>
    <x v="0"/>
    <x v="3"/>
    <x v="7"/>
    <x v="5"/>
    <x v="2"/>
  </r>
  <r>
    <s v="TX500932"/>
    <x v="6"/>
    <x v="3"/>
    <n v="103"/>
    <x v="809"/>
    <x v="37"/>
    <x v="39"/>
    <x v="1"/>
    <x v="0"/>
    <x v="2"/>
    <x v="0"/>
    <x v="6"/>
    <x v="3"/>
    <x v="5"/>
    <x v="1"/>
  </r>
  <r>
    <s v="TX500933"/>
    <x v="5"/>
    <x v="20"/>
    <n v="46.6"/>
    <x v="810"/>
    <x v="37"/>
    <x v="39"/>
    <x v="2"/>
    <x v="0"/>
    <x v="1"/>
    <x v="0"/>
    <x v="6"/>
    <x v="3"/>
    <x v="5"/>
    <x v="2"/>
  </r>
  <r>
    <s v="TX500934"/>
    <x v="0"/>
    <x v="9"/>
    <n v="32.200000000000003"/>
    <x v="811"/>
    <x v="37"/>
    <x v="37"/>
    <x v="2"/>
    <x v="0"/>
    <x v="2"/>
    <x v="0"/>
    <x v="36"/>
    <x v="2"/>
    <x v="5"/>
    <x v="2"/>
  </r>
  <r>
    <s v="TX500935"/>
    <x v="8"/>
    <x v="2"/>
    <n v="22"/>
    <x v="812"/>
    <x v="37"/>
    <x v="42"/>
    <x v="1"/>
    <x v="1"/>
    <x v="0"/>
    <x v="0"/>
    <x v="7"/>
    <x v="6"/>
    <x v="5"/>
    <x v="1"/>
  </r>
  <r>
    <s v="TX500936"/>
    <x v="0"/>
    <x v="1"/>
    <n v="25.2"/>
    <x v="813"/>
    <x v="37"/>
    <x v="40"/>
    <x v="2"/>
    <x v="0"/>
    <x v="0"/>
    <x v="0"/>
    <x v="7"/>
    <x v="5"/>
    <x v="5"/>
    <x v="2"/>
  </r>
  <r>
    <s v="TX500937"/>
    <x v="1"/>
    <x v="13"/>
    <n v="68.7"/>
    <x v="814"/>
    <x v="37"/>
    <x v="35"/>
    <x v="1"/>
    <x v="4"/>
    <x v="0"/>
    <x v="0"/>
    <x v="8"/>
    <x v="1"/>
    <x v="5"/>
    <x v="1"/>
  </r>
  <r>
    <s v="TX500938"/>
    <x v="0"/>
    <x v="2"/>
    <n v="22.2"/>
    <x v="815"/>
    <x v="37"/>
    <x v="37"/>
    <x v="1"/>
    <x v="2"/>
    <x v="2"/>
    <x v="0"/>
    <x v="8"/>
    <x v="2"/>
    <x v="5"/>
    <x v="1"/>
  </r>
  <r>
    <s v="TX500939"/>
    <x v="1"/>
    <x v="3"/>
    <n v="36"/>
    <x v="816"/>
    <x v="37"/>
    <x v="39"/>
    <x v="2"/>
    <x v="1"/>
    <x v="0"/>
    <x v="0"/>
    <x v="8"/>
    <x v="3"/>
    <x v="5"/>
    <x v="2"/>
  </r>
  <r>
    <s v="TX500940"/>
    <x v="18"/>
    <x v="0"/>
    <n v="50.6"/>
    <x v="578"/>
    <x v="37"/>
    <x v="35"/>
    <x v="2"/>
    <x v="0"/>
    <x v="1"/>
    <x v="0"/>
    <x v="8"/>
    <x v="1"/>
    <x v="5"/>
    <x v="2"/>
  </r>
  <r>
    <s v="TX500941"/>
    <x v="15"/>
    <x v="1"/>
    <n v="44.9"/>
    <x v="817"/>
    <x v="37"/>
    <x v="35"/>
    <x v="1"/>
    <x v="0"/>
    <x v="1"/>
    <x v="0"/>
    <x v="8"/>
    <x v="1"/>
    <x v="5"/>
    <x v="1"/>
  </r>
  <r>
    <s v="TX500942"/>
    <x v="6"/>
    <x v="2"/>
    <n v="71.599999999999994"/>
    <x v="818"/>
    <x v="37"/>
    <x v="40"/>
    <x v="1"/>
    <x v="1"/>
    <x v="2"/>
    <x v="0"/>
    <x v="10"/>
    <x v="5"/>
    <x v="5"/>
    <x v="1"/>
  </r>
  <r>
    <s v="TX500943"/>
    <x v="6"/>
    <x v="13"/>
    <n v="51.5"/>
    <x v="15"/>
    <x v="37"/>
    <x v="35"/>
    <x v="0"/>
    <x v="4"/>
    <x v="0"/>
    <x v="0"/>
    <x v="11"/>
    <x v="1"/>
    <x v="5"/>
    <x v="0"/>
  </r>
  <r>
    <s v="TX500944"/>
    <x v="7"/>
    <x v="9"/>
    <n v="55.5"/>
    <x v="819"/>
    <x v="37"/>
    <x v="39"/>
    <x v="1"/>
    <x v="1"/>
    <x v="1"/>
    <x v="0"/>
    <x v="11"/>
    <x v="3"/>
    <x v="5"/>
    <x v="1"/>
  </r>
  <r>
    <s v="TX500945"/>
    <x v="6"/>
    <x v="0"/>
    <n v="51.7"/>
    <x v="733"/>
    <x v="37"/>
    <x v="47"/>
    <x v="1"/>
    <x v="2"/>
    <x v="0"/>
    <x v="0"/>
    <x v="19"/>
    <x v="12"/>
    <x v="5"/>
    <x v="1"/>
  </r>
  <r>
    <s v="TX500946"/>
    <x v="8"/>
    <x v="38"/>
    <n v="45.5"/>
    <x v="820"/>
    <x v="37"/>
    <x v="39"/>
    <x v="2"/>
    <x v="3"/>
    <x v="2"/>
    <x v="0"/>
    <x v="19"/>
    <x v="3"/>
    <x v="5"/>
    <x v="2"/>
  </r>
  <r>
    <s v="TX500947"/>
    <x v="8"/>
    <x v="1"/>
    <n v="33.799999999999997"/>
    <x v="821"/>
    <x v="37"/>
    <x v="45"/>
    <x v="2"/>
    <x v="3"/>
    <x v="0"/>
    <x v="0"/>
    <x v="20"/>
    <x v="4"/>
    <x v="5"/>
    <x v="2"/>
  </r>
  <r>
    <s v="TX500948"/>
    <x v="3"/>
    <x v="2"/>
    <n v="76.5"/>
    <x v="822"/>
    <x v="37"/>
    <x v="39"/>
    <x v="2"/>
    <x v="0"/>
    <x v="1"/>
    <x v="0"/>
    <x v="21"/>
    <x v="3"/>
    <x v="5"/>
    <x v="2"/>
  </r>
  <r>
    <s v="TX500949"/>
    <x v="9"/>
    <x v="2"/>
    <n v="42.6"/>
    <x v="823"/>
    <x v="37"/>
    <x v="45"/>
    <x v="2"/>
    <x v="2"/>
    <x v="2"/>
    <x v="0"/>
    <x v="2"/>
    <x v="4"/>
    <x v="5"/>
    <x v="2"/>
  </r>
  <r>
    <s v="TX500950"/>
    <x v="6"/>
    <x v="2"/>
    <n v="44.1"/>
    <x v="431"/>
    <x v="37"/>
    <x v="35"/>
    <x v="2"/>
    <x v="1"/>
    <x v="1"/>
    <x v="0"/>
    <x v="22"/>
    <x v="1"/>
    <x v="5"/>
    <x v="2"/>
  </r>
  <r>
    <s v="TX500951"/>
    <x v="8"/>
    <x v="1"/>
    <n v="40.9"/>
    <x v="673"/>
    <x v="37"/>
    <x v="40"/>
    <x v="1"/>
    <x v="0"/>
    <x v="0"/>
    <x v="0"/>
    <x v="3"/>
    <x v="5"/>
    <x v="5"/>
    <x v="1"/>
  </r>
  <r>
    <s v="TX500952"/>
    <x v="9"/>
    <x v="2"/>
    <n v="49.1"/>
    <x v="824"/>
    <x v="37"/>
    <x v="40"/>
    <x v="2"/>
    <x v="3"/>
    <x v="1"/>
    <x v="0"/>
    <x v="3"/>
    <x v="5"/>
    <x v="5"/>
    <x v="2"/>
  </r>
  <r>
    <s v="TX500953"/>
    <x v="18"/>
    <x v="0"/>
    <n v="85.3"/>
    <x v="825"/>
    <x v="37"/>
    <x v="40"/>
    <x v="1"/>
    <x v="1"/>
    <x v="1"/>
    <x v="0"/>
    <x v="3"/>
    <x v="5"/>
    <x v="5"/>
    <x v="1"/>
  </r>
  <r>
    <s v="TX500954"/>
    <x v="6"/>
    <x v="12"/>
    <n v="43.1"/>
    <x v="826"/>
    <x v="38"/>
    <x v="40"/>
    <x v="1"/>
    <x v="0"/>
    <x v="0"/>
    <x v="0"/>
    <x v="3"/>
    <x v="2"/>
    <x v="5"/>
    <x v="1"/>
  </r>
  <r>
    <s v="TX500955"/>
    <x v="4"/>
    <x v="12"/>
    <n v="46.2"/>
    <x v="827"/>
    <x v="38"/>
    <x v="35"/>
    <x v="1"/>
    <x v="2"/>
    <x v="0"/>
    <x v="0"/>
    <x v="3"/>
    <x v="3"/>
    <x v="5"/>
    <x v="1"/>
  </r>
  <r>
    <s v="TX500956"/>
    <x v="1"/>
    <x v="0"/>
    <n v="74.400000000000006"/>
    <x v="610"/>
    <x v="38"/>
    <x v="37"/>
    <x v="1"/>
    <x v="4"/>
    <x v="2"/>
    <x v="0"/>
    <x v="3"/>
    <x v="1"/>
    <x v="5"/>
    <x v="1"/>
  </r>
  <r>
    <s v="TX500957"/>
    <x v="17"/>
    <x v="1"/>
    <n v="51.2"/>
    <x v="298"/>
    <x v="38"/>
    <x v="35"/>
    <x v="1"/>
    <x v="1"/>
    <x v="0"/>
    <x v="0"/>
    <x v="3"/>
    <x v="3"/>
    <x v="5"/>
    <x v="1"/>
  </r>
  <r>
    <s v="TX500958"/>
    <x v="14"/>
    <x v="12"/>
    <n v="11.8"/>
    <x v="828"/>
    <x v="38"/>
    <x v="39"/>
    <x v="1"/>
    <x v="2"/>
    <x v="0"/>
    <x v="0"/>
    <x v="3"/>
    <x v="7"/>
    <x v="5"/>
    <x v="1"/>
  </r>
  <r>
    <s v="TX500959"/>
    <x v="10"/>
    <x v="6"/>
    <n v="40.799999999999997"/>
    <x v="829"/>
    <x v="38"/>
    <x v="35"/>
    <x v="2"/>
    <x v="3"/>
    <x v="2"/>
    <x v="0"/>
    <x v="3"/>
    <x v="3"/>
    <x v="5"/>
    <x v="2"/>
  </r>
  <r>
    <s v="TX500960"/>
    <x v="8"/>
    <x v="0"/>
    <n v="24.7"/>
    <x v="830"/>
    <x v="38"/>
    <x v="37"/>
    <x v="2"/>
    <x v="2"/>
    <x v="1"/>
    <x v="0"/>
    <x v="3"/>
    <x v="1"/>
    <x v="5"/>
    <x v="2"/>
  </r>
  <r>
    <s v="TX500961"/>
    <x v="8"/>
    <x v="3"/>
    <n v="22.1"/>
    <x v="831"/>
    <x v="38"/>
    <x v="39"/>
    <x v="2"/>
    <x v="2"/>
    <x v="4"/>
    <x v="0"/>
    <x v="3"/>
    <x v="7"/>
    <x v="5"/>
    <x v="2"/>
  </r>
  <r>
    <s v="TX500962"/>
    <x v="8"/>
    <x v="0"/>
    <n v="18.100000000000001"/>
    <x v="832"/>
    <x v="38"/>
    <x v="44"/>
    <x v="1"/>
    <x v="3"/>
    <x v="2"/>
    <x v="0"/>
    <x v="3"/>
    <x v="5"/>
    <x v="5"/>
    <x v="1"/>
  </r>
  <r>
    <s v="TX500963"/>
    <x v="17"/>
    <x v="1"/>
    <n v="58.8"/>
    <x v="833"/>
    <x v="38"/>
    <x v="40"/>
    <x v="2"/>
    <x v="0"/>
    <x v="0"/>
    <x v="0"/>
    <x v="25"/>
    <x v="2"/>
    <x v="5"/>
    <x v="2"/>
  </r>
  <r>
    <s v="TX500964"/>
    <x v="18"/>
    <x v="1"/>
    <n v="30.8"/>
    <x v="834"/>
    <x v="38"/>
    <x v="35"/>
    <x v="2"/>
    <x v="0"/>
    <x v="0"/>
    <x v="0"/>
    <x v="6"/>
    <x v="3"/>
    <x v="5"/>
    <x v="2"/>
  </r>
  <r>
    <s v="TX500965"/>
    <x v="0"/>
    <x v="1"/>
    <n v="12"/>
    <x v="835"/>
    <x v="38"/>
    <x v="44"/>
    <x v="2"/>
    <x v="0"/>
    <x v="0"/>
    <x v="0"/>
    <x v="6"/>
    <x v="5"/>
    <x v="5"/>
    <x v="2"/>
  </r>
  <r>
    <s v="TX500966"/>
    <x v="0"/>
    <x v="12"/>
    <n v="13.6"/>
    <x v="630"/>
    <x v="38"/>
    <x v="40"/>
    <x v="1"/>
    <x v="2"/>
    <x v="0"/>
    <x v="0"/>
    <x v="6"/>
    <x v="2"/>
    <x v="5"/>
    <x v="1"/>
  </r>
  <r>
    <s v="TX500967"/>
    <x v="0"/>
    <x v="0"/>
    <n v="17.899999999999999"/>
    <x v="836"/>
    <x v="38"/>
    <x v="35"/>
    <x v="1"/>
    <x v="3"/>
    <x v="0"/>
    <x v="0"/>
    <x v="6"/>
    <x v="3"/>
    <x v="5"/>
    <x v="1"/>
  </r>
  <r>
    <s v="TX500968"/>
    <x v="9"/>
    <x v="1"/>
    <n v="38.6"/>
    <x v="837"/>
    <x v="38"/>
    <x v="44"/>
    <x v="2"/>
    <x v="4"/>
    <x v="0"/>
    <x v="0"/>
    <x v="7"/>
    <x v="5"/>
    <x v="5"/>
    <x v="2"/>
  </r>
  <r>
    <s v="TX500969"/>
    <x v="5"/>
    <x v="9"/>
    <n v="32.700000000000003"/>
    <x v="838"/>
    <x v="38"/>
    <x v="35"/>
    <x v="1"/>
    <x v="2"/>
    <x v="2"/>
    <x v="0"/>
    <x v="8"/>
    <x v="3"/>
    <x v="5"/>
    <x v="1"/>
  </r>
  <r>
    <s v="TX500970"/>
    <x v="3"/>
    <x v="1"/>
    <n v="111.4"/>
    <x v="839"/>
    <x v="38"/>
    <x v="35"/>
    <x v="2"/>
    <x v="1"/>
    <x v="0"/>
    <x v="0"/>
    <x v="8"/>
    <x v="3"/>
    <x v="5"/>
    <x v="2"/>
  </r>
  <r>
    <s v="TX500971"/>
    <x v="2"/>
    <x v="13"/>
    <n v="80.3"/>
    <x v="840"/>
    <x v="38"/>
    <x v="37"/>
    <x v="2"/>
    <x v="1"/>
    <x v="0"/>
    <x v="0"/>
    <x v="8"/>
    <x v="1"/>
    <x v="5"/>
    <x v="2"/>
  </r>
  <r>
    <s v="TX500972"/>
    <x v="6"/>
    <x v="1"/>
    <n v="58.9"/>
    <x v="841"/>
    <x v="38"/>
    <x v="35"/>
    <x v="1"/>
    <x v="1"/>
    <x v="0"/>
    <x v="0"/>
    <x v="8"/>
    <x v="3"/>
    <x v="5"/>
    <x v="1"/>
  </r>
  <r>
    <s v="TX500973"/>
    <x v="6"/>
    <x v="2"/>
    <n v="51.9"/>
    <x v="515"/>
    <x v="38"/>
    <x v="37"/>
    <x v="2"/>
    <x v="1"/>
    <x v="4"/>
    <x v="0"/>
    <x v="8"/>
    <x v="1"/>
    <x v="5"/>
    <x v="2"/>
  </r>
  <r>
    <s v="TX500974"/>
    <x v="2"/>
    <x v="2"/>
    <n v="50.3"/>
    <x v="842"/>
    <x v="38"/>
    <x v="35"/>
    <x v="1"/>
    <x v="2"/>
    <x v="0"/>
    <x v="0"/>
    <x v="17"/>
    <x v="3"/>
    <x v="5"/>
    <x v="1"/>
  </r>
  <r>
    <s v="TX500975"/>
    <x v="11"/>
    <x v="13"/>
    <n v="45"/>
    <x v="843"/>
    <x v="38"/>
    <x v="42"/>
    <x v="2"/>
    <x v="3"/>
    <x v="0"/>
    <x v="0"/>
    <x v="9"/>
    <x v="4"/>
    <x v="5"/>
    <x v="2"/>
  </r>
  <r>
    <s v="TX500976"/>
    <x v="10"/>
    <x v="13"/>
    <n v="44.7"/>
    <x v="844"/>
    <x v="38"/>
    <x v="37"/>
    <x v="2"/>
    <x v="2"/>
    <x v="0"/>
    <x v="0"/>
    <x v="11"/>
    <x v="1"/>
    <x v="5"/>
    <x v="2"/>
  </r>
  <r>
    <s v="TX500977"/>
    <x v="18"/>
    <x v="20"/>
    <n v="33"/>
    <x v="845"/>
    <x v="38"/>
    <x v="35"/>
    <x v="2"/>
    <x v="2"/>
    <x v="0"/>
    <x v="0"/>
    <x v="11"/>
    <x v="3"/>
    <x v="5"/>
    <x v="2"/>
  </r>
  <r>
    <s v="TX500978"/>
    <x v="1"/>
    <x v="9"/>
    <n v="44.9"/>
    <x v="846"/>
    <x v="38"/>
    <x v="40"/>
    <x v="2"/>
    <x v="2"/>
    <x v="2"/>
    <x v="0"/>
    <x v="18"/>
    <x v="2"/>
    <x v="5"/>
    <x v="2"/>
  </r>
  <r>
    <s v="TX500979"/>
    <x v="10"/>
    <x v="1"/>
    <n v="34.6"/>
    <x v="564"/>
    <x v="38"/>
    <x v="44"/>
    <x v="2"/>
    <x v="0"/>
    <x v="1"/>
    <x v="0"/>
    <x v="19"/>
    <x v="5"/>
    <x v="5"/>
    <x v="2"/>
  </r>
  <r>
    <s v="TX500980"/>
    <x v="7"/>
    <x v="3"/>
    <n v="47.1"/>
    <x v="847"/>
    <x v="38"/>
    <x v="45"/>
    <x v="2"/>
    <x v="0"/>
    <x v="0"/>
    <x v="0"/>
    <x v="13"/>
    <x v="0"/>
    <x v="5"/>
    <x v="2"/>
  </r>
  <r>
    <s v="TX500981"/>
    <x v="4"/>
    <x v="9"/>
    <n v="26.1"/>
    <x v="848"/>
    <x v="38"/>
    <x v="45"/>
    <x v="1"/>
    <x v="0"/>
    <x v="2"/>
    <x v="0"/>
    <x v="21"/>
    <x v="0"/>
    <x v="5"/>
    <x v="1"/>
  </r>
  <r>
    <s v="TX500982"/>
    <x v="12"/>
    <x v="9"/>
    <n v="66.8"/>
    <x v="849"/>
    <x v="38"/>
    <x v="40"/>
    <x v="2"/>
    <x v="0"/>
    <x v="0"/>
    <x v="0"/>
    <x v="21"/>
    <x v="2"/>
    <x v="5"/>
    <x v="2"/>
  </r>
  <r>
    <s v="TX500983"/>
    <x v="2"/>
    <x v="1"/>
    <n v="167.9"/>
    <x v="850"/>
    <x v="38"/>
    <x v="35"/>
    <x v="2"/>
    <x v="3"/>
    <x v="2"/>
    <x v="0"/>
    <x v="21"/>
    <x v="3"/>
    <x v="5"/>
    <x v="2"/>
  </r>
  <r>
    <s v="TX500984"/>
    <x v="10"/>
    <x v="11"/>
    <n v="34.6"/>
    <x v="851"/>
    <x v="38"/>
    <x v="35"/>
    <x v="2"/>
    <x v="2"/>
    <x v="1"/>
    <x v="0"/>
    <x v="21"/>
    <x v="3"/>
    <x v="5"/>
    <x v="2"/>
  </r>
  <r>
    <s v="TX500985"/>
    <x v="8"/>
    <x v="2"/>
    <n v="35.1"/>
    <x v="852"/>
    <x v="39"/>
    <x v="45"/>
    <x v="1"/>
    <x v="4"/>
    <x v="2"/>
    <x v="0"/>
    <x v="1"/>
    <x v="5"/>
    <x v="6"/>
    <x v="1"/>
  </r>
  <r>
    <s v="TX500986"/>
    <x v="6"/>
    <x v="12"/>
    <n v="104.5"/>
    <x v="378"/>
    <x v="39"/>
    <x v="37"/>
    <x v="1"/>
    <x v="1"/>
    <x v="1"/>
    <x v="0"/>
    <x v="1"/>
    <x v="3"/>
    <x v="6"/>
    <x v="1"/>
  </r>
  <r>
    <s v="TX500987"/>
    <x v="8"/>
    <x v="0"/>
    <n v="37.9"/>
    <x v="853"/>
    <x v="39"/>
    <x v="40"/>
    <x v="0"/>
    <x v="1"/>
    <x v="2"/>
    <x v="0"/>
    <x v="2"/>
    <x v="1"/>
    <x v="6"/>
    <x v="0"/>
  </r>
  <r>
    <s v="TX500988"/>
    <x v="4"/>
    <x v="2"/>
    <n v="25.5"/>
    <x v="514"/>
    <x v="39"/>
    <x v="44"/>
    <x v="1"/>
    <x v="3"/>
    <x v="0"/>
    <x v="0"/>
    <x v="2"/>
    <x v="2"/>
    <x v="6"/>
    <x v="1"/>
  </r>
  <r>
    <s v="TX500989"/>
    <x v="0"/>
    <x v="2"/>
    <n v="32"/>
    <x v="854"/>
    <x v="39"/>
    <x v="45"/>
    <x v="2"/>
    <x v="1"/>
    <x v="0"/>
    <x v="0"/>
    <x v="22"/>
    <x v="5"/>
    <x v="6"/>
    <x v="2"/>
  </r>
  <r>
    <s v="TX500990"/>
    <x v="1"/>
    <x v="0"/>
    <n v="47.1"/>
    <x v="392"/>
    <x v="39"/>
    <x v="37"/>
    <x v="2"/>
    <x v="0"/>
    <x v="0"/>
    <x v="0"/>
    <x v="34"/>
    <x v="3"/>
    <x v="6"/>
    <x v="2"/>
  </r>
  <r>
    <s v="TX500991"/>
    <x v="6"/>
    <x v="1"/>
    <n v="50.6"/>
    <x v="855"/>
    <x v="39"/>
    <x v="48"/>
    <x v="0"/>
    <x v="0"/>
    <x v="0"/>
    <x v="0"/>
    <x v="3"/>
    <x v="4"/>
    <x v="6"/>
    <x v="0"/>
  </r>
  <r>
    <s v="TX500992"/>
    <x v="6"/>
    <x v="9"/>
    <n v="81.7"/>
    <x v="856"/>
    <x v="39"/>
    <x v="37"/>
    <x v="2"/>
    <x v="1"/>
    <x v="2"/>
    <x v="0"/>
    <x v="3"/>
    <x v="3"/>
    <x v="6"/>
    <x v="2"/>
  </r>
  <r>
    <s v="TX500993"/>
    <x v="5"/>
    <x v="1"/>
    <n v="50.7"/>
    <x v="857"/>
    <x v="39"/>
    <x v="37"/>
    <x v="3"/>
    <x v="2"/>
    <x v="2"/>
    <x v="0"/>
    <x v="3"/>
    <x v="3"/>
    <x v="6"/>
    <x v="3"/>
  </r>
  <r>
    <s v="TX500994"/>
    <x v="2"/>
    <x v="10"/>
    <n v="67.3"/>
    <x v="858"/>
    <x v="39"/>
    <x v="45"/>
    <x v="2"/>
    <x v="2"/>
    <x v="0"/>
    <x v="0"/>
    <x v="3"/>
    <x v="5"/>
    <x v="6"/>
    <x v="2"/>
  </r>
  <r>
    <s v="TX500995"/>
    <x v="2"/>
    <x v="12"/>
    <n v="64.8"/>
    <x v="629"/>
    <x v="39"/>
    <x v="44"/>
    <x v="2"/>
    <x v="3"/>
    <x v="0"/>
    <x v="0"/>
    <x v="3"/>
    <x v="2"/>
    <x v="6"/>
    <x v="2"/>
  </r>
  <r>
    <s v="TX500996"/>
    <x v="5"/>
    <x v="32"/>
    <n v="61.3"/>
    <x v="859"/>
    <x v="39"/>
    <x v="37"/>
    <x v="2"/>
    <x v="0"/>
    <x v="2"/>
    <x v="0"/>
    <x v="3"/>
    <x v="3"/>
    <x v="6"/>
    <x v="2"/>
  </r>
  <r>
    <s v="TX500997"/>
    <x v="14"/>
    <x v="0"/>
    <n v="32.9"/>
    <x v="860"/>
    <x v="39"/>
    <x v="44"/>
    <x v="2"/>
    <x v="4"/>
    <x v="0"/>
    <x v="0"/>
    <x v="3"/>
    <x v="2"/>
    <x v="6"/>
    <x v="2"/>
  </r>
  <r>
    <s v="TX500998"/>
    <x v="6"/>
    <x v="1"/>
    <n v="100.8"/>
    <x v="861"/>
    <x v="39"/>
    <x v="44"/>
    <x v="2"/>
    <x v="0"/>
    <x v="0"/>
    <x v="0"/>
    <x v="3"/>
    <x v="2"/>
    <x v="6"/>
    <x v="2"/>
  </r>
  <r>
    <s v="TX500999"/>
    <x v="8"/>
    <x v="12"/>
    <n v="25.1"/>
    <x v="862"/>
    <x v="39"/>
    <x v="40"/>
    <x v="2"/>
    <x v="1"/>
    <x v="0"/>
    <x v="0"/>
    <x v="3"/>
    <x v="1"/>
    <x v="6"/>
    <x v="2"/>
  </r>
  <r>
    <s v="TX501000"/>
    <x v="17"/>
    <x v="0"/>
    <n v="48.5"/>
    <x v="319"/>
    <x v="39"/>
    <x v="37"/>
    <x v="2"/>
    <x v="0"/>
    <x v="1"/>
    <x v="0"/>
    <x v="3"/>
    <x v="3"/>
    <x v="6"/>
    <x v="2"/>
  </r>
  <r>
    <s v="TX501001"/>
    <x v="7"/>
    <x v="1"/>
    <n v="33.6"/>
    <x v="863"/>
    <x v="39"/>
    <x v="45"/>
    <x v="2"/>
    <x v="2"/>
    <x v="2"/>
    <x v="0"/>
    <x v="3"/>
    <x v="5"/>
    <x v="6"/>
    <x v="2"/>
  </r>
  <r>
    <s v="TX501002"/>
    <x v="8"/>
    <x v="0"/>
    <n v="39.299999999999997"/>
    <x v="864"/>
    <x v="39"/>
    <x v="49"/>
    <x v="2"/>
    <x v="1"/>
    <x v="1"/>
    <x v="0"/>
    <x v="49"/>
    <x v="11"/>
    <x v="6"/>
    <x v="2"/>
  </r>
  <r>
    <s v="TX501003"/>
    <x v="4"/>
    <x v="7"/>
    <n v="48.8"/>
    <x v="865"/>
    <x v="39"/>
    <x v="40"/>
    <x v="2"/>
    <x v="3"/>
    <x v="1"/>
    <x v="0"/>
    <x v="25"/>
    <x v="1"/>
    <x v="6"/>
    <x v="2"/>
  </r>
  <r>
    <s v="TX501004"/>
    <x v="6"/>
    <x v="8"/>
    <n v="72.8"/>
    <x v="866"/>
    <x v="39"/>
    <x v="40"/>
    <x v="1"/>
    <x v="1"/>
    <x v="2"/>
    <x v="0"/>
    <x v="5"/>
    <x v="1"/>
    <x v="6"/>
    <x v="1"/>
  </r>
  <r>
    <s v="TX501005"/>
    <x v="10"/>
    <x v="8"/>
    <n v="46.2"/>
    <x v="867"/>
    <x v="39"/>
    <x v="37"/>
    <x v="1"/>
    <x v="3"/>
    <x v="4"/>
    <x v="0"/>
    <x v="5"/>
    <x v="3"/>
    <x v="6"/>
    <x v="1"/>
  </r>
  <r>
    <s v="TX501006"/>
    <x v="4"/>
    <x v="1"/>
    <n v="20.7"/>
    <x v="50"/>
    <x v="39"/>
    <x v="37"/>
    <x v="2"/>
    <x v="2"/>
    <x v="3"/>
    <x v="0"/>
    <x v="6"/>
    <x v="3"/>
    <x v="6"/>
    <x v="2"/>
  </r>
  <r>
    <s v="TX501007"/>
    <x v="0"/>
    <x v="0"/>
    <n v="35.700000000000003"/>
    <x v="519"/>
    <x v="39"/>
    <x v="40"/>
    <x v="2"/>
    <x v="3"/>
    <x v="0"/>
    <x v="0"/>
    <x v="6"/>
    <x v="1"/>
    <x v="6"/>
    <x v="2"/>
  </r>
  <r>
    <s v="TX501008"/>
    <x v="2"/>
    <x v="27"/>
    <n v="166.2"/>
    <x v="868"/>
    <x v="39"/>
    <x v="40"/>
    <x v="0"/>
    <x v="2"/>
    <x v="0"/>
    <x v="0"/>
    <x v="7"/>
    <x v="1"/>
    <x v="6"/>
    <x v="0"/>
  </r>
  <r>
    <s v="TX501009"/>
    <x v="6"/>
    <x v="12"/>
    <n v="85.8"/>
    <x v="869"/>
    <x v="39"/>
    <x v="37"/>
    <x v="2"/>
    <x v="1"/>
    <x v="1"/>
    <x v="0"/>
    <x v="7"/>
    <x v="3"/>
    <x v="6"/>
    <x v="2"/>
  </r>
  <r>
    <s v="TX501010"/>
    <x v="8"/>
    <x v="2"/>
    <n v="26"/>
    <x v="292"/>
    <x v="39"/>
    <x v="40"/>
    <x v="3"/>
    <x v="1"/>
    <x v="0"/>
    <x v="0"/>
    <x v="7"/>
    <x v="1"/>
    <x v="6"/>
    <x v="3"/>
  </r>
  <r>
    <s v="TX501011"/>
    <x v="2"/>
    <x v="15"/>
    <n v="116.6"/>
    <x v="870"/>
    <x v="39"/>
    <x v="44"/>
    <x v="2"/>
    <x v="0"/>
    <x v="0"/>
    <x v="0"/>
    <x v="8"/>
    <x v="2"/>
    <x v="6"/>
    <x v="2"/>
  </r>
  <r>
    <s v="TX501012"/>
    <x v="9"/>
    <x v="3"/>
    <n v="53.9"/>
    <x v="871"/>
    <x v="39"/>
    <x v="44"/>
    <x v="3"/>
    <x v="0"/>
    <x v="2"/>
    <x v="0"/>
    <x v="8"/>
    <x v="2"/>
    <x v="6"/>
    <x v="3"/>
  </r>
  <r>
    <s v="TX501013"/>
    <x v="12"/>
    <x v="9"/>
    <n v="72.3"/>
    <x v="785"/>
    <x v="39"/>
    <x v="40"/>
    <x v="0"/>
    <x v="2"/>
    <x v="2"/>
    <x v="0"/>
    <x v="8"/>
    <x v="1"/>
    <x v="6"/>
    <x v="0"/>
  </r>
  <r>
    <s v="TX501014"/>
    <x v="5"/>
    <x v="1"/>
    <n v="31.4"/>
    <x v="143"/>
    <x v="39"/>
    <x v="40"/>
    <x v="2"/>
    <x v="0"/>
    <x v="0"/>
    <x v="0"/>
    <x v="8"/>
    <x v="1"/>
    <x v="6"/>
    <x v="2"/>
  </r>
  <r>
    <s v="TX501015"/>
    <x v="13"/>
    <x v="1"/>
    <n v="53.1"/>
    <x v="872"/>
    <x v="39"/>
    <x v="44"/>
    <x v="1"/>
    <x v="1"/>
    <x v="0"/>
    <x v="0"/>
    <x v="8"/>
    <x v="2"/>
    <x v="6"/>
    <x v="1"/>
  </r>
  <r>
    <s v="TX501016"/>
    <x v="2"/>
    <x v="12"/>
    <n v="56.2"/>
    <x v="873"/>
    <x v="39"/>
    <x v="37"/>
    <x v="2"/>
    <x v="0"/>
    <x v="0"/>
    <x v="0"/>
    <x v="8"/>
    <x v="3"/>
    <x v="6"/>
    <x v="2"/>
  </r>
  <r>
    <s v="TX501017"/>
    <x v="1"/>
    <x v="7"/>
    <n v="77.3"/>
    <x v="874"/>
    <x v="39"/>
    <x v="37"/>
    <x v="2"/>
    <x v="2"/>
    <x v="0"/>
    <x v="0"/>
    <x v="11"/>
    <x v="3"/>
    <x v="6"/>
    <x v="2"/>
  </r>
  <r>
    <s v="TX501018"/>
    <x v="6"/>
    <x v="15"/>
    <n v="57.8"/>
    <x v="875"/>
    <x v="39"/>
    <x v="37"/>
    <x v="0"/>
    <x v="0"/>
    <x v="0"/>
    <x v="0"/>
    <x v="53"/>
    <x v="3"/>
    <x v="6"/>
    <x v="0"/>
  </r>
  <r>
    <s v="TX501019"/>
    <x v="12"/>
    <x v="20"/>
    <n v="42.1"/>
    <x v="876"/>
    <x v="39"/>
    <x v="40"/>
    <x v="2"/>
    <x v="1"/>
    <x v="1"/>
    <x v="0"/>
    <x v="53"/>
    <x v="1"/>
    <x v="6"/>
    <x v="2"/>
  </r>
  <r>
    <s v="TX501020"/>
    <x v="8"/>
    <x v="11"/>
    <n v="22.8"/>
    <x v="877"/>
    <x v="39"/>
    <x v="45"/>
    <x v="1"/>
    <x v="2"/>
    <x v="2"/>
    <x v="0"/>
    <x v="19"/>
    <x v="5"/>
    <x v="6"/>
    <x v="1"/>
  </r>
  <r>
    <s v="TX501021"/>
    <x v="2"/>
    <x v="2"/>
    <n v="171.1"/>
    <x v="878"/>
    <x v="40"/>
    <x v="43"/>
    <x v="2"/>
    <x v="2"/>
    <x v="1"/>
    <x v="0"/>
    <x v="19"/>
    <x v="6"/>
    <x v="6"/>
    <x v="2"/>
  </r>
  <r>
    <s v="TX501022"/>
    <x v="8"/>
    <x v="0"/>
    <n v="28"/>
    <x v="879"/>
    <x v="40"/>
    <x v="44"/>
    <x v="1"/>
    <x v="2"/>
    <x v="2"/>
    <x v="0"/>
    <x v="21"/>
    <x v="1"/>
    <x v="6"/>
    <x v="1"/>
  </r>
  <r>
    <s v="TX501023"/>
    <x v="6"/>
    <x v="3"/>
    <n v="50.2"/>
    <x v="880"/>
    <x v="40"/>
    <x v="44"/>
    <x v="1"/>
    <x v="2"/>
    <x v="0"/>
    <x v="0"/>
    <x v="21"/>
    <x v="1"/>
    <x v="6"/>
    <x v="1"/>
  </r>
  <r>
    <s v="TX501024"/>
    <x v="6"/>
    <x v="1"/>
    <n v="56"/>
    <x v="881"/>
    <x v="40"/>
    <x v="37"/>
    <x v="1"/>
    <x v="0"/>
    <x v="2"/>
    <x v="0"/>
    <x v="22"/>
    <x v="7"/>
    <x v="6"/>
    <x v="1"/>
  </r>
  <r>
    <s v="TX501025"/>
    <x v="1"/>
    <x v="1"/>
    <n v="38.299999999999997"/>
    <x v="882"/>
    <x v="40"/>
    <x v="40"/>
    <x v="2"/>
    <x v="1"/>
    <x v="0"/>
    <x v="0"/>
    <x v="3"/>
    <x v="3"/>
    <x v="6"/>
    <x v="2"/>
  </r>
  <r>
    <s v="TX501026"/>
    <x v="0"/>
    <x v="9"/>
    <n v="22.3"/>
    <x v="883"/>
    <x v="40"/>
    <x v="42"/>
    <x v="2"/>
    <x v="2"/>
    <x v="1"/>
    <x v="0"/>
    <x v="3"/>
    <x v="5"/>
    <x v="6"/>
    <x v="2"/>
  </r>
  <r>
    <s v="TX501027"/>
    <x v="0"/>
    <x v="2"/>
    <n v="22.3"/>
    <x v="884"/>
    <x v="40"/>
    <x v="45"/>
    <x v="2"/>
    <x v="2"/>
    <x v="0"/>
    <x v="0"/>
    <x v="3"/>
    <x v="2"/>
    <x v="6"/>
    <x v="2"/>
  </r>
  <r>
    <s v="TX501028"/>
    <x v="1"/>
    <x v="0"/>
    <n v="32.9"/>
    <x v="860"/>
    <x v="40"/>
    <x v="48"/>
    <x v="2"/>
    <x v="0"/>
    <x v="0"/>
    <x v="0"/>
    <x v="3"/>
    <x v="0"/>
    <x v="6"/>
    <x v="2"/>
  </r>
  <r>
    <s v="TX501029"/>
    <x v="10"/>
    <x v="2"/>
    <n v="31.9"/>
    <x v="802"/>
    <x v="40"/>
    <x v="48"/>
    <x v="2"/>
    <x v="0"/>
    <x v="0"/>
    <x v="0"/>
    <x v="3"/>
    <x v="0"/>
    <x v="6"/>
    <x v="2"/>
  </r>
  <r>
    <s v="TX501030"/>
    <x v="6"/>
    <x v="1"/>
    <n v="94"/>
    <x v="885"/>
    <x v="40"/>
    <x v="40"/>
    <x v="1"/>
    <x v="2"/>
    <x v="2"/>
    <x v="0"/>
    <x v="3"/>
    <x v="3"/>
    <x v="6"/>
    <x v="1"/>
  </r>
  <r>
    <s v="TX501031"/>
    <x v="10"/>
    <x v="1"/>
    <n v="30.7"/>
    <x v="886"/>
    <x v="40"/>
    <x v="40"/>
    <x v="2"/>
    <x v="0"/>
    <x v="1"/>
    <x v="0"/>
    <x v="3"/>
    <x v="3"/>
    <x v="6"/>
    <x v="2"/>
  </r>
  <r>
    <s v="TX501032"/>
    <x v="5"/>
    <x v="9"/>
    <n v="90.5"/>
    <x v="887"/>
    <x v="40"/>
    <x v="43"/>
    <x v="1"/>
    <x v="0"/>
    <x v="2"/>
    <x v="0"/>
    <x v="3"/>
    <x v="6"/>
    <x v="6"/>
    <x v="1"/>
  </r>
  <r>
    <s v="TX501033"/>
    <x v="8"/>
    <x v="9"/>
    <n v="25.3"/>
    <x v="888"/>
    <x v="40"/>
    <x v="42"/>
    <x v="2"/>
    <x v="0"/>
    <x v="2"/>
    <x v="0"/>
    <x v="3"/>
    <x v="5"/>
    <x v="6"/>
    <x v="2"/>
  </r>
  <r>
    <s v="TX501034"/>
    <x v="6"/>
    <x v="2"/>
    <n v="58.1"/>
    <x v="889"/>
    <x v="40"/>
    <x v="42"/>
    <x v="0"/>
    <x v="0"/>
    <x v="2"/>
    <x v="0"/>
    <x v="3"/>
    <x v="5"/>
    <x v="6"/>
    <x v="0"/>
  </r>
  <r>
    <s v="TX501035"/>
    <x v="2"/>
    <x v="2"/>
    <n v="74.900000000000006"/>
    <x v="890"/>
    <x v="40"/>
    <x v="40"/>
    <x v="2"/>
    <x v="4"/>
    <x v="0"/>
    <x v="0"/>
    <x v="3"/>
    <x v="3"/>
    <x v="6"/>
    <x v="2"/>
  </r>
  <r>
    <s v="TX501036"/>
    <x v="4"/>
    <x v="1"/>
    <n v="32.5"/>
    <x v="891"/>
    <x v="40"/>
    <x v="40"/>
    <x v="1"/>
    <x v="2"/>
    <x v="2"/>
    <x v="0"/>
    <x v="43"/>
    <x v="3"/>
    <x v="6"/>
    <x v="1"/>
  </r>
  <r>
    <s v="TX501037"/>
    <x v="4"/>
    <x v="9"/>
    <n v="62"/>
    <x v="892"/>
    <x v="40"/>
    <x v="40"/>
    <x v="1"/>
    <x v="4"/>
    <x v="2"/>
    <x v="0"/>
    <x v="25"/>
    <x v="3"/>
    <x v="6"/>
    <x v="1"/>
  </r>
  <r>
    <s v="TX501038"/>
    <x v="13"/>
    <x v="13"/>
    <n v="28.9"/>
    <x v="893"/>
    <x v="40"/>
    <x v="45"/>
    <x v="2"/>
    <x v="0"/>
    <x v="1"/>
    <x v="0"/>
    <x v="6"/>
    <x v="2"/>
    <x v="6"/>
    <x v="2"/>
  </r>
  <r>
    <s v="TX501039"/>
    <x v="6"/>
    <x v="8"/>
    <n v="42.8"/>
    <x v="894"/>
    <x v="40"/>
    <x v="44"/>
    <x v="2"/>
    <x v="0"/>
    <x v="2"/>
    <x v="0"/>
    <x v="6"/>
    <x v="1"/>
    <x v="6"/>
    <x v="2"/>
  </r>
  <r>
    <s v="TX501040"/>
    <x v="8"/>
    <x v="8"/>
    <n v="39.4"/>
    <x v="895"/>
    <x v="40"/>
    <x v="44"/>
    <x v="1"/>
    <x v="0"/>
    <x v="0"/>
    <x v="0"/>
    <x v="36"/>
    <x v="1"/>
    <x v="6"/>
    <x v="1"/>
  </r>
  <r>
    <s v="TX501041"/>
    <x v="18"/>
    <x v="2"/>
    <n v="66.400000000000006"/>
    <x v="896"/>
    <x v="40"/>
    <x v="40"/>
    <x v="0"/>
    <x v="2"/>
    <x v="1"/>
    <x v="0"/>
    <x v="7"/>
    <x v="3"/>
    <x v="6"/>
    <x v="0"/>
  </r>
  <r>
    <s v="TX501042"/>
    <x v="17"/>
    <x v="12"/>
    <n v="35.9"/>
    <x v="897"/>
    <x v="40"/>
    <x v="43"/>
    <x v="2"/>
    <x v="1"/>
    <x v="0"/>
    <x v="0"/>
    <x v="7"/>
    <x v="6"/>
    <x v="6"/>
    <x v="2"/>
  </r>
  <r>
    <s v="TX501043"/>
    <x v="0"/>
    <x v="12"/>
    <n v="26.9"/>
    <x v="799"/>
    <x v="40"/>
    <x v="40"/>
    <x v="1"/>
    <x v="1"/>
    <x v="0"/>
    <x v="0"/>
    <x v="7"/>
    <x v="3"/>
    <x v="6"/>
    <x v="1"/>
  </r>
  <r>
    <s v="TX501044"/>
    <x v="2"/>
    <x v="0"/>
    <n v="55.1"/>
    <x v="898"/>
    <x v="40"/>
    <x v="40"/>
    <x v="2"/>
    <x v="0"/>
    <x v="0"/>
    <x v="0"/>
    <x v="7"/>
    <x v="3"/>
    <x v="6"/>
    <x v="2"/>
  </r>
  <r>
    <s v="TX501045"/>
    <x v="4"/>
    <x v="1"/>
    <n v="23.9"/>
    <x v="538"/>
    <x v="40"/>
    <x v="40"/>
    <x v="1"/>
    <x v="0"/>
    <x v="2"/>
    <x v="0"/>
    <x v="8"/>
    <x v="3"/>
    <x v="6"/>
    <x v="1"/>
  </r>
  <r>
    <s v="TX501046"/>
    <x v="9"/>
    <x v="15"/>
    <n v="21.1"/>
    <x v="899"/>
    <x v="40"/>
    <x v="50"/>
    <x v="2"/>
    <x v="0"/>
    <x v="1"/>
    <x v="0"/>
    <x v="8"/>
    <x v="9"/>
    <x v="6"/>
    <x v="2"/>
  </r>
  <r>
    <s v="TX501047"/>
    <x v="8"/>
    <x v="9"/>
    <n v="33.799999999999997"/>
    <x v="900"/>
    <x v="40"/>
    <x v="44"/>
    <x v="2"/>
    <x v="0"/>
    <x v="0"/>
    <x v="0"/>
    <x v="8"/>
    <x v="1"/>
    <x v="6"/>
    <x v="2"/>
  </r>
  <r>
    <s v="TX501048"/>
    <x v="2"/>
    <x v="12"/>
    <n v="56.1"/>
    <x v="901"/>
    <x v="40"/>
    <x v="37"/>
    <x v="2"/>
    <x v="3"/>
    <x v="2"/>
    <x v="0"/>
    <x v="9"/>
    <x v="7"/>
    <x v="6"/>
    <x v="2"/>
  </r>
  <r>
    <s v="TX501049"/>
    <x v="3"/>
    <x v="0"/>
    <n v="58.5"/>
    <x v="902"/>
    <x v="41"/>
    <x v="48"/>
    <x v="2"/>
    <x v="1"/>
    <x v="2"/>
    <x v="0"/>
    <x v="9"/>
    <x v="5"/>
    <x v="6"/>
    <x v="2"/>
  </r>
  <r>
    <s v="TX501050"/>
    <x v="6"/>
    <x v="0"/>
    <n v="84.2"/>
    <x v="903"/>
    <x v="41"/>
    <x v="45"/>
    <x v="1"/>
    <x v="3"/>
    <x v="0"/>
    <x v="0"/>
    <x v="11"/>
    <x v="1"/>
    <x v="6"/>
    <x v="1"/>
  </r>
  <r>
    <s v="TX501051"/>
    <x v="11"/>
    <x v="12"/>
    <n v="52"/>
    <x v="904"/>
    <x v="41"/>
    <x v="42"/>
    <x v="1"/>
    <x v="0"/>
    <x v="0"/>
    <x v="0"/>
    <x v="11"/>
    <x v="2"/>
    <x v="6"/>
    <x v="1"/>
  </r>
  <r>
    <s v="TX501052"/>
    <x v="4"/>
    <x v="9"/>
    <n v="31.5"/>
    <x v="905"/>
    <x v="41"/>
    <x v="44"/>
    <x v="2"/>
    <x v="0"/>
    <x v="2"/>
    <x v="0"/>
    <x v="11"/>
    <x v="3"/>
    <x v="6"/>
    <x v="2"/>
  </r>
  <r>
    <s v="TX501053"/>
    <x v="16"/>
    <x v="2"/>
    <n v="46.2"/>
    <x v="209"/>
    <x v="41"/>
    <x v="44"/>
    <x v="1"/>
    <x v="0"/>
    <x v="0"/>
    <x v="0"/>
    <x v="53"/>
    <x v="3"/>
    <x v="6"/>
    <x v="1"/>
  </r>
  <r>
    <s v="TX501054"/>
    <x v="2"/>
    <x v="13"/>
    <n v="135"/>
    <x v="906"/>
    <x v="41"/>
    <x v="44"/>
    <x v="2"/>
    <x v="1"/>
    <x v="2"/>
    <x v="0"/>
    <x v="18"/>
    <x v="3"/>
    <x v="6"/>
    <x v="2"/>
  </r>
  <r>
    <s v="TX501055"/>
    <x v="12"/>
    <x v="2"/>
    <n v="92.2"/>
    <x v="907"/>
    <x v="41"/>
    <x v="48"/>
    <x v="1"/>
    <x v="0"/>
    <x v="0"/>
    <x v="0"/>
    <x v="21"/>
    <x v="5"/>
    <x v="6"/>
    <x v="1"/>
  </r>
  <r>
    <s v="TX501056"/>
    <x v="8"/>
    <x v="0"/>
    <n v="36.6"/>
    <x v="547"/>
    <x v="41"/>
    <x v="45"/>
    <x v="1"/>
    <x v="2"/>
    <x v="2"/>
    <x v="0"/>
    <x v="21"/>
    <x v="1"/>
    <x v="6"/>
    <x v="1"/>
  </r>
  <r>
    <s v="TX501057"/>
    <x v="9"/>
    <x v="1"/>
    <n v="50.6"/>
    <x v="855"/>
    <x v="41"/>
    <x v="42"/>
    <x v="2"/>
    <x v="0"/>
    <x v="0"/>
    <x v="0"/>
    <x v="2"/>
    <x v="2"/>
    <x v="6"/>
    <x v="2"/>
  </r>
  <r>
    <s v="TX501058"/>
    <x v="18"/>
    <x v="3"/>
    <n v="56.7"/>
    <x v="908"/>
    <x v="41"/>
    <x v="42"/>
    <x v="2"/>
    <x v="0"/>
    <x v="0"/>
    <x v="0"/>
    <x v="2"/>
    <x v="2"/>
    <x v="6"/>
    <x v="2"/>
  </r>
  <r>
    <s v="TX501059"/>
    <x v="9"/>
    <x v="15"/>
    <n v="22.9"/>
    <x v="909"/>
    <x v="41"/>
    <x v="44"/>
    <x v="2"/>
    <x v="0"/>
    <x v="1"/>
    <x v="0"/>
    <x v="44"/>
    <x v="3"/>
    <x v="6"/>
    <x v="2"/>
  </r>
  <r>
    <s v="TX501060"/>
    <x v="15"/>
    <x v="10"/>
    <n v="53.6"/>
    <x v="910"/>
    <x v="41"/>
    <x v="44"/>
    <x v="1"/>
    <x v="0"/>
    <x v="0"/>
    <x v="0"/>
    <x v="22"/>
    <x v="3"/>
    <x v="6"/>
    <x v="1"/>
  </r>
  <r>
    <s v="TX501061"/>
    <x v="18"/>
    <x v="1"/>
    <n v="30.2"/>
    <x v="266"/>
    <x v="41"/>
    <x v="45"/>
    <x v="0"/>
    <x v="2"/>
    <x v="2"/>
    <x v="0"/>
    <x v="3"/>
    <x v="1"/>
    <x v="6"/>
    <x v="0"/>
  </r>
  <r>
    <s v="TX501062"/>
    <x v="15"/>
    <x v="13"/>
    <n v="83.4"/>
    <x v="911"/>
    <x v="41"/>
    <x v="44"/>
    <x v="1"/>
    <x v="1"/>
    <x v="2"/>
    <x v="0"/>
    <x v="3"/>
    <x v="3"/>
    <x v="6"/>
    <x v="1"/>
  </r>
  <r>
    <s v="TX501063"/>
    <x v="13"/>
    <x v="4"/>
    <n v="16.600000000000001"/>
    <x v="896"/>
    <x v="41"/>
    <x v="45"/>
    <x v="1"/>
    <x v="1"/>
    <x v="0"/>
    <x v="0"/>
    <x v="3"/>
    <x v="1"/>
    <x v="6"/>
    <x v="1"/>
  </r>
  <r>
    <s v="TX501064"/>
    <x v="8"/>
    <x v="14"/>
    <n v="21.9"/>
    <x v="912"/>
    <x v="41"/>
    <x v="45"/>
    <x v="2"/>
    <x v="4"/>
    <x v="1"/>
    <x v="0"/>
    <x v="3"/>
    <x v="1"/>
    <x v="6"/>
    <x v="2"/>
  </r>
  <r>
    <s v="TX501065"/>
    <x v="8"/>
    <x v="31"/>
    <n v="33.799999999999997"/>
    <x v="913"/>
    <x v="41"/>
    <x v="45"/>
    <x v="1"/>
    <x v="2"/>
    <x v="4"/>
    <x v="0"/>
    <x v="3"/>
    <x v="1"/>
    <x v="6"/>
    <x v="1"/>
  </r>
  <r>
    <s v="TX501066"/>
    <x v="18"/>
    <x v="1"/>
    <n v="53.2"/>
    <x v="793"/>
    <x v="41"/>
    <x v="40"/>
    <x v="1"/>
    <x v="1"/>
    <x v="0"/>
    <x v="0"/>
    <x v="3"/>
    <x v="7"/>
    <x v="6"/>
    <x v="1"/>
  </r>
  <r>
    <s v="TX501067"/>
    <x v="2"/>
    <x v="1"/>
    <n v="176.7"/>
    <x v="914"/>
    <x v="41"/>
    <x v="42"/>
    <x v="2"/>
    <x v="2"/>
    <x v="0"/>
    <x v="0"/>
    <x v="3"/>
    <x v="2"/>
    <x v="6"/>
    <x v="2"/>
  </r>
  <r>
    <s v="TX501068"/>
    <x v="12"/>
    <x v="2"/>
    <n v="54"/>
    <x v="915"/>
    <x v="41"/>
    <x v="42"/>
    <x v="1"/>
    <x v="0"/>
    <x v="1"/>
    <x v="0"/>
    <x v="3"/>
    <x v="2"/>
    <x v="6"/>
    <x v="1"/>
  </r>
  <r>
    <s v="TX501069"/>
    <x v="9"/>
    <x v="1"/>
    <n v="70.099999999999994"/>
    <x v="634"/>
    <x v="41"/>
    <x v="46"/>
    <x v="2"/>
    <x v="3"/>
    <x v="2"/>
    <x v="0"/>
    <x v="3"/>
    <x v="9"/>
    <x v="6"/>
    <x v="2"/>
  </r>
  <r>
    <s v="TX501070"/>
    <x v="8"/>
    <x v="0"/>
    <n v="26.5"/>
    <x v="38"/>
    <x v="41"/>
    <x v="45"/>
    <x v="2"/>
    <x v="1"/>
    <x v="0"/>
    <x v="0"/>
    <x v="3"/>
    <x v="1"/>
    <x v="6"/>
    <x v="2"/>
  </r>
  <r>
    <s v="TX501071"/>
    <x v="7"/>
    <x v="9"/>
    <n v="89"/>
    <x v="916"/>
    <x v="41"/>
    <x v="45"/>
    <x v="1"/>
    <x v="2"/>
    <x v="4"/>
    <x v="0"/>
    <x v="3"/>
    <x v="1"/>
    <x v="6"/>
    <x v="1"/>
  </r>
  <r>
    <s v="TX501072"/>
    <x v="1"/>
    <x v="13"/>
    <n v="47"/>
    <x v="917"/>
    <x v="41"/>
    <x v="42"/>
    <x v="2"/>
    <x v="3"/>
    <x v="0"/>
    <x v="0"/>
    <x v="24"/>
    <x v="2"/>
    <x v="6"/>
    <x v="2"/>
  </r>
  <r>
    <s v="TX501073"/>
    <x v="3"/>
    <x v="1"/>
    <n v="55.2"/>
    <x v="918"/>
    <x v="41"/>
    <x v="42"/>
    <x v="1"/>
    <x v="1"/>
    <x v="1"/>
    <x v="0"/>
    <x v="6"/>
    <x v="2"/>
    <x v="6"/>
    <x v="1"/>
  </r>
  <r>
    <s v="TX501074"/>
    <x v="8"/>
    <x v="39"/>
    <n v="33.299999999999997"/>
    <x v="919"/>
    <x v="41"/>
    <x v="51"/>
    <x v="1"/>
    <x v="1"/>
    <x v="2"/>
    <x v="0"/>
    <x v="6"/>
    <x v="12"/>
    <x v="6"/>
    <x v="1"/>
  </r>
  <r>
    <s v="TX501075"/>
    <x v="2"/>
    <x v="12"/>
    <n v="110.9"/>
    <x v="920"/>
    <x v="42"/>
    <x v="44"/>
    <x v="1"/>
    <x v="2"/>
    <x v="4"/>
    <x v="0"/>
    <x v="6"/>
    <x v="7"/>
    <x v="6"/>
    <x v="1"/>
  </r>
  <r>
    <s v="TX501076"/>
    <x v="2"/>
    <x v="13"/>
    <n v="67.3"/>
    <x v="921"/>
    <x v="42"/>
    <x v="45"/>
    <x v="1"/>
    <x v="0"/>
    <x v="0"/>
    <x v="0"/>
    <x v="8"/>
    <x v="3"/>
    <x v="6"/>
    <x v="1"/>
  </r>
  <r>
    <s v="TX501077"/>
    <x v="6"/>
    <x v="2"/>
    <n v="69.7"/>
    <x v="922"/>
    <x v="42"/>
    <x v="45"/>
    <x v="1"/>
    <x v="2"/>
    <x v="1"/>
    <x v="0"/>
    <x v="8"/>
    <x v="3"/>
    <x v="6"/>
    <x v="1"/>
  </r>
  <r>
    <s v="TX501078"/>
    <x v="5"/>
    <x v="0"/>
    <n v="39.1"/>
    <x v="923"/>
    <x v="42"/>
    <x v="43"/>
    <x v="1"/>
    <x v="0"/>
    <x v="1"/>
    <x v="0"/>
    <x v="17"/>
    <x v="0"/>
    <x v="6"/>
    <x v="1"/>
  </r>
  <r>
    <s v="TX501079"/>
    <x v="2"/>
    <x v="2"/>
    <n v="208.6"/>
    <x v="924"/>
    <x v="42"/>
    <x v="44"/>
    <x v="1"/>
    <x v="4"/>
    <x v="2"/>
    <x v="0"/>
    <x v="17"/>
    <x v="7"/>
    <x v="6"/>
    <x v="1"/>
  </r>
  <r>
    <s v="TX501080"/>
    <x v="15"/>
    <x v="2"/>
    <n v="27.8"/>
    <x v="925"/>
    <x v="42"/>
    <x v="45"/>
    <x v="1"/>
    <x v="3"/>
    <x v="1"/>
    <x v="0"/>
    <x v="11"/>
    <x v="3"/>
    <x v="6"/>
    <x v="1"/>
  </r>
  <r>
    <s v="TX501081"/>
    <x v="10"/>
    <x v="9"/>
    <n v="29.4"/>
    <x v="926"/>
    <x v="42"/>
    <x v="42"/>
    <x v="2"/>
    <x v="0"/>
    <x v="0"/>
    <x v="0"/>
    <x v="11"/>
    <x v="1"/>
    <x v="6"/>
    <x v="2"/>
  </r>
  <r>
    <s v="TX501082"/>
    <x v="9"/>
    <x v="1"/>
    <n v="29.2"/>
    <x v="305"/>
    <x v="42"/>
    <x v="42"/>
    <x v="2"/>
    <x v="1"/>
    <x v="2"/>
    <x v="0"/>
    <x v="20"/>
    <x v="1"/>
    <x v="6"/>
    <x v="2"/>
  </r>
  <r>
    <s v="TX501083"/>
    <x v="10"/>
    <x v="9"/>
    <n v="26.5"/>
    <x v="927"/>
    <x v="42"/>
    <x v="42"/>
    <x v="2"/>
    <x v="0"/>
    <x v="0"/>
    <x v="0"/>
    <x v="52"/>
    <x v="1"/>
    <x v="6"/>
    <x v="2"/>
  </r>
  <r>
    <s v="TX501084"/>
    <x v="5"/>
    <x v="0"/>
    <n v="30.3"/>
    <x v="928"/>
    <x v="42"/>
    <x v="45"/>
    <x v="2"/>
    <x v="4"/>
    <x v="1"/>
    <x v="0"/>
    <x v="13"/>
    <x v="3"/>
    <x v="6"/>
    <x v="2"/>
  </r>
  <r>
    <s v="TX501085"/>
    <x v="16"/>
    <x v="4"/>
    <n v="39.700000000000003"/>
    <x v="929"/>
    <x v="42"/>
    <x v="45"/>
    <x v="2"/>
    <x v="0"/>
    <x v="0"/>
    <x v="0"/>
    <x v="21"/>
    <x v="3"/>
    <x v="6"/>
    <x v="2"/>
  </r>
  <r>
    <s v="TX501086"/>
    <x v="7"/>
    <x v="7"/>
    <n v="58.9"/>
    <x v="930"/>
    <x v="42"/>
    <x v="42"/>
    <x v="2"/>
    <x v="1"/>
    <x v="4"/>
    <x v="0"/>
    <x v="21"/>
    <x v="1"/>
    <x v="6"/>
    <x v="2"/>
  </r>
  <r>
    <s v="TX501087"/>
    <x v="2"/>
    <x v="1"/>
    <n v="174.1"/>
    <x v="931"/>
    <x v="42"/>
    <x v="42"/>
    <x v="2"/>
    <x v="0"/>
    <x v="1"/>
    <x v="0"/>
    <x v="46"/>
    <x v="1"/>
    <x v="6"/>
    <x v="2"/>
  </r>
  <r>
    <s v="TX501088"/>
    <x v="6"/>
    <x v="1"/>
    <n v="70.8"/>
    <x v="932"/>
    <x v="42"/>
    <x v="48"/>
    <x v="1"/>
    <x v="2"/>
    <x v="0"/>
    <x v="0"/>
    <x v="22"/>
    <x v="2"/>
    <x v="6"/>
    <x v="1"/>
  </r>
  <r>
    <s v="TX501089"/>
    <x v="7"/>
    <x v="1"/>
    <n v="57.4"/>
    <x v="311"/>
    <x v="42"/>
    <x v="42"/>
    <x v="2"/>
    <x v="1"/>
    <x v="1"/>
    <x v="0"/>
    <x v="34"/>
    <x v="1"/>
    <x v="6"/>
    <x v="2"/>
  </r>
  <r>
    <s v="TX501090"/>
    <x v="0"/>
    <x v="1"/>
    <n v="28.5"/>
    <x v="933"/>
    <x v="42"/>
    <x v="42"/>
    <x v="1"/>
    <x v="3"/>
    <x v="1"/>
    <x v="0"/>
    <x v="3"/>
    <x v="1"/>
    <x v="6"/>
    <x v="1"/>
  </r>
  <r>
    <s v="TX501091"/>
    <x v="2"/>
    <x v="28"/>
    <n v="106.6"/>
    <x v="934"/>
    <x v="42"/>
    <x v="45"/>
    <x v="0"/>
    <x v="1"/>
    <x v="4"/>
    <x v="0"/>
    <x v="3"/>
    <x v="3"/>
    <x v="6"/>
    <x v="0"/>
  </r>
  <r>
    <s v="TX501092"/>
    <x v="2"/>
    <x v="2"/>
    <n v="119.7"/>
    <x v="935"/>
    <x v="42"/>
    <x v="45"/>
    <x v="2"/>
    <x v="1"/>
    <x v="4"/>
    <x v="0"/>
    <x v="3"/>
    <x v="3"/>
    <x v="6"/>
    <x v="2"/>
  </r>
  <r>
    <s v="TX501093"/>
    <x v="18"/>
    <x v="0"/>
    <n v="73.3"/>
    <x v="936"/>
    <x v="42"/>
    <x v="43"/>
    <x v="2"/>
    <x v="0"/>
    <x v="2"/>
    <x v="0"/>
    <x v="3"/>
    <x v="0"/>
    <x v="6"/>
    <x v="2"/>
  </r>
  <r>
    <s v="TX501094"/>
    <x v="0"/>
    <x v="1"/>
    <n v="25.8"/>
    <x v="937"/>
    <x v="42"/>
    <x v="52"/>
    <x v="1"/>
    <x v="2"/>
    <x v="0"/>
    <x v="0"/>
    <x v="3"/>
    <x v="12"/>
    <x v="6"/>
    <x v="1"/>
  </r>
  <r>
    <s v="TX501095"/>
    <x v="17"/>
    <x v="2"/>
    <n v="49.1"/>
    <x v="824"/>
    <x v="42"/>
    <x v="42"/>
    <x v="2"/>
    <x v="0"/>
    <x v="0"/>
    <x v="0"/>
    <x v="24"/>
    <x v="1"/>
    <x v="6"/>
    <x v="2"/>
  </r>
  <r>
    <s v="TX501096"/>
    <x v="1"/>
    <x v="0"/>
    <n v="44.9"/>
    <x v="938"/>
    <x v="42"/>
    <x v="48"/>
    <x v="2"/>
    <x v="3"/>
    <x v="2"/>
    <x v="0"/>
    <x v="6"/>
    <x v="2"/>
    <x v="6"/>
    <x v="2"/>
  </r>
  <r>
    <s v="TX501097"/>
    <x v="15"/>
    <x v="3"/>
    <n v="29.9"/>
    <x v="549"/>
    <x v="42"/>
    <x v="45"/>
    <x v="2"/>
    <x v="0"/>
    <x v="0"/>
    <x v="0"/>
    <x v="6"/>
    <x v="3"/>
    <x v="6"/>
    <x v="2"/>
  </r>
  <r>
    <s v="TX501098"/>
    <x v="7"/>
    <x v="1"/>
    <n v="54.3"/>
    <x v="939"/>
    <x v="43"/>
    <x v="42"/>
    <x v="1"/>
    <x v="3"/>
    <x v="0"/>
    <x v="0"/>
    <x v="36"/>
    <x v="3"/>
    <x v="6"/>
    <x v="1"/>
  </r>
  <r>
    <s v="TX501099"/>
    <x v="9"/>
    <x v="12"/>
    <n v="57"/>
    <x v="416"/>
    <x v="43"/>
    <x v="48"/>
    <x v="2"/>
    <x v="0"/>
    <x v="0"/>
    <x v="0"/>
    <x v="8"/>
    <x v="1"/>
    <x v="6"/>
    <x v="2"/>
  </r>
  <r>
    <s v="TX501100"/>
    <x v="2"/>
    <x v="0"/>
    <n v="139.19999999999999"/>
    <x v="388"/>
    <x v="43"/>
    <x v="42"/>
    <x v="2"/>
    <x v="3"/>
    <x v="2"/>
    <x v="0"/>
    <x v="8"/>
    <x v="3"/>
    <x v="6"/>
    <x v="2"/>
  </r>
  <r>
    <s v="TX501101"/>
    <x v="10"/>
    <x v="0"/>
    <n v="33"/>
    <x v="940"/>
    <x v="43"/>
    <x v="41"/>
    <x v="2"/>
    <x v="0"/>
    <x v="2"/>
    <x v="0"/>
    <x v="8"/>
    <x v="2"/>
    <x v="6"/>
    <x v="2"/>
  </r>
  <r>
    <s v="TX501102"/>
    <x v="11"/>
    <x v="13"/>
    <n v="80.2"/>
    <x v="941"/>
    <x v="43"/>
    <x v="48"/>
    <x v="1"/>
    <x v="1"/>
    <x v="4"/>
    <x v="0"/>
    <x v="8"/>
    <x v="1"/>
    <x v="6"/>
    <x v="1"/>
  </r>
  <r>
    <s v="TX501103"/>
    <x v="18"/>
    <x v="8"/>
    <n v="49"/>
    <x v="942"/>
    <x v="43"/>
    <x v="42"/>
    <x v="0"/>
    <x v="2"/>
    <x v="1"/>
    <x v="0"/>
    <x v="9"/>
    <x v="3"/>
    <x v="6"/>
    <x v="0"/>
  </r>
  <r>
    <s v="TX501104"/>
    <x v="1"/>
    <x v="12"/>
    <n v="104.4"/>
    <x v="943"/>
    <x v="43"/>
    <x v="45"/>
    <x v="2"/>
    <x v="0"/>
    <x v="0"/>
    <x v="0"/>
    <x v="9"/>
    <x v="7"/>
    <x v="6"/>
    <x v="2"/>
  </r>
  <r>
    <s v="TX501105"/>
    <x v="3"/>
    <x v="0"/>
    <n v="41.6"/>
    <x v="480"/>
    <x v="43"/>
    <x v="41"/>
    <x v="1"/>
    <x v="3"/>
    <x v="0"/>
    <x v="0"/>
    <x v="11"/>
    <x v="2"/>
    <x v="6"/>
    <x v="1"/>
  </r>
  <r>
    <s v="TX501106"/>
    <x v="19"/>
    <x v="1"/>
    <n v="16.399999999999999"/>
    <x v="944"/>
    <x v="43"/>
    <x v="42"/>
    <x v="3"/>
    <x v="0"/>
    <x v="2"/>
    <x v="0"/>
    <x v="11"/>
    <x v="3"/>
    <x v="6"/>
    <x v="3"/>
  </r>
  <r>
    <s v="TX501107"/>
    <x v="8"/>
    <x v="1"/>
    <n v="22"/>
    <x v="945"/>
    <x v="43"/>
    <x v="42"/>
    <x v="1"/>
    <x v="2"/>
    <x v="2"/>
    <x v="0"/>
    <x v="53"/>
    <x v="3"/>
    <x v="6"/>
    <x v="1"/>
  </r>
  <r>
    <s v="TX501108"/>
    <x v="15"/>
    <x v="1"/>
    <n v="33.6"/>
    <x v="863"/>
    <x v="43"/>
    <x v="50"/>
    <x v="2"/>
    <x v="0"/>
    <x v="0"/>
    <x v="0"/>
    <x v="21"/>
    <x v="0"/>
    <x v="6"/>
    <x v="2"/>
  </r>
  <r>
    <s v="TX501109"/>
    <x v="11"/>
    <x v="13"/>
    <n v="43"/>
    <x v="946"/>
    <x v="43"/>
    <x v="42"/>
    <x v="2"/>
    <x v="2"/>
    <x v="0"/>
    <x v="0"/>
    <x v="21"/>
    <x v="3"/>
    <x v="6"/>
    <x v="2"/>
  </r>
  <r>
    <s v="TX501110"/>
    <x v="6"/>
    <x v="9"/>
    <n v="108.8"/>
    <x v="947"/>
    <x v="43"/>
    <x v="41"/>
    <x v="2"/>
    <x v="4"/>
    <x v="2"/>
    <x v="0"/>
    <x v="21"/>
    <x v="2"/>
    <x v="6"/>
    <x v="2"/>
  </r>
  <r>
    <s v="TX501111"/>
    <x v="0"/>
    <x v="11"/>
    <n v="29.3"/>
    <x v="948"/>
    <x v="43"/>
    <x v="48"/>
    <x v="1"/>
    <x v="4"/>
    <x v="2"/>
    <x v="0"/>
    <x v="21"/>
    <x v="1"/>
    <x v="6"/>
    <x v="1"/>
  </r>
  <r>
    <s v="TX501112"/>
    <x v="2"/>
    <x v="0"/>
    <n v="122.7"/>
    <x v="949"/>
    <x v="43"/>
    <x v="41"/>
    <x v="3"/>
    <x v="0"/>
    <x v="2"/>
    <x v="0"/>
    <x v="1"/>
    <x v="2"/>
    <x v="6"/>
    <x v="3"/>
  </r>
  <r>
    <s v="TX501113"/>
    <x v="4"/>
    <x v="3"/>
    <n v="22.9"/>
    <x v="950"/>
    <x v="43"/>
    <x v="42"/>
    <x v="2"/>
    <x v="0"/>
    <x v="0"/>
    <x v="0"/>
    <x v="42"/>
    <x v="3"/>
    <x v="6"/>
    <x v="2"/>
  </r>
  <r>
    <s v="TX501114"/>
    <x v="8"/>
    <x v="7"/>
    <n v="25.5"/>
    <x v="951"/>
    <x v="43"/>
    <x v="49"/>
    <x v="2"/>
    <x v="0"/>
    <x v="0"/>
    <x v="0"/>
    <x v="33"/>
    <x v="6"/>
    <x v="6"/>
    <x v="2"/>
  </r>
  <r>
    <s v="TX501115"/>
    <x v="17"/>
    <x v="2"/>
    <n v="23.4"/>
    <x v="952"/>
    <x v="43"/>
    <x v="43"/>
    <x v="2"/>
    <x v="0"/>
    <x v="2"/>
    <x v="0"/>
    <x v="3"/>
    <x v="5"/>
    <x v="6"/>
    <x v="2"/>
  </r>
  <r>
    <s v="TX501116"/>
    <x v="5"/>
    <x v="8"/>
    <n v="27.4"/>
    <x v="77"/>
    <x v="43"/>
    <x v="41"/>
    <x v="2"/>
    <x v="2"/>
    <x v="0"/>
    <x v="0"/>
    <x v="3"/>
    <x v="2"/>
    <x v="6"/>
    <x v="2"/>
  </r>
  <r>
    <s v="TX501117"/>
    <x v="5"/>
    <x v="9"/>
    <n v="68.400000000000006"/>
    <x v="953"/>
    <x v="43"/>
    <x v="42"/>
    <x v="2"/>
    <x v="0"/>
    <x v="0"/>
    <x v="0"/>
    <x v="3"/>
    <x v="3"/>
    <x v="6"/>
    <x v="2"/>
  </r>
  <r>
    <s v="TX501118"/>
    <x v="6"/>
    <x v="0"/>
    <n v="51.9"/>
    <x v="954"/>
    <x v="43"/>
    <x v="45"/>
    <x v="2"/>
    <x v="0"/>
    <x v="0"/>
    <x v="0"/>
    <x v="3"/>
    <x v="7"/>
    <x v="6"/>
    <x v="2"/>
  </r>
  <r>
    <s v="TX501119"/>
    <x v="0"/>
    <x v="9"/>
    <n v="26.4"/>
    <x v="955"/>
    <x v="43"/>
    <x v="41"/>
    <x v="2"/>
    <x v="0"/>
    <x v="2"/>
    <x v="0"/>
    <x v="3"/>
    <x v="2"/>
    <x v="6"/>
    <x v="2"/>
  </r>
  <r>
    <s v="TX501120"/>
    <x v="12"/>
    <x v="1"/>
    <n v="117"/>
    <x v="540"/>
    <x v="43"/>
    <x v="42"/>
    <x v="2"/>
    <x v="1"/>
    <x v="1"/>
    <x v="0"/>
    <x v="3"/>
    <x v="3"/>
    <x v="6"/>
    <x v="2"/>
  </r>
  <r>
    <s v="TX501121"/>
    <x v="7"/>
    <x v="2"/>
    <n v="49.6"/>
    <x v="956"/>
    <x v="44"/>
    <x v="41"/>
    <x v="2"/>
    <x v="0"/>
    <x v="0"/>
    <x v="0"/>
    <x v="3"/>
    <x v="1"/>
    <x v="6"/>
    <x v="2"/>
  </r>
  <r>
    <s v="TX501122"/>
    <x v="4"/>
    <x v="2"/>
    <n v="38"/>
    <x v="717"/>
    <x v="44"/>
    <x v="43"/>
    <x v="1"/>
    <x v="2"/>
    <x v="4"/>
    <x v="0"/>
    <x v="3"/>
    <x v="2"/>
    <x v="6"/>
    <x v="1"/>
  </r>
  <r>
    <s v="TX501123"/>
    <x v="0"/>
    <x v="2"/>
    <n v="20.6"/>
    <x v="957"/>
    <x v="44"/>
    <x v="41"/>
    <x v="2"/>
    <x v="4"/>
    <x v="2"/>
    <x v="0"/>
    <x v="3"/>
    <x v="1"/>
    <x v="6"/>
    <x v="2"/>
  </r>
  <r>
    <s v="TX501124"/>
    <x v="0"/>
    <x v="1"/>
    <n v="16"/>
    <x v="109"/>
    <x v="44"/>
    <x v="48"/>
    <x v="1"/>
    <x v="1"/>
    <x v="1"/>
    <x v="0"/>
    <x v="49"/>
    <x v="3"/>
    <x v="6"/>
    <x v="1"/>
  </r>
  <r>
    <s v="TX501125"/>
    <x v="15"/>
    <x v="12"/>
    <n v="49.3"/>
    <x v="958"/>
    <x v="44"/>
    <x v="48"/>
    <x v="2"/>
    <x v="2"/>
    <x v="0"/>
    <x v="0"/>
    <x v="23"/>
    <x v="3"/>
    <x v="6"/>
    <x v="2"/>
  </r>
  <r>
    <s v="TX501126"/>
    <x v="9"/>
    <x v="1"/>
    <n v="24.1"/>
    <x v="959"/>
    <x v="44"/>
    <x v="50"/>
    <x v="2"/>
    <x v="0"/>
    <x v="0"/>
    <x v="0"/>
    <x v="6"/>
    <x v="5"/>
    <x v="6"/>
    <x v="2"/>
  </r>
  <r>
    <s v="TX501127"/>
    <x v="15"/>
    <x v="8"/>
    <n v="32.700000000000003"/>
    <x v="960"/>
    <x v="44"/>
    <x v="48"/>
    <x v="2"/>
    <x v="1"/>
    <x v="0"/>
    <x v="0"/>
    <x v="6"/>
    <x v="3"/>
    <x v="6"/>
    <x v="2"/>
  </r>
  <r>
    <s v="TX501128"/>
    <x v="6"/>
    <x v="2"/>
    <n v="74.400000000000006"/>
    <x v="961"/>
    <x v="44"/>
    <x v="48"/>
    <x v="2"/>
    <x v="3"/>
    <x v="2"/>
    <x v="0"/>
    <x v="8"/>
    <x v="3"/>
    <x v="6"/>
    <x v="2"/>
  </r>
  <r>
    <s v="TX501129"/>
    <x v="12"/>
    <x v="0"/>
    <n v="45.6"/>
    <x v="962"/>
    <x v="44"/>
    <x v="50"/>
    <x v="2"/>
    <x v="4"/>
    <x v="0"/>
    <x v="0"/>
    <x v="8"/>
    <x v="5"/>
    <x v="6"/>
    <x v="2"/>
  </r>
  <r>
    <s v="TX501130"/>
    <x v="8"/>
    <x v="8"/>
    <n v="19.600000000000001"/>
    <x v="963"/>
    <x v="44"/>
    <x v="53"/>
    <x v="2"/>
    <x v="0"/>
    <x v="0"/>
    <x v="0"/>
    <x v="8"/>
    <x v="10"/>
    <x v="6"/>
    <x v="2"/>
  </r>
  <r>
    <s v="TX501131"/>
    <x v="9"/>
    <x v="0"/>
    <n v="51.8"/>
    <x v="964"/>
    <x v="44"/>
    <x v="48"/>
    <x v="2"/>
    <x v="1"/>
    <x v="0"/>
    <x v="0"/>
    <x v="8"/>
    <x v="3"/>
    <x v="6"/>
    <x v="2"/>
  </r>
  <r>
    <s v="TX501132"/>
    <x v="6"/>
    <x v="0"/>
    <n v="74.7"/>
    <x v="965"/>
    <x v="44"/>
    <x v="48"/>
    <x v="1"/>
    <x v="0"/>
    <x v="1"/>
    <x v="0"/>
    <x v="8"/>
    <x v="3"/>
    <x v="6"/>
    <x v="1"/>
  </r>
  <r>
    <s v="TX501133"/>
    <x v="19"/>
    <x v="2"/>
    <n v="22.4"/>
    <x v="966"/>
    <x v="44"/>
    <x v="48"/>
    <x v="2"/>
    <x v="1"/>
    <x v="2"/>
    <x v="0"/>
    <x v="9"/>
    <x v="3"/>
    <x v="6"/>
    <x v="2"/>
  </r>
  <r>
    <s v="TX501134"/>
    <x v="1"/>
    <x v="12"/>
    <n v="31.4"/>
    <x v="967"/>
    <x v="44"/>
    <x v="48"/>
    <x v="2"/>
    <x v="1"/>
    <x v="0"/>
    <x v="0"/>
    <x v="9"/>
    <x v="3"/>
    <x v="6"/>
    <x v="2"/>
  </r>
  <r>
    <s v="TX501135"/>
    <x v="6"/>
    <x v="0"/>
    <n v="94"/>
    <x v="255"/>
    <x v="44"/>
    <x v="42"/>
    <x v="2"/>
    <x v="1"/>
    <x v="2"/>
    <x v="0"/>
    <x v="10"/>
    <x v="7"/>
    <x v="6"/>
    <x v="2"/>
  </r>
  <r>
    <s v="TX501136"/>
    <x v="10"/>
    <x v="0"/>
    <n v="22.3"/>
    <x v="968"/>
    <x v="44"/>
    <x v="48"/>
    <x v="1"/>
    <x v="4"/>
    <x v="0"/>
    <x v="0"/>
    <x v="20"/>
    <x v="3"/>
    <x v="6"/>
    <x v="1"/>
  </r>
  <r>
    <s v="TX501137"/>
    <x v="0"/>
    <x v="0"/>
    <n v="21.9"/>
    <x v="731"/>
    <x v="44"/>
    <x v="43"/>
    <x v="2"/>
    <x v="2"/>
    <x v="0"/>
    <x v="0"/>
    <x v="21"/>
    <x v="2"/>
    <x v="6"/>
    <x v="2"/>
  </r>
  <r>
    <s v="TX501138"/>
    <x v="17"/>
    <x v="2"/>
    <n v="27"/>
    <x v="969"/>
    <x v="44"/>
    <x v="41"/>
    <x v="2"/>
    <x v="4"/>
    <x v="2"/>
    <x v="0"/>
    <x v="2"/>
    <x v="1"/>
    <x v="6"/>
    <x v="2"/>
  </r>
  <r>
    <s v="TX501139"/>
    <x v="2"/>
    <x v="12"/>
    <n v="149.6"/>
    <x v="970"/>
    <x v="44"/>
    <x v="42"/>
    <x v="2"/>
    <x v="4"/>
    <x v="0"/>
    <x v="0"/>
    <x v="22"/>
    <x v="7"/>
    <x v="6"/>
    <x v="2"/>
  </r>
  <r>
    <s v="TX501140"/>
    <x v="2"/>
    <x v="12"/>
    <n v="129.1"/>
    <x v="971"/>
    <x v="44"/>
    <x v="54"/>
    <x v="1"/>
    <x v="0"/>
    <x v="1"/>
    <x v="0"/>
    <x v="3"/>
    <x v="14"/>
    <x v="6"/>
    <x v="1"/>
  </r>
  <r>
    <s v="TX501141"/>
    <x v="1"/>
    <x v="4"/>
    <n v="40.4"/>
    <x v="972"/>
    <x v="44"/>
    <x v="48"/>
    <x v="1"/>
    <x v="1"/>
    <x v="1"/>
    <x v="0"/>
    <x v="3"/>
    <x v="3"/>
    <x v="6"/>
    <x v="1"/>
  </r>
  <r>
    <s v="TX501142"/>
    <x v="4"/>
    <x v="2"/>
    <n v="48.5"/>
    <x v="973"/>
    <x v="44"/>
    <x v="41"/>
    <x v="2"/>
    <x v="0"/>
    <x v="4"/>
    <x v="0"/>
    <x v="3"/>
    <x v="1"/>
    <x v="6"/>
    <x v="2"/>
  </r>
  <r>
    <s v="TX501143"/>
    <x v="9"/>
    <x v="1"/>
    <n v="37.6"/>
    <x v="495"/>
    <x v="44"/>
    <x v="41"/>
    <x v="2"/>
    <x v="1"/>
    <x v="2"/>
    <x v="0"/>
    <x v="3"/>
    <x v="1"/>
    <x v="6"/>
    <x v="2"/>
  </r>
  <r>
    <s v="TX501144"/>
    <x v="8"/>
    <x v="1"/>
    <n v="19.600000000000001"/>
    <x v="496"/>
    <x v="44"/>
    <x v="48"/>
    <x v="1"/>
    <x v="3"/>
    <x v="4"/>
    <x v="0"/>
    <x v="43"/>
    <x v="3"/>
    <x v="6"/>
    <x v="1"/>
  </r>
  <r>
    <s v="TX501145"/>
    <x v="8"/>
    <x v="9"/>
    <n v="18.5"/>
    <x v="974"/>
    <x v="44"/>
    <x v="48"/>
    <x v="2"/>
    <x v="2"/>
    <x v="1"/>
    <x v="0"/>
    <x v="6"/>
    <x v="3"/>
    <x v="6"/>
    <x v="2"/>
  </r>
  <r>
    <s v="TX501146"/>
    <x v="5"/>
    <x v="2"/>
    <n v="25.5"/>
    <x v="514"/>
    <x v="44"/>
    <x v="41"/>
    <x v="2"/>
    <x v="4"/>
    <x v="1"/>
    <x v="0"/>
    <x v="6"/>
    <x v="1"/>
    <x v="6"/>
    <x v="2"/>
  </r>
  <r>
    <s v="TX501147"/>
    <x v="2"/>
    <x v="1"/>
    <n v="94.7"/>
    <x v="975"/>
    <x v="44"/>
    <x v="48"/>
    <x v="2"/>
    <x v="2"/>
    <x v="0"/>
    <x v="0"/>
    <x v="36"/>
    <x v="3"/>
    <x v="6"/>
    <x v="2"/>
  </r>
  <r>
    <s v="TX501148"/>
    <x v="1"/>
    <x v="13"/>
    <n v="38.799999999999997"/>
    <x v="976"/>
    <x v="44"/>
    <x v="46"/>
    <x v="2"/>
    <x v="2"/>
    <x v="2"/>
    <x v="0"/>
    <x v="8"/>
    <x v="0"/>
    <x v="6"/>
    <x v="2"/>
  </r>
  <r>
    <s v="TX501149"/>
    <x v="9"/>
    <x v="1"/>
    <n v="49.4"/>
    <x v="197"/>
    <x v="45"/>
    <x v="55"/>
    <x v="1"/>
    <x v="4"/>
    <x v="1"/>
    <x v="0"/>
    <x v="8"/>
    <x v="9"/>
    <x v="6"/>
    <x v="1"/>
  </r>
  <r>
    <s v="TX501150"/>
    <x v="7"/>
    <x v="2"/>
    <n v="68"/>
    <x v="977"/>
    <x v="45"/>
    <x v="50"/>
    <x v="1"/>
    <x v="0"/>
    <x v="2"/>
    <x v="0"/>
    <x v="8"/>
    <x v="2"/>
    <x v="6"/>
    <x v="1"/>
  </r>
  <r>
    <s v="TX501151"/>
    <x v="15"/>
    <x v="3"/>
    <n v="63.7"/>
    <x v="978"/>
    <x v="45"/>
    <x v="41"/>
    <x v="2"/>
    <x v="2"/>
    <x v="2"/>
    <x v="0"/>
    <x v="8"/>
    <x v="3"/>
    <x v="6"/>
    <x v="2"/>
  </r>
  <r>
    <s v="TX501152"/>
    <x v="10"/>
    <x v="1"/>
    <n v="66.2"/>
    <x v="979"/>
    <x v="45"/>
    <x v="41"/>
    <x v="2"/>
    <x v="4"/>
    <x v="2"/>
    <x v="0"/>
    <x v="17"/>
    <x v="3"/>
    <x v="6"/>
    <x v="2"/>
  </r>
  <r>
    <s v="TX501153"/>
    <x v="12"/>
    <x v="2"/>
    <n v="32.299999999999997"/>
    <x v="980"/>
    <x v="45"/>
    <x v="41"/>
    <x v="3"/>
    <x v="2"/>
    <x v="1"/>
    <x v="0"/>
    <x v="9"/>
    <x v="3"/>
    <x v="6"/>
    <x v="3"/>
  </r>
  <r>
    <s v="TX501154"/>
    <x v="4"/>
    <x v="1"/>
    <n v="66.900000000000006"/>
    <x v="981"/>
    <x v="45"/>
    <x v="50"/>
    <x v="1"/>
    <x v="1"/>
    <x v="0"/>
    <x v="0"/>
    <x v="11"/>
    <x v="2"/>
    <x v="6"/>
    <x v="1"/>
  </r>
  <r>
    <s v="TX501155"/>
    <x v="4"/>
    <x v="4"/>
    <n v="25.2"/>
    <x v="982"/>
    <x v="45"/>
    <x v="46"/>
    <x v="2"/>
    <x v="0"/>
    <x v="1"/>
    <x v="0"/>
    <x v="11"/>
    <x v="5"/>
    <x v="6"/>
    <x v="2"/>
  </r>
  <r>
    <s v="TX501156"/>
    <x v="10"/>
    <x v="13"/>
    <n v="29.5"/>
    <x v="983"/>
    <x v="45"/>
    <x v="41"/>
    <x v="1"/>
    <x v="2"/>
    <x v="0"/>
    <x v="0"/>
    <x v="11"/>
    <x v="3"/>
    <x v="6"/>
    <x v="1"/>
  </r>
  <r>
    <s v="TX501157"/>
    <x v="8"/>
    <x v="9"/>
    <n v="21.6"/>
    <x v="807"/>
    <x v="45"/>
    <x v="43"/>
    <x v="2"/>
    <x v="0"/>
    <x v="2"/>
    <x v="0"/>
    <x v="32"/>
    <x v="1"/>
    <x v="6"/>
    <x v="2"/>
  </r>
  <r>
    <s v="TX501158"/>
    <x v="12"/>
    <x v="2"/>
    <n v="69"/>
    <x v="461"/>
    <x v="45"/>
    <x v="41"/>
    <x v="2"/>
    <x v="0"/>
    <x v="0"/>
    <x v="0"/>
    <x v="18"/>
    <x v="3"/>
    <x v="6"/>
    <x v="2"/>
  </r>
  <r>
    <s v="TX501159"/>
    <x v="7"/>
    <x v="1"/>
    <n v="115"/>
    <x v="984"/>
    <x v="45"/>
    <x v="46"/>
    <x v="1"/>
    <x v="0"/>
    <x v="2"/>
    <x v="0"/>
    <x v="18"/>
    <x v="5"/>
    <x v="6"/>
    <x v="1"/>
  </r>
  <r>
    <s v="TX501160"/>
    <x v="2"/>
    <x v="1"/>
    <n v="109.3"/>
    <x v="985"/>
    <x v="45"/>
    <x v="43"/>
    <x v="0"/>
    <x v="3"/>
    <x v="1"/>
    <x v="0"/>
    <x v="19"/>
    <x v="1"/>
    <x v="6"/>
    <x v="0"/>
  </r>
  <r>
    <s v="TX501161"/>
    <x v="9"/>
    <x v="1"/>
    <n v="66.599999999999994"/>
    <x v="986"/>
    <x v="45"/>
    <x v="50"/>
    <x v="0"/>
    <x v="4"/>
    <x v="1"/>
    <x v="0"/>
    <x v="19"/>
    <x v="2"/>
    <x v="6"/>
    <x v="0"/>
  </r>
  <r>
    <s v="TX501162"/>
    <x v="12"/>
    <x v="9"/>
    <n v="47.7"/>
    <x v="987"/>
    <x v="45"/>
    <x v="41"/>
    <x v="1"/>
    <x v="3"/>
    <x v="2"/>
    <x v="0"/>
    <x v="21"/>
    <x v="3"/>
    <x v="6"/>
    <x v="1"/>
  </r>
  <r>
    <s v="TX501163"/>
    <x v="8"/>
    <x v="1"/>
    <n v="46"/>
    <x v="988"/>
    <x v="45"/>
    <x v="41"/>
    <x v="2"/>
    <x v="4"/>
    <x v="4"/>
    <x v="0"/>
    <x v="22"/>
    <x v="3"/>
    <x v="6"/>
    <x v="2"/>
  </r>
  <r>
    <s v="TX501164"/>
    <x v="1"/>
    <x v="13"/>
    <n v="39.299999999999997"/>
    <x v="989"/>
    <x v="45"/>
    <x v="43"/>
    <x v="1"/>
    <x v="3"/>
    <x v="2"/>
    <x v="0"/>
    <x v="3"/>
    <x v="1"/>
    <x v="6"/>
    <x v="1"/>
  </r>
  <r>
    <s v="TX501165"/>
    <x v="9"/>
    <x v="0"/>
    <n v="70.2"/>
    <x v="474"/>
    <x v="45"/>
    <x v="41"/>
    <x v="2"/>
    <x v="0"/>
    <x v="4"/>
    <x v="0"/>
    <x v="3"/>
    <x v="3"/>
    <x v="6"/>
    <x v="2"/>
  </r>
  <r>
    <s v="TX501166"/>
    <x v="3"/>
    <x v="12"/>
    <n v="71.5"/>
    <x v="990"/>
    <x v="45"/>
    <x v="48"/>
    <x v="2"/>
    <x v="1"/>
    <x v="2"/>
    <x v="0"/>
    <x v="3"/>
    <x v="7"/>
    <x v="6"/>
    <x v="2"/>
  </r>
  <r>
    <s v="TX501167"/>
    <x v="10"/>
    <x v="3"/>
    <n v="31"/>
    <x v="991"/>
    <x v="45"/>
    <x v="56"/>
    <x v="2"/>
    <x v="3"/>
    <x v="2"/>
    <x v="0"/>
    <x v="3"/>
    <x v="6"/>
    <x v="6"/>
    <x v="2"/>
  </r>
  <r>
    <s v="TX501168"/>
    <x v="2"/>
    <x v="9"/>
    <n v="68.2"/>
    <x v="992"/>
    <x v="45"/>
    <x v="49"/>
    <x v="2"/>
    <x v="0"/>
    <x v="2"/>
    <x v="0"/>
    <x v="3"/>
    <x v="0"/>
    <x v="6"/>
    <x v="2"/>
  </r>
  <r>
    <s v="TX501169"/>
    <x v="2"/>
    <x v="0"/>
    <n v="91.4"/>
    <x v="411"/>
    <x v="45"/>
    <x v="46"/>
    <x v="2"/>
    <x v="1"/>
    <x v="2"/>
    <x v="0"/>
    <x v="6"/>
    <x v="5"/>
    <x v="6"/>
    <x v="2"/>
  </r>
  <r>
    <s v="TX501170"/>
    <x v="6"/>
    <x v="7"/>
    <n v="112.9"/>
    <x v="993"/>
    <x v="45"/>
    <x v="41"/>
    <x v="2"/>
    <x v="0"/>
    <x v="0"/>
    <x v="0"/>
    <x v="6"/>
    <x v="3"/>
    <x v="6"/>
    <x v="2"/>
  </r>
  <r>
    <s v="TX501171"/>
    <x v="17"/>
    <x v="11"/>
    <n v="33.700000000000003"/>
    <x v="994"/>
    <x v="45"/>
    <x v="41"/>
    <x v="2"/>
    <x v="1"/>
    <x v="2"/>
    <x v="0"/>
    <x v="8"/>
    <x v="3"/>
    <x v="6"/>
    <x v="2"/>
  </r>
  <r>
    <s v="TX501172"/>
    <x v="15"/>
    <x v="7"/>
    <n v="35.299999999999997"/>
    <x v="995"/>
    <x v="45"/>
    <x v="43"/>
    <x v="1"/>
    <x v="2"/>
    <x v="0"/>
    <x v="0"/>
    <x v="8"/>
    <x v="1"/>
    <x v="6"/>
    <x v="1"/>
  </r>
  <r>
    <s v="TX501173"/>
    <x v="18"/>
    <x v="2"/>
    <n v="45.6"/>
    <x v="996"/>
    <x v="45"/>
    <x v="46"/>
    <x v="1"/>
    <x v="3"/>
    <x v="0"/>
    <x v="0"/>
    <x v="8"/>
    <x v="5"/>
    <x v="6"/>
    <x v="1"/>
  </r>
  <r>
    <s v="TX501174"/>
    <x v="7"/>
    <x v="3"/>
    <n v="47.1"/>
    <x v="847"/>
    <x v="45"/>
    <x v="41"/>
    <x v="2"/>
    <x v="4"/>
    <x v="2"/>
    <x v="0"/>
    <x v="9"/>
    <x v="3"/>
    <x v="6"/>
    <x v="2"/>
  </r>
  <r>
    <s v="TX501175"/>
    <x v="8"/>
    <x v="9"/>
    <n v="16.2"/>
    <x v="969"/>
    <x v="45"/>
    <x v="43"/>
    <x v="2"/>
    <x v="3"/>
    <x v="2"/>
    <x v="0"/>
    <x v="19"/>
    <x v="1"/>
    <x v="6"/>
    <x v="2"/>
  </r>
  <r>
    <s v="TX501176"/>
    <x v="1"/>
    <x v="1"/>
    <n v="159.69999999999999"/>
    <x v="997"/>
    <x v="46"/>
    <x v="43"/>
    <x v="1"/>
    <x v="4"/>
    <x v="0"/>
    <x v="0"/>
    <x v="13"/>
    <x v="3"/>
    <x v="7"/>
    <x v="1"/>
  </r>
  <r>
    <s v="TX501177"/>
    <x v="8"/>
    <x v="12"/>
    <n v="19"/>
    <x v="998"/>
    <x v="46"/>
    <x v="55"/>
    <x v="2"/>
    <x v="2"/>
    <x v="2"/>
    <x v="0"/>
    <x v="21"/>
    <x v="6"/>
    <x v="7"/>
    <x v="2"/>
  </r>
  <r>
    <s v="TX501178"/>
    <x v="6"/>
    <x v="13"/>
    <n v="91.1"/>
    <x v="999"/>
    <x v="46"/>
    <x v="51"/>
    <x v="2"/>
    <x v="4"/>
    <x v="0"/>
    <x v="0"/>
    <x v="21"/>
    <x v="8"/>
    <x v="7"/>
    <x v="2"/>
  </r>
  <r>
    <s v="TX501179"/>
    <x v="2"/>
    <x v="9"/>
    <n v="94.1"/>
    <x v="1000"/>
    <x v="46"/>
    <x v="46"/>
    <x v="0"/>
    <x v="1"/>
    <x v="1"/>
    <x v="0"/>
    <x v="21"/>
    <x v="2"/>
    <x v="7"/>
    <x v="0"/>
  </r>
  <r>
    <s v="TX501180"/>
    <x v="9"/>
    <x v="11"/>
    <n v="21.1"/>
    <x v="1001"/>
    <x v="46"/>
    <x v="43"/>
    <x v="2"/>
    <x v="4"/>
    <x v="2"/>
    <x v="0"/>
    <x v="51"/>
    <x v="3"/>
    <x v="7"/>
    <x v="2"/>
  </r>
  <r>
    <s v="TX501181"/>
    <x v="8"/>
    <x v="3"/>
    <n v="15.3"/>
    <x v="1002"/>
    <x v="46"/>
    <x v="54"/>
    <x v="2"/>
    <x v="2"/>
    <x v="0"/>
    <x v="0"/>
    <x v="1"/>
    <x v="9"/>
    <x v="7"/>
    <x v="2"/>
  </r>
  <r>
    <s v="TX501182"/>
    <x v="15"/>
    <x v="12"/>
    <n v="21.3"/>
    <x v="464"/>
    <x v="46"/>
    <x v="46"/>
    <x v="1"/>
    <x v="1"/>
    <x v="0"/>
    <x v="0"/>
    <x v="3"/>
    <x v="2"/>
    <x v="7"/>
    <x v="1"/>
  </r>
  <r>
    <s v="TX501183"/>
    <x v="0"/>
    <x v="1"/>
    <n v="23.2"/>
    <x v="434"/>
    <x v="46"/>
    <x v="41"/>
    <x v="0"/>
    <x v="3"/>
    <x v="1"/>
    <x v="0"/>
    <x v="3"/>
    <x v="7"/>
    <x v="7"/>
    <x v="0"/>
  </r>
  <r>
    <s v="TX501184"/>
    <x v="4"/>
    <x v="2"/>
    <n v="25.7"/>
    <x v="1003"/>
    <x v="46"/>
    <x v="43"/>
    <x v="1"/>
    <x v="4"/>
    <x v="0"/>
    <x v="0"/>
    <x v="3"/>
    <x v="3"/>
    <x v="7"/>
    <x v="1"/>
  </r>
  <r>
    <s v="TX501185"/>
    <x v="0"/>
    <x v="11"/>
    <n v="31.6"/>
    <x v="1004"/>
    <x v="46"/>
    <x v="50"/>
    <x v="2"/>
    <x v="0"/>
    <x v="0"/>
    <x v="0"/>
    <x v="3"/>
    <x v="1"/>
    <x v="7"/>
    <x v="2"/>
  </r>
  <r>
    <s v="TX501186"/>
    <x v="6"/>
    <x v="0"/>
    <n v="64.2"/>
    <x v="1005"/>
    <x v="46"/>
    <x v="47"/>
    <x v="1"/>
    <x v="0"/>
    <x v="0"/>
    <x v="0"/>
    <x v="3"/>
    <x v="0"/>
    <x v="7"/>
    <x v="1"/>
  </r>
  <r>
    <s v="TX501187"/>
    <x v="8"/>
    <x v="1"/>
    <n v="55.8"/>
    <x v="1006"/>
    <x v="46"/>
    <x v="50"/>
    <x v="0"/>
    <x v="0"/>
    <x v="0"/>
    <x v="0"/>
    <x v="3"/>
    <x v="1"/>
    <x v="7"/>
    <x v="0"/>
  </r>
  <r>
    <s v="TX501188"/>
    <x v="8"/>
    <x v="1"/>
    <n v="28.1"/>
    <x v="1007"/>
    <x v="46"/>
    <x v="43"/>
    <x v="2"/>
    <x v="4"/>
    <x v="1"/>
    <x v="0"/>
    <x v="3"/>
    <x v="3"/>
    <x v="7"/>
    <x v="2"/>
  </r>
  <r>
    <s v="TX501189"/>
    <x v="0"/>
    <x v="1"/>
    <n v="11.6"/>
    <x v="772"/>
    <x v="46"/>
    <x v="50"/>
    <x v="2"/>
    <x v="1"/>
    <x v="0"/>
    <x v="0"/>
    <x v="24"/>
    <x v="1"/>
    <x v="7"/>
    <x v="2"/>
  </r>
  <r>
    <s v="TX501190"/>
    <x v="5"/>
    <x v="2"/>
    <n v="50.4"/>
    <x v="277"/>
    <x v="46"/>
    <x v="43"/>
    <x v="1"/>
    <x v="4"/>
    <x v="2"/>
    <x v="0"/>
    <x v="25"/>
    <x v="3"/>
    <x v="7"/>
    <x v="1"/>
  </r>
  <r>
    <s v="TX501191"/>
    <x v="6"/>
    <x v="13"/>
    <n v="48.3"/>
    <x v="1008"/>
    <x v="46"/>
    <x v="49"/>
    <x v="2"/>
    <x v="0"/>
    <x v="0"/>
    <x v="0"/>
    <x v="25"/>
    <x v="5"/>
    <x v="7"/>
    <x v="2"/>
  </r>
  <r>
    <s v="TX501192"/>
    <x v="17"/>
    <x v="3"/>
    <n v="32.200000000000003"/>
    <x v="1009"/>
    <x v="46"/>
    <x v="50"/>
    <x v="2"/>
    <x v="2"/>
    <x v="0"/>
    <x v="0"/>
    <x v="25"/>
    <x v="1"/>
    <x v="7"/>
    <x v="2"/>
  </r>
  <r>
    <s v="TX501193"/>
    <x v="7"/>
    <x v="31"/>
    <n v="48.5"/>
    <x v="1010"/>
    <x v="46"/>
    <x v="43"/>
    <x v="1"/>
    <x v="0"/>
    <x v="0"/>
    <x v="0"/>
    <x v="5"/>
    <x v="3"/>
    <x v="7"/>
    <x v="1"/>
  </r>
  <r>
    <s v="TX501194"/>
    <x v="2"/>
    <x v="9"/>
    <n v="62"/>
    <x v="892"/>
    <x v="46"/>
    <x v="46"/>
    <x v="2"/>
    <x v="1"/>
    <x v="0"/>
    <x v="0"/>
    <x v="6"/>
    <x v="2"/>
    <x v="7"/>
    <x v="2"/>
  </r>
  <r>
    <s v="TX501195"/>
    <x v="8"/>
    <x v="2"/>
    <n v="32.1"/>
    <x v="219"/>
    <x v="47"/>
    <x v="46"/>
    <x v="1"/>
    <x v="0"/>
    <x v="0"/>
    <x v="0"/>
    <x v="6"/>
    <x v="1"/>
    <x v="7"/>
    <x v="1"/>
  </r>
  <r>
    <s v="TX501196"/>
    <x v="12"/>
    <x v="2"/>
    <n v="106.1"/>
    <x v="1011"/>
    <x v="47"/>
    <x v="46"/>
    <x v="1"/>
    <x v="0"/>
    <x v="1"/>
    <x v="0"/>
    <x v="7"/>
    <x v="1"/>
    <x v="7"/>
    <x v="1"/>
  </r>
  <r>
    <s v="TX501197"/>
    <x v="10"/>
    <x v="2"/>
    <n v="23.5"/>
    <x v="1012"/>
    <x v="47"/>
    <x v="49"/>
    <x v="1"/>
    <x v="0"/>
    <x v="4"/>
    <x v="0"/>
    <x v="7"/>
    <x v="2"/>
    <x v="7"/>
    <x v="1"/>
  </r>
  <r>
    <s v="TX501198"/>
    <x v="1"/>
    <x v="1"/>
    <n v="35.6"/>
    <x v="1013"/>
    <x v="47"/>
    <x v="56"/>
    <x v="1"/>
    <x v="4"/>
    <x v="0"/>
    <x v="0"/>
    <x v="8"/>
    <x v="0"/>
    <x v="7"/>
    <x v="1"/>
  </r>
  <r>
    <s v="TX501199"/>
    <x v="1"/>
    <x v="1"/>
    <n v="63.5"/>
    <x v="520"/>
    <x v="47"/>
    <x v="43"/>
    <x v="2"/>
    <x v="1"/>
    <x v="2"/>
    <x v="0"/>
    <x v="8"/>
    <x v="7"/>
    <x v="7"/>
    <x v="2"/>
  </r>
  <r>
    <s v="TX501200"/>
    <x v="6"/>
    <x v="3"/>
    <n v="82.9"/>
    <x v="1014"/>
    <x v="47"/>
    <x v="56"/>
    <x v="2"/>
    <x v="4"/>
    <x v="0"/>
    <x v="0"/>
    <x v="9"/>
    <x v="0"/>
    <x v="7"/>
    <x v="2"/>
  </r>
  <r>
    <s v="TX501201"/>
    <x v="6"/>
    <x v="1"/>
    <n v="83.6"/>
    <x v="762"/>
    <x v="47"/>
    <x v="56"/>
    <x v="2"/>
    <x v="0"/>
    <x v="0"/>
    <x v="0"/>
    <x v="11"/>
    <x v="0"/>
    <x v="7"/>
    <x v="2"/>
  </r>
  <r>
    <s v="TX501202"/>
    <x v="4"/>
    <x v="1"/>
    <n v="29.4"/>
    <x v="572"/>
    <x v="47"/>
    <x v="43"/>
    <x v="2"/>
    <x v="0"/>
    <x v="1"/>
    <x v="0"/>
    <x v="30"/>
    <x v="7"/>
    <x v="7"/>
    <x v="2"/>
  </r>
  <r>
    <s v="TX501203"/>
    <x v="2"/>
    <x v="2"/>
    <n v="107.1"/>
    <x v="1015"/>
    <x v="47"/>
    <x v="47"/>
    <x v="2"/>
    <x v="2"/>
    <x v="0"/>
    <x v="0"/>
    <x v="20"/>
    <x v="5"/>
    <x v="7"/>
    <x v="2"/>
  </r>
  <r>
    <s v="TX501204"/>
    <x v="2"/>
    <x v="0"/>
    <n v="62.7"/>
    <x v="1016"/>
    <x v="47"/>
    <x v="47"/>
    <x v="1"/>
    <x v="1"/>
    <x v="0"/>
    <x v="0"/>
    <x v="21"/>
    <x v="5"/>
    <x v="7"/>
    <x v="1"/>
  </r>
  <r>
    <s v="TX501205"/>
    <x v="11"/>
    <x v="0"/>
    <n v="41.6"/>
    <x v="480"/>
    <x v="47"/>
    <x v="50"/>
    <x v="1"/>
    <x v="0"/>
    <x v="1"/>
    <x v="0"/>
    <x v="1"/>
    <x v="3"/>
    <x v="7"/>
    <x v="1"/>
  </r>
  <r>
    <s v="TX501206"/>
    <x v="6"/>
    <x v="0"/>
    <n v="44.2"/>
    <x v="573"/>
    <x v="47"/>
    <x v="50"/>
    <x v="3"/>
    <x v="0"/>
    <x v="1"/>
    <x v="0"/>
    <x v="1"/>
    <x v="3"/>
    <x v="7"/>
    <x v="3"/>
  </r>
  <r>
    <s v="TX501207"/>
    <x v="4"/>
    <x v="13"/>
    <n v="40.4"/>
    <x v="1017"/>
    <x v="47"/>
    <x v="57"/>
    <x v="2"/>
    <x v="2"/>
    <x v="0"/>
    <x v="0"/>
    <x v="22"/>
    <x v="10"/>
    <x v="7"/>
    <x v="2"/>
  </r>
  <r>
    <s v="TX501208"/>
    <x v="15"/>
    <x v="13"/>
    <n v="59.6"/>
    <x v="1018"/>
    <x v="47"/>
    <x v="50"/>
    <x v="2"/>
    <x v="4"/>
    <x v="0"/>
    <x v="0"/>
    <x v="34"/>
    <x v="3"/>
    <x v="7"/>
    <x v="2"/>
  </r>
  <r>
    <s v="TX501209"/>
    <x v="17"/>
    <x v="4"/>
    <n v="63.8"/>
    <x v="1019"/>
    <x v="47"/>
    <x v="50"/>
    <x v="1"/>
    <x v="1"/>
    <x v="0"/>
    <x v="0"/>
    <x v="3"/>
    <x v="3"/>
    <x v="7"/>
    <x v="1"/>
  </r>
  <r>
    <s v="TX501210"/>
    <x v="9"/>
    <x v="13"/>
    <n v="30.8"/>
    <x v="827"/>
    <x v="47"/>
    <x v="46"/>
    <x v="1"/>
    <x v="4"/>
    <x v="0"/>
    <x v="0"/>
    <x v="3"/>
    <x v="1"/>
    <x v="7"/>
    <x v="1"/>
  </r>
  <r>
    <s v="TX501211"/>
    <x v="1"/>
    <x v="1"/>
    <n v="41.5"/>
    <x v="470"/>
    <x v="47"/>
    <x v="49"/>
    <x v="3"/>
    <x v="0"/>
    <x v="0"/>
    <x v="0"/>
    <x v="3"/>
    <x v="2"/>
    <x v="7"/>
    <x v="3"/>
  </r>
  <r>
    <s v="TX501212"/>
    <x v="10"/>
    <x v="12"/>
    <n v="44.7"/>
    <x v="1020"/>
    <x v="47"/>
    <x v="46"/>
    <x v="2"/>
    <x v="2"/>
    <x v="1"/>
    <x v="0"/>
    <x v="3"/>
    <x v="1"/>
    <x v="7"/>
    <x v="2"/>
  </r>
  <r>
    <s v="TX501213"/>
    <x v="12"/>
    <x v="1"/>
    <n v="64.099999999999994"/>
    <x v="618"/>
    <x v="47"/>
    <x v="47"/>
    <x v="2"/>
    <x v="1"/>
    <x v="4"/>
    <x v="0"/>
    <x v="3"/>
    <x v="5"/>
    <x v="7"/>
    <x v="2"/>
  </r>
  <r>
    <s v="TX501214"/>
    <x v="8"/>
    <x v="0"/>
    <n v="15.9"/>
    <x v="1021"/>
    <x v="47"/>
    <x v="49"/>
    <x v="0"/>
    <x v="1"/>
    <x v="0"/>
    <x v="0"/>
    <x v="3"/>
    <x v="2"/>
    <x v="7"/>
    <x v="0"/>
  </r>
  <r>
    <s v="TX501215"/>
    <x v="6"/>
    <x v="1"/>
    <n v="78.7"/>
    <x v="1022"/>
    <x v="47"/>
    <x v="43"/>
    <x v="2"/>
    <x v="2"/>
    <x v="1"/>
    <x v="0"/>
    <x v="3"/>
    <x v="7"/>
    <x v="7"/>
    <x v="2"/>
  </r>
  <r>
    <s v="TX501216"/>
    <x v="5"/>
    <x v="4"/>
    <n v="29.6"/>
    <x v="1023"/>
    <x v="47"/>
    <x v="47"/>
    <x v="1"/>
    <x v="2"/>
    <x v="4"/>
    <x v="0"/>
    <x v="3"/>
    <x v="5"/>
    <x v="7"/>
    <x v="1"/>
  </r>
  <r>
    <s v="TX501217"/>
    <x v="8"/>
    <x v="12"/>
    <n v="21.5"/>
    <x v="1024"/>
    <x v="47"/>
    <x v="49"/>
    <x v="1"/>
    <x v="1"/>
    <x v="0"/>
    <x v="0"/>
    <x v="3"/>
    <x v="2"/>
    <x v="7"/>
    <x v="1"/>
  </r>
  <r>
    <s v="TX501218"/>
    <x v="9"/>
    <x v="2"/>
    <n v="74.900000000000006"/>
    <x v="890"/>
    <x v="47"/>
    <x v="52"/>
    <x v="1"/>
    <x v="3"/>
    <x v="1"/>
    <x v="0"/>
    <x v="3"/>
    <x v="8"/>
    <x v="7"/>
    <x v="1"/>
  </r>
  <r>
    <s v="TX501219"/>
    <x v="10"/>
    <x v="13"/>
    <n v="45"/>
    <x v="843"/>
    <x v="47"/>
    <x v="56"/>
    <x v="2"/>
    <x v="2"/>
    <x v="0"/>
    <x v="0"/>
    <x v="3"/>
    <x v="0"/>
    <x v="7"/>
    <x v="2"/>
  </r>
  <r>
    <s v="TX501220"/>
    <x v="7"/>
    <x v="33"/>
    <n v="37.9"/>
    <x v="1025"/>
    <x v="47"/>
    <x v="50"/>
    <x v="1"/>
    <x v="0"/>
    <x v="0"/>
    <x v="0"/>
    <x v="3"/>
    <x v="3"/>
    <x v="7"/>
    <x v="1"/>
  </r>
  <r>
    <s v="TX501221"/>
    <x v="6"/>
    <x v="2"/>
    <n v="56.6"/>
    <x v="1026"/>
    <x v="47"/>
    <x v="50"/>
    <x v="1"/>
    <x v="3"/>
    <x v="0"/>
    <x v="0"/>
    <x v="3"/>
    <x v="3"/>
    <x v="7"/>
    <x v="1"/>
  </r>
  <r>
    <s v="TX501222"/>
    <x v="3"/>
    <x v="15"/>
    <n v="84.5"/>
    <x v="1027"/>
    <x v="47"/>
    <x v="49"/>
    <x v="2"/>
    <x v="1"/>
    <x v="4"/>
    <x v="0"/>
    <x v="3"/>
    <x v="2"/>
    <x v="7"/>
    <x v="2"/>
  </r>
  <r>
    <s v="TX501223"/>
    <x v="2"/>
    <x v="9"/>
    <n v="105.4"/>
    <x v="1028"/>
    <x v="47"/>
    <x v="46"/>
    <x v="2"/>
    <x v="1"/>
    <x v="1"/>
    <x v="0"/>
    <x v="3"/>
    <x v="1"/>
    <x v="7"/>
    <x v="2"/>
  </r>
  <r>
    <s v="TX501224"/>
    <x v="18"/>
    <x v="3"/>
    <n v="39.4"/>
    <x v="1029"/>
    <x v="48"/>
    <x v="50"/>
    <x v="1"/>
    <x v="1"/>
    <x v="0"/>
    <x v="0"/>
    <x v="37"/>
    <x v="7"/>
    <x v="7"/>
    <x v="1"/>
  </r>
  <r>
    <s v="TX501225"/>
    <x v="19"/>
    <x v="2"/>
    <n v="38"/>
    <x v="717"/>
    <x v="48"/>
    <x v="47"/>
    <x v="1"/>
    <x v="4"/>
    <x v="1"/>
    <x v="0"/>
    <x v="6"/>
    <x v="2"/>
    <x v="7"/>
    <x v="1"/>
  </r>
  <r>
    <s v="TX501226"/>
    <x v="17"/>
    <x v="12"/>
    <n v="42.5"/>
    <x v="393"/>
    <x v="48"/>
    <x v="49"/>
    <x v="0"/>
    <x v="0"/>
    <x v="0"/>
    <x v="0"/>
    <x v="6"/>
    <x v="1"/>
    <x v="7"/>
    <x v="0"/>
  </r>
  <r>
    <s v="TX501227"/>
    <x v="15"/>
    <x v="0"/>
    <n v="62.3"/>
    <x v="1030"/>
    <x v="48"/>
    <x v="53"/>
    <x v="1"/>
    <x v="0"/>
    <x v="2"/>
    <x v="0"/>
    <x v="6"/>
    <x v="8"/>
    <x v="7"/>
    <x v="1"/>
  </r>
  <r>
    <s v="TX501228"/>
    <x v="6"/>
    <x v="9"/>
    <n v="49.1"/>
    <x v="1031"/>
    <x v="48"/>
    <x v="49"/>
    <x v="2"/>
    <x v="1"/>
    <x v="2"/>
    <x v="0"/>
    <x v="7"/>
    <x v="1"/>
    <x v="7"/>
    <x v="2"/>
  </r>
  <r>
    <s v="TX501229"/>
    <x v="3"/>
    <x v="1"/>
    <n v="30.5"/>
    <x v="170"/>
    <x v="48"/>
    <x v="47"/>
    <x v="1"/>
    <x v="0"/>
    <x v="2"/>
    <x v="0"/>
    <x v="8"/>
    <x v="2"/>
    <x v="7"/>
    <x v="1"/>
  </r>
  <r>
    <s v="TX501230"/>
    <x v="2"/>
    <x v="1"/>
    <n v="154.80000000000001"/>
    <x v="141"/>
    <x v="48"/>
    <x v="47"/>
    <x v="2"/>
    <x v="1"/>
    <x v="4"/>
    <x v="0"/>
    <x v="8"/>
    <x v="2"/>
    <x v="7"/>
    <x v="2"/>
  </r>
  <r>
    <s v="TX501231"/>
    <x v="6"/>
    <x v="0"/>
    <n v="45"/>
    <x v="583"/>
    <x v="48"/>
    <x v="56"/>
    <x v="1"/>
    <x v="3"/>
    <x v="1"/>
    <x v="0"/>
    <x v="8"/>
    <x v="5"/>
    <x v="7"/>
    <x v="1"/>
  </r>
  <r>
    <s v="TX501232"/>
    <x v="0"/>
    <x v="3"/>
    <n v="15.3"/>
    <x v="1002"/>
    <x v="48"/>
    <x v="46"/>
    <x v="1"/>
    <x v="0"/>
    <x v="2"/>
    <x v="0"/>
    <x v="8"/>
    <x v="3"/>
    <x v="7"/>
    <x v="1"/>
  </r>
  <r>
    <s v="TX501233"/>
    <x v="2"/>
    <x v="5"/>
    <n v="88.6"/>
    <x v="1032"/>
    <x v="48"/>
    <x v="47"/>
    <x v="2"/>
    <x v="0"/>
    <x v="4"/>
    <x v="0"/>
    <x v="17"/>
    <x v="2"/>
    <x v="7"/>
    <x v="2"/>
  </r>
  <r>
    <s v="TX501234"/>
    <x v="9"/>
    <x v="1"/>
    <n v="49.7"/>
    <x v="1033"/>
    <x v="48"/>
    <x v="49"/>
    <x v="3"/>
    <x v="4"/>
    <x v="0"/>
    <x v="0"/>
    <x v="10"/>
    <x v="1"/>
    <x v="7"/>
    <x v="3"/>
  </r>
  <r>
    <s v="TX501235"/>
    <x v="10"/>
    <x v="0"/>
    <n v="29"/>
    <x v="1034"/>
    <x v="48"/>
    <x v="46"/>
    <x v="1"/>
    <x v="0"/>
    <x v="0"/>
    <x v="0"/>
    <x v="11"/>
    <x v="3"/>
    <x v="7"/>
    <x v="1"/>
  </r>
  <r>
    <s v="TX501236"/>
    <x v="1"/>
    <x v="0"/>
    <n v="60.7"/>
    <x v="1035"/>
    <x v="48"/>
    <x v="46"/>
    <x v="3"/>
    <x v="0"/>
    <x v="1"/>
    <x v="0"/>
    <x v="11"/>
    <x v="3"/>
    <x v="7"/>
    <x v="3"/>
  </r>
  <r>
    <s v="TX501237"/>
    <x v="17"/>
    <x v="12"/>
    <n v="87.4"/>
    <x v="1036"/>
    <x v="48"/>
    <x v="49"/>
    <x v="0"/>
    <x v="0"/>
    <x v="0"/>
    <x v="0"/>
    <x v="11"/>
    <x v="1"/>
    <x v="7"/>
    <x v="0"/>
  </r>
  <r>
    <s v="TX501238"/>
    <x v="4"/>
    <x v="3"/>
    <n v="44.5"/>
    <x v="1037"/>
    <x v="48"/>
    <x v="56"/>
    <x v="2"/>
    <x v="2"/>
    <x v="2"/>
    <x v="0"/>
    <x v="19"/>
    <x v="5"/>
    <x v="7"/>
    <x v="2"/>
  </r>
  <r>
    <s v="TX501239"/>
    <x v="2"/>
    <x v="0"/>
    <n v="141"/>
    <x v="1038"/>
    <x v="48"/>
    <x v="46"/>
    <x v="1"/>
    <x v="4"/>
    <x v="2"/>
    <x v="0"/>
    <x v="19"/>
    <x v="3"/>
    <x v="7"/>
    <x v="1"/>
  </r>
  <r>
    <s v="TX501240"/>
    <x v="0"/>
    <x v="2"/>
    <n v="16.7"/>
    <x v="1039"/>
    <x v="48"/>
    <x v="52"/>
    <x v="2"/>
    <x v="0"/>
    <x v="0"/>
    <x v="0"/>
    <x v="20"/>
    <x v="9"/>
    <x v="7"/>
    <x v="2"/>
  </r>
  <r>
    <s v="TX501241"/>
    <x v="1"/>
    <x v="1"/>
    <n v="77.5"/>
    <x v="1040"/>
    <x v="48"/>
    <x v="46"/>
    <x v="0"/>
    <x v="2"/>
    <x v="2"/>
    <x v="0"/>
    <x v="13"/>
    <x v="3"/>
    <x v="7"/>
    <x v="0"/>
  </r>
  <r>
    <s v="TX501242"/>
    <x v="2"/>
    <x v="1"/>
    <n v="163"/>
    <x v="1041"/>
    <x v="48"/>
    <x v="54"/>
    <x v="2"/>
    <x v="4"/>
    <x v="0"/>
    <x v="0"/>
    <x v="21"/>
    <x v="4"/>
    <x v="7"/>
    <x v="2"/>
  </r>
  <r>
    <s v="TX501243"/>
    <x v="4"/>
    <x v="11"/>
    <n v="21.4"/>
    <x v="1042"/>
    <x v="48"/>
    <x v="47"/>
    <x v="2"/>
    <x v="0"/>
    <x v="0"/>
    <x v="0"/>
    <x v="51"/>
    <x v="2"/>
    <x v="7"/>
    <x v="2"/>
  </r>
  <r>
    <s v="TX501244"/>
    <x v="10"/>
    <x v="5"/>
    <n v="31"/>
    <x v="992"/>
    <x v="48"/>
    <x v="49"/>
    <x v="2"/>
    <x v="3"/>
    <x v="2"/>
    <x v="0"/>
    <x v="1"/>
    <x v="1"/>
    <x v="7"/>
    <x v="2"/>
  </r>
  <r>
    <s v="TX501245"/>
    <x v="7"/>
    <x v="1"/>
    <n v="34.299999999999997"/>
    <x v="1043"/>
    <x v="48"/>
    <x v="49"/>
    <x v="2"/>
    <x v="0"/>
    <x v="3"/>
    <x v="0"/>
    <x v="1"/>
    <x v="1"/>
    <x v="7"/>
    <x v="2"/>
  </r>
  <r>
    <s v="TX501246"/>
    <x v="17"/>
    <x v="9"/>
    <n v="48.2"/>
    <x v="1044"/>
    <x v="48"/>
    <x v="46"/>
    <x v="1"/>
    <x v="1"/>
    <x v="1"/>
    <x v="0"/>
    <x v="2"/>
    <x v="3"/>
    <x v="7"/>
    <x v="1"/>
  </r>
  <r>
    <s v="TX501247"/>
    <x v="10"/>
    <x v="0"/>
    <n v="51.4"/>
    <x v="1045"/>
    <x v="48"/>
    <x v="46"/>
    <x v="1"/>
    <x v="0"/>
    <x v="0"/>
    <x v="0"/>
    <x v="3"/>
    <x v="3"/>
    <x v="7"/>
    <x v="1"/>
  </r>
  <r>
    <s v="TX501248"/>
    <x v="2"/>
    <x v="9"/>
    <n v="117.2"/>
    <x v="1046"/>
    <x v="48"/>
    <x v="47"/>
    <x v="2"/>
    <x v="4"/>
    <x v="4"/>
    <x v="0"/>
    <x v="3"/>
    <x v="2"/>
    <x v="7"/>
    <x v="2"/>
  </r>
  <r>
    <s v="TX501249"/>
    <x v="8"/>
    <x v="0"/>
    <n v="38.1"/>
    <x v="220"/>
    <x v="48"/>
    <x v="50"/>
    <x v="1"/>
    <x v="4"/>
    <x v="1"/>
    <x v="0"/>
    <x v="3"/>
    <x v="7"/>
    <x v="7"/>
    <x v="1"/>
  </r>
  <r>
    <s v="TX501250"/>
    <x v="0"/>
    <x v="1"/>
    <n v="44.1"/>
    <x v="1047"/>
    <x v="48"/>
    <x v="49"/>
    <x v="2"/>
    <x v="2"/>
    <x v="0"/>
    <x v="0"/>
    <x v="3"/>
    <x v="1"/>
    <x v="7"/>
    <x v="2"/>
  </r>
  <r>
    <s v="TX501251"/>
    <x v="15"/>
    <x v="12"/>
    <n v="80.5"/>
    <x v="310"/>
    <x v="48"/>
    <x v="55"/>
    <x v="1"/>
    <x v="0"/>
    <x v="0"/>
    <x v="0"/>
    <x v="3"/>
    <x v="0"/>
    <x v="7"/>
    <x v="1"/>
  </r>
  <r>
    <s v="TX501252"/>
    <x v="18"/>
    <x v="12"/>
    <n v="33.6"/>
    <x v="1048"/>
    <x v="48"/>
    <x v="55"/>
    <x v="0"/>
    <x v="0"/>
    <x v="2"/>
    <x v="0"/>
    <x v="3"/>
    <x v="0"/>
    <x v="7"/>
    <x v="0"/>
  </r>
  <r>
    <s v="TX501253"/>
    <x v="9"/>
    <x v="11"/>
    <n v="41.8"/>
    <x v="82"/>
    <x v="48"/>
    <x v="46"/>
    <x v="2"/>
    <x v="0"/>
    <x v="1"/>
    <x v="0"/>
    <x v="3"/>
    <x v="3"/>
    <x v="7"/>
    <x v="2"/>
  </r>
  <r>
    <s v="TX501254"/>
    <x v="1"/>
    <x v="1"/>
    <n v="106.2"/>
    <x v="230"/>
    <x v="48"/>
    <x v="50"/>
    <x v="2"/>
    <x v="4"/>
    <x v="2"/>
    <x v="0"/>
    <x v="3"/>
    <x v="7"/>
    <x v="7"/>
    <x v="2"/>
  </r>
  <r>
    <s v="TX501255"/>
    <x v="1"/>
    <x v="1"/>
    <n v="52.6"/>
    <x v="1049"/>
    <x v="48"/>
    <x v="46"/>
    <x v="2"/>
    <x v="0"/>
    <x v="2"/>
    <x v="0"/>
    <x v="5"/>
    <x v="3"/>
    <x v="7"/>
    <x v="2"/>
  </r>
  <r>
    <s v="TX501256"/>
    <x v="11"/>
    <x v="3"/>
    <n v="68.5"/>
    <x v="1050"/>
    <x v="48"/>
    <x v="46"/>
    <x v="2"/>
    <x v="1"/>
    <x v="0"/>
    <x v="0"/>
    <x v="5"/>
    <x v="3"/>
    <x v="7"/>
    <x v="2"/>
  </r>
  <r>
    <s v="TX501257"/>
    <x v="1"/>
    <x v="1"/>
    <n v="55.6"/>
    <x v="622"/>
    <x v="48"/>
    <x v="49"/>
    <x v="1"/>
    <x v="1"/>
    <x v="2"/>
    <x v="0"/>
    <x v="6"/>
    <x v="1"/>
    <x v="7"/>
    <x v="1"/>
  </r>
  <r>
    <s v="TX501258"/>
    <x v="2"/>
    <x v="2"/>
    <n v="134.9"/>
    <x v="1051"/>
    <x v="48"/>
    <x v="46"/>
    <x v="1"/>
    <x v="1"/>
    <x v="1"/>
    <x v="0"/>
    <x v="6"/>
    <x v="3"/>
    <x v="7"/>
    <x v="1"/>
  </r>
  <r>
    <s v="TX501259"/>
    <x v="10"/>
    <x v="9"/>
    <n v="42.6"/>
    <x v="226"/>
    <x v="48"/>
    <x v="46"/>
    <x v="1"/>
    <x v="0"/>
    <x v="0"/>
    <x v="0"/>
    <x v="6"/>
    <x v="3"/>
    <x v="7"/>
    <x v="1"/>
  </r>
  <r>
    <s v="TX501260"/>
    <x v="7"/>
    <x v="9"/>
    <n v="60.6"/>
    <x v="1052"/>
    <x v="48"/>
    <x v="49"/>
    <x v="1"/>
    <x v="4"/>
    <x v="0"/>
    <x v="0"/>
    <x v="6"/>
    <x v="1"/>
    <x v="7"/>
    <x v="1"/>
  </r>
  <r>
    <s v="TX501261"/>
    <x v="8"/>
    <x v="1"/>
    <n v="43.5"/>
    <x v="1053"/>
    <x v="48"/>
    <x v="46"/>
    <x v="1"/>
    <x v="4"/>
    <x v="0"/>
    <x v="0"/>
    <x v="7"/>
    <x v="3"/>
    <x v="7"/>
    <x v="1"/>
  </r>
  <r>
    <s v="TX501262"/>
    <x v="2"/>
    <x v="1"/>
    <n v="187.1"/>
    <x v="1054"/>
    <x v="48"/>
    <x v="46"/>
    <x v="1"/>
    <x v="1"/>
    <x v="2"/>
    <x v="0"/>
    <x v="8"/>
    <x v="3"/>
    <x v="7"/>
    <x v="1"/>
  </r>
  <r>
    <s v="TX501263"/>
    <x v="9"/>
    <x v="2"/>
    <n v="32"/>
    <x v="854"/>
    <x v="48"/>
    <x v="49"/>
    <x v="1"/>
    <x v="0"/>
    <x v="0"/>
    <x v="0"/>
    <x v="8"/>
    <x v="1"/>
    <x v="7"/>
    <x v="1"/>
  </r>
  <r>
    <s v="TX501264"/>
    <x v="9"/>
    <x v="1"/>
    <n v="110.8"/>
    <x v="1055"/>
    <x v="48"/>
    <x v="50"/>
    <x v="1"/>
    <x v="0"/>
    <x v="2"/>
    <x v="0"/>
    <x v="8"/>
    <x v="7"/>
    <x v="7"/>
    <x v="1"/>
  </r>
  <r>
    <s v="TX501265"/>
    <x v="10"/>
    <x v="15"/>
    <n v="36.1"/>
    <x v="1056"/>
    <x v="48"/>
    <x v="47"/>
    <x v="2"/>
    <x v="0"/>
    <x v="1"/>
    <x v="0"/>
    <x v="8"/>
    <x v="2"/>
    <x v="7"/>
    <x v="2"/>
  </r>
  <r>
    <s v="TX501266"/>
    <x v="0"/>
    <x v="0"/>
    <n v="24.1"/>
    <x v="1057"/>
    <x v="48"/>
    <x v="49"/>
    <x v="2"/>
    <x v="4"/>
    <x v="2"/>
    <x v="0"/>
    <x v="8"/>
    <x v="1"/>
    <x v="7"/>
    <x v="2"/>
  </r>
  <r>
    <s v="TX501267"/>
    <x v="19"/>
    <x v="2"/>
    <n v="30.5"/>
    <x v="1058"/>
    <x v="48"/>
    <x v="49"/>
    <x v="1"/>
    <x v="1"/>
    <x v="0"/>
    <x v="0"/>
    <x v="8"/>
    <x v="1"/>
    <x v="7"/>
    <x v="1"/>
  </r>
  <r>
    <s v="TX501268"/>
    <x v="18"/>
    <x v="13"/>
    <n v="68.3"/>
    <x v="1059"/>
    <x v="48"/>
    <x v="47"/>
    <x v="1"/>
    <x v="0"/>
    <x v="0"/>
    <x v="0"/>
    <x v="8"/>
    <x v="2"/>
    <x v="7"/>
    <x v="1"/>
  </r>
  <r>
    <s v="TX501269"/>
    <x v="7"/>
    <x v="2"/>
    <n v="43.3"/>
    <x v="1060"/>
    <x v="48"/>
    <x v="56"/>
    <x v="2"/>
    <x v="0"/>
    <x v="0"/>
    <x v="0"/>
    <x v="17"/>
    <x v="5"/>
    <x v="7"/>
    <x v="2"/>
  </r>
  <r>
    <s v="TX501270"/>
    <x v="3"/>
    <x v="0"/>
    <n v="101.7"/>
    <x v="530"/>
    <x v="48"/>
    <x v="47"/>
    <x v="2"/>
    <x v="0"/>
    <x v="1"/>
    <x v="0"/>
    <x v="17"/>
    <x v="2"/>
    <x v="7"/>
    <x v="2"/>
  </r>
  <r>
    <s v="TX501271"/>
    <x v="11"/>
    <x v="1"/>
    <n v="54.2"/>
    <x v="1061"/>
    <x v="48"/>
    <x v="46"/>
    <x v="2"/>
    <x v="0"/>
    <x v="1"/>
    <x v="0"/>
    <x v="17"/>
    <x v="3"/>
    <x v="7"/>
    <x v="2"/>
  </r>
  <r>
    <s v="TX501272"/>
    <x v="16"/>
    <x v="1"/>
    <n v="51"/>
    <x v="1062"/>
    <x v="48"/>
    <x v="50"/>
    <x v="1"/>
    <x v="1"/>
    <x v="0"/>
    <x v="0"/>
    <x v="26"/>
    <x v="7"/>
    <x v="7"/>
    <x v="1"/>
  </r>
  <r>
    <s v="TX501273"/>
    <x v="4"/>
    <x v="1"/>
    <n v="23.1"/>
    <x v="1063"/>
    <x v="48"/>
    <x v="47"/>
    <x v="1"/>
    <x v="1"/>
    <x v="0"/>
    <x v="0"/>
    <x v="10"/>
    <x v="2"/>
    <x v="7"/>
    <x v="1"/>
  </r>
  <r>
    <s v="TX501274"/>
    <x v="12"/>
    <x v="13"/>
    <n v="60.1"/>
    <x v="116"/>
    <x v="48"/>
    <x v="50"/>
    <x v="2"/>
    <x v="3"/>
    <x v="0"/>
    <x v="0"/>
    <x v="11"/>
    <x v="7"/>
    <x v="7"/>
    <x v="2"/>
  </r>
  <r>
    <s v="TX501275"/>
    <x v="2"/>
    <x v="3"/>
    <n v="87.5"/>
    <x v="1064"/>
    <x v="48"/>
    <x v="49"/>
    <x v="2"/>
    <x v="0"/>
    <x v="1"/>
    <x v="0"/>
    <x v="11"/>
    <x v="1"/>
    <x v="7"/>
    <x v="2"/>
  </r>
  <r>
    <s v="TX501276"/>
    <x v="1"/>
    <x v="2"/>
    <n v="51"/>
    <x v="1065"/>
    <x v="48"/>
    <x v="46"/>
    <x v="2"/>
    <x v="1"/>
    <x v="0"/>
    <x v="0"/>
    <x v="11"/>
    <x v="3"/>
    <x v="7"/>
    <x v="2"/>
  </r>
  <r>
    <s v="TX501277"/>
    <x v="8"/>
    <x v="12"/>
    <n v="19.2"/>
    <x v="714"/>
    <x v="48"/>
    <x v="49"/>
    <x v="2"/>
    <x v="0"/>
    <x v="0"/>
    <x v="0"/>
    <x v="11"/>
    <x v="1"/>
    <x v="7"/>
    <x v="2"/>
  </r>
  <r>
    <s v="TX501278"/>
    <x v="5"/>
    <x v="8"/>
    <n v="26.5"/>
    <x v="1066"/>
    <x v="48"/>
    <x v="46"/>
    <x v="0"/>
    <x v="3"/>
    <x v="2"/>
    <x v="0"/>
    <x v="11"/>
    <x v="3"/>
    <x v="7"/>
    <x v="0"/>
  </r>
  <r>
    <s v="TX501279"/>
    <x v="2"/>
    <x v="1"/>
    <n v="220.3"/>
    <x v="1067"/>
    <x v="48"/>
    <x v="46"/>
    <x v="2"/>
    <x v="1"/>
    <x v="4"/>
    <x v="0"/>
    <x v="53"/>
    <x v="3"/>
    <x v="7"/>
    <x v="2"/>
  </r>
  <r>
    <s v="TX501280"/>
    <x v="8"/>
    <x v="2"/>
    <n v="45.7"/>
    <x v="1068"/>
    <x v="48"/>
    <x v="46"/>
    <x v="2"/>
    <x v="4"/>
    <x v="0"/>
    <x v="0"/>
    <x v="30"/>
    <x v="3"/>
    <x v="7"/>
    <x v="2"/>
  </r>
  <r>
    <s v="TX501281"/>
    <x v="5"/>
    <x v="9"/>
    <n v="47.1"/>
    <x v="1069"/>
    <x v="48"/>
    <x v="56"/>
    <x v="2"/>
    <x v="3"/>
    <x v="0"/>
    <x v="0"/>
    <x v="13"/>
    <x v="5"/>
    <x v="7"/>
    <x v="2"/>
  </r>
  <r>
    <s v="TX501282"/>
    <x v="1"/>
    <x v="9"/>
    <n v="81.7"/>
    <x v="856"/>
    <x v="48"/>
    <x v="46"/>
    <x v="2"/>
    <x v="0"/>
    <x v="2"/>
    <x v="0"/>
    <x v="21"/>
    <x v="3"/>
    <x v="7"/>
    <x v="2"/>
  </r>
  <r>
    <s v="TX501283"/>
    <x v="6"/>
    <x v="7"/>
    <n v="97.8"/>
    <x v="1070"/>
    <x v="48"/>
    <x v="50"/>
    <x v="1"/>
    <x v="1"/>
    <x v="1"/>
    <x v="0"/>
    <x v="21"/>
    <x v="7"/>
    <x v="7"/>
    <x v="1"/>
  </r>
  <r>
    <s v="TX501284"/>
    <x v="6"/>
    <x v="2"/>
    <n v="42.4"/>
    <x v="1071"/>
    <x v="48"/>
    <x v="46"/>
    <x v="2"/>
    <x v="0"/>
    <x v="2"/>
    <x v="0"/>
    <x v="54"/>
    <x v="3"/>
    <x v="7"/>
    <x v="2"/>
  </r>
  <r>
    <s v="TX501285"/>
    <x v="2"/>
    <x v="7"/>
    <n v="74.5"/>
    <x v="1072"/>
    <x v="48"/>
    <x v="46"/>
    <x v="1"/>
    <x v="2"/>
    <x v="1"/>
    <x v="0"/>
    <x v="1"/>
    <x v="3"/>
    <x v="7"/>
    <x v="1"/>
  </r>
  <r>
    <s v="TX501286"/>
    <x v="17"/>
    <x v="13"/>
    <n v="47.4"/>
    <x v="1073"/>
    <x v="48"/>
    <x v="46"/>
    <x v="1"/>
    <x v="1"/>
    <x v="0"/>
    <x v="0"/>
    <x v="1"/>
    <x v="3"/>
    <x v="7"/>
    <x v="1"/>
  </r>
  <r>
    <s v="TX501287"/>
    <x v="14"/>
    <x v="2"/>
    <n v="17.3"/>
    <x v="1074"/>
    <x v="49"/>
    <x v="56"/>
    <x v="1"/>
    <x v="2"/>
    <x v="2"/>
    <x v="0"/>
    <x v="1"/>
    <x v="2"/>
    <x v="7"/>
    <x v="1"/>
  </r>
  <r>
    <s v="TX501288"/>
    <x v="12"/>
    <x v="12"/>
    <n v="77.900000000000006"/>
    <x v="1075"/>
    <x v="49"/>
    <x v="49"/>
    <x v="1"/>
    <x v="1"/>
    <x v="0"/>
    <x v="0"/>
    <x v="2"/>
    <x v="3"/>
    <x v="7"/>
    <x v="1"/>
  </r>
  <r>
    <s v="TX501289"/>
    <x v="8"/>
    <x v="0"/>
    <n v="29.1"/>
    <x v="1076"/>
    <x v="49"/>
    <x v="56"/>
    <x v="1"/>
    <x v="0"/>
    <x v="2"/>
    <x v="0"/>
    <x v="50"/>
    <x v="2"/>
    <x v="7"/>
    <x v="1"/>
  </r>
  <r>
    <s v="TX501290"/>
    <x v="8"/>
    <x v="0"/>
    <n v="49"/>
    <x v="268"/>
    <x v="49"/>
    <x v="49"/>
    <x v="1"/>
    <x v="1"/>
    <x v="0"/>
    <x v="0"/>
    <x v="3"/>
    <x v="3"/>
    <x v="7"/>
    <x v="1"/>
  </r>
  <r>
    <s v="TX501291"/>
    <x v="8"/>
    <x v="13"/>
    <n v="21.1"/>
    <x v="1077"/>
    <x v="49"/>
    <x v="52"/>
    <x v="1"/>
    <x v="0"/>
    <x v="2"/>
    <x v="0"/>
    <x v="3"/>
    <x v="6"/>
    <x v="7"/>
    <x v="1"/>
  </r>
  <r>
    <s v="TX501292"/>
    <x v="4"/>
    <x v="10"/>
    <n v="36.9"/>
    <x v="1078"/>
    <x v="49"/>
    <x v="46"/>
    <x v="2"/>
    <x v="0"/>
    <x v="0"/>
    <x v="0"/>
    <x v="3"/>
    <x v="7"/>
    <x v="7"/>
    <x v="2"/>
  </r>
  <r>
    <s v="TX501293"/>
    <x v="1"/>
    <x v="7"/>
    <n v="92.6"/>
    <x v="1079"/>
    <x v="49"/>
    <x v="54"/>
    <x v="1"/>
    <x v="4"/>
    <x v="2"/>
    <x v="0"/>
    <x v="3"/>
    <x v="0"/>
    <x v="7"/>
    <x v="1"/>
  </r>
  <r>
    <s v="TX501294"/>
    <x v="10"/>
    <x v="1"/>
    <n v="38"/>
    <x v="998"/>
    <x v="49"/>
    <x v="49"/>
    <x v="1"/>
    <x v="1"/>
    <x v="1"/>
    <x v="0"/>
    <x v="3"/>
    <x v="3"/>
    <x v="7"/>
    <x v="1"/>
  </r>
  <r>
    <s v="TX501295"/>
    <x v="5"/>
    <x v="2"/>
    <n v="54.8"/>
    <x v="1080"/>
    <x v="49"/>
    <x v="55"/>
    <x v="0"/>
    <x v="0"/>
    <x v="1"/>
    <x v="0"/>
    <x v="3"/>
    <x v="5"/>
    <x v="7"/>
    <x v="0"/>
  </r>
  <r>
    <s v="TX501296"/>
    <x v="10"/>
    <x v="4"/>
    <n v="56.8"/>
    <x v="1081"/>
    <x v="49"/>
    <x v="47"/>
    <x v="1"/>
    <x v="1"/>
    <x v="0"/>
    <x v="0"/>
    <x v="3"/>
    <x v="1"/>
    <x v="7"/>
    <x v="1"/>
  </r>
  <r>
    <s v="TX501297"/>
    <x v="11"/>
    <x v="40"/>
    <n v="47.2"/>
    <x v="1082"/>
    <x v="49"/>
    <x v="56"/>
    <x v="2"/>
    <x v="1"/>
    <x v="0"/>
    <x v="0"/>
    <x v="3"/>
    <x v="2"/>
    <x v="7"/>
    <x v="2"/>
  </r>
  <r>
    <s v="TX501298"/>
    <x v="7"/>
    <x v="13"/>
    <n v="45.1"/>
    <x v="1083"/>
    <x v="49"/>
    <x v="49"/>
    <x v="2"/>
    <x v="2"/>
    <x v="0"/>
    <x v="0"/>
    <x v="43"/>
    <x v="3"/>
    <x v="7"/>
    <x v="2"/>
  </r>
  <r>
    <s v="TX501299"/>
    <x v="4"/>
    <x v="4"/>
    <n v="25.2"/>
    <x v="982"/>
    <x v="49"/>
    <x v="54"/>
    <x v="2"/>
    <x v="2"/>
    <x v="0"/>
    <x v="0"/>
    <x v="16"/>
    <x v="0"/>
    <x v="7"/>
    <x v="2"/>
  </r>
  <r>
    <s v="TX501300"/>
    <x v="8"/>
    <x v="0"/>
    <n v="22"/>
    <x v="1084"/>
    <x v="49"/>
    <x v="49"/>
    <x v="2"/>
    <x v="0"/>
    <x v="0"/>
    <x v="0"/>
    <x v="5"/>
    <x v="3"/>
    <x v="7"/>
    <x v="2"/>
  </r>
  <r>
    <s v="TX501301"/>
    <x v="6"/>
    <x v="1"/>
    <n v="42.2"/>
    <x v="533"/>
    <x v="49"/>
    <x v="49"/>
    <x v="2"/>
    <x v="1"/>
    <x v="1"/>
    <x v="0"/>
    <x v="23"/>
    <x v="3"/>
    <x v="7"/>
    <x v="2"/>
  </r>
  <r>
    <s v="TX501302"/>
    <x v="13"/>
    <x v="2"/>
    <n v="20.5"/>
    <x v="1085"/>
    <x v="49"/>
    <x v="49"/>
    <x v="1"/>
    <x v="0"/>
    <x v="1"/>
    <x v="0"/>
    <x v="6"/>
    <x v="3"/>
    <x v="7"/>
    <x v="1"/>
  </r>
  <r>
    <s v="TX501303"/>
    <x v="2"/>
    <x v="0"/>
    <n v="190.4"/>
    <x v="1086"/>
    <x v="49"/>
    <x v="54"/>
    <x v="1"/>
    <x v="1"/>
    <x v="4"/>
    <x v="0"/>
    <x v="6"/>
    <x v="0"/>
    <x v="7"/>
    <x v="1"/>
  </r>
  <r>
    <s v="TX501304"/>
    <x v="2"/>
    <x v="0"/>
    <n v="121.9"/>
    <x v="1087"/>
    <x v="49"/>
    <x v="47"/>
    <x v="2"/>
    <x v="1"/>
    <x v="2"/>
    <x v="0"/>
    <x v="6"/>
    <x v="1"/>
    <x v="7"/>
    <x v="2"/>
  </r>
  <r>
    <s v="TX501305"/>
    <x v="2"/>
    <x v="13"/>
    <n v="149.19999999999999"/>
    <x v="1088"/>
    <x v="49"/>
    <x v="49"/>
    <x v="2"/>
    <x v="2"/>
    <x v="2"/>
    <x v="0"/>
    <x v="7"/>
    <x v="3"/>
    <x v="7"/>
    <x v="2"/>
  </r>
  <r>
    <s v="TX501306"/>
    <x v="2"/>
    <x v="0"/>
    <n v="54.1"/>
    <x v="1089"/>
    <x v="49"/>
    <x v="58"/>
    <x v="2"/>
    <x v="2"/>
    <x v="2"/>
    <x v="0"/>
    <x v="7"/>
    <x v="8"/>
    <x v="7"/>
    <x v="2"/>
  </r>
  <r>
    <s v="TX501307"/>
    <x v="5"/>
    <x v="1"/>
    <n v="27.4"/>
    <x v="1090"/>
    <x v="49"/>
    <x v="47"/>
    <x v="1"/>
    <x v="1"/>
    <x v="0"/>
    <x v="0"/>
    <x v="8"/>
    <x v="1"/>
    <x v="7"/>
    <x v="1"/>
  </r>
  <r>
    <s v="TX501308"/>
    <x v="0"/>
    <x v="15"/>
    <n v="30.4"/>
    <x v="1091"/>
    <x v="49"/>
    <x v="49"/>
    <x v="2"/>
    <x v="0"/>
    <x v="2"/>
    <x v="0"/>
    <x v="8"/>
    <x v="3"/>
    <x v="7"/>
    <x v="2"/>
  </r>
  <r>
    <s v="TX501309"/>
    <x v="12"/>
    <x v="2"/>
    <n v="46.2"/>
    <x v="209"/>
    <x v="49"/>
    <x v="47"/>
    <x v="1"/>
    <x v="2"/>
    <x v="1"/>
    <x v="0"/>
    <x v="17"/>
    <x v="1"/>
    <x v="7"/>
    <x v="1"/>
  </r>
  <r>
    <s v="TX501310"/>
    <x v="7"/>
    <x v="8"/>
    <n v="78.599999999999994"/>
    <x v="1092"/>
    <x v="49"/>
    <x v="55"/>
    <x v="1"/>
    <x v="3"/>
    <x v="0"/>
    <x v="0"/>
    <x v="17"/>
    <x v="5"/>
    <x v="7"/>
    <x v="1"/>
  </r>
  <r>
    <s v="TX501311"/>
    <x v="17"/>
    <x v="7"/>
    <n v="25.9"/>
    <x v="155"/>
    <x v="49"/>
    <x v="51"/>
    <x v="1"/>
    <x v="4"/>
    <x v="0"/>
    <x v="0"/>
    <x v="9"/>
    <x v="4"/>
    <x v="7"/>
    <x v="1"/>
  </r>
  <r>
    <s v="TX501312"/>
    <x v="6"/>
    <x v="0"/>
    <n v="134.80000000000001"/>
    <x v="1093"/>
    <x v="49"/>
    <x v="47"/>
    <x v="1"/>
    <x v="2"/>
    <x v="2"/>
    <x v="0"/>
    <x v="9"/>
    <x v="1"/>
    <x v="7"/>
    <x v="1"/>
  </r>
  <r>
    <s v="TX501313"/>
    <x v="15"/>
    <x v="9"/>
    <n v="43.1"/>
    <x v="1094"/>
    <x v="49"/>
    <x v="47"/>
    <x v="2"/>
    <x v="0"/>
    <x v="0"/>
    <x v="0"/>
    <x v="11"/>
    <x v="1"/>
    <x v="7"/>
    <x v="2"/>
  </r>
  <r>
    <s v="TX501314"/>
    <x v="2"/>
    <x v="1"/>
    <n v="215.6"/>
    <x v="348"/>
    <x v="49"/>
    <x v="49"/>
    <x v="2"/>
    <x v="2"/>
    <x v="0"/>
    <x v="0"/>
    <x v="18"/>
    <x v="3"/>
    <x v="7"/>
    <x v="2"/>
  </r>
  <r>
    <s v="TX501315"/>
    <x v="6"/>
    <x v="1"/>
    <n v="80.7"/>
    <x v="1095"/>
    <x v="49"/>
    <x v="56"/>
    <x v="2"/>
    <x v="3"/>
    <x v="0"/>
    <x v="0"/>
    <x v="18"/>
    <x v="2"/>
    <x v="7"/>
    <x v="2"/>
  </r>
  <r>
    <s v="TX501316"/>
    <x v="10"/>
    <x v="3"/>
    <n v="20.6"/>
    <x v="1096"/>
    <x v="49"/>
    <x v="54"/>
    <x v="0"/>
    <x v="2"/>
    <x v="1"/>
    <x v="0"/>
    <x v="19"/>
    <x v="0"/>
    <x v="7"/>
    <x v="0"/>
  </r>
  <r>
    <s v="TX501317"/>
    <x v="12"/>
    <x v="2"/>
    <n v="37.1"/>
    <x v="1097"/>
    <x v="49"/>
    <x v="49"/>
    <x v="2"/>
    <x v="0"/>
    <x v="0"/>
    <x v="0"/>
    <x v="52"/>
    <x v="3"/>
    <x v="7"/>
    <x v="2"/>
  </r>
  <r>
    <s v="TX501318"/>
    <x v="12"/>
    <x v="0"/>
    <n v="104.8"/>
    <x v="661"/>
    <x v="50"/>
    <x v="56"/>
    <x v="2"/>
    <x v="0"/>
    <x v="0"/>
    <x v="0"/>
    <x v="13"/>
    <x v="1"/>
    <x v="7"/>
    <x v="2"/>
  </r>
  <r>
    <s v="TX501319"/>
    <x v="8"/>
    <x v="1"/>
    <n v="59"/>
    <x v="1098"/>
    <x v="50"/>
    <x v="47"/>
    <x v="1"/>
    <x v="1"/>
    <x v="0"/>
    <x v="0"/>
    <x v="21"/>
    <x v="3"/>
    <x v="7"/>
    <x v="1"/>
  </r>
  <r>
    <s v="TX501320"/>
    <x v="8"/>
    <x v="1"/>
    <n v="32.299999999999997"/>
    <x v="1099"/>
    <x v="50"/>
    <x v="47"/>
    <x v="1"/>
    <x v="0"/>
    <x v="2"/>
    <x v="0"/>
    <x v="21"/>
    <x v="3"/>
    <x v="7"/>
    <x v="1"/>
  </r>
  <r>
    <s v="TX501321"/>
    <x v="8"/>
    <x v="12"/>
    <n v="28.9"/>
    <x v="446"/>
    <x v="50"/>
    <x v="53"/>
    <x v="1"/>
    <x v="0"/>
    <x v="0"/>
    <x v="0"/>
    <x v="1"/>
    <x v="6"/>
    <x v="7"/>
    <x v="1"/>
  </r>
  <r>
    <s v="TX501322"/>
    <x v="0"/>
    <x v="1"/>
    <n v="29.6"/>
    <x v="1100"/>
    <x v="50"/>
    <x v="56"/>
    <x v="1"/>
    <x v="0"/>
    <x v="0"/>
    <x v="0"/>
    <x v="1"/>
    <x v="1"/>
    <x v="7"/>
    <x v="1"/>
  </r>
  <r>
    <s v="TX501323"/>
    <x v="0"/>
    <x v="9"/>
    <n v="29.4"/>
    <x v="926"/>
    <x v="50"/>
    <x v="55"/>
    <x v="2"/>
    <x v="0"/>
    <x v="0"/>
    <x v="0"/>
    <x v="1"/>
    <x v="2"/>
    <x v="7"/>
    <x v="2"/>
  </r>
  <r>
    <s v="TX501324"/>
    <x v="1"/>
    <x v="1"/>
    <n v="40.6"/>
    <x v="1101"/>
    <x v="50"/>
    <x v="47"/>
    <x v="1"/>
    <x v="0"/>
    <x v="4"/>
    <x v="0"/>
    <x v="2"/>
    <x v="3"/>
    <x v="7"/>
    <x v="1"/>
  </r>
  <r>
    <s v="TX501325"/>
    <x v="0"/>
    <x v="2"/>
    <n v="32.5"/>
    <x v="647"/>
    <x v="50"/>
    <x v="47"/>
    <x v="1"/>
    <x v="3"/>
    <x v="2"/>
    <x v="0"/>
    <x v="22"/>
    <x v="3"/>
    <x v="7"/>
    <x v="1"/>
  </r>
  <r>
    <s v="TX501326"/>
    <x v="15"/>
    <x v="0"/>
    <n v="26.2"/>
    <x v="1102"/>
    <x v="50"/>
    <x v="56"/>
    <x v="1"/>
    <x v="2"/>
    <x v="0"/>
    <x v="0"/>
    <x v="55"/>
    <x v="1"/>
    <x v="7"/>
    <x v="1"/>
  </r>
  <r>
    <s v="TX501327"/>
    <x v="10"/>
    <x v="17"/>
    <n v="44"/>
    <x v="1103"/>
    <x v="50"/>
    <x v="52"/>
    <x v="1"/>
    <x v="4"/>
    <x v="0"/>
    <x v="0"/>
    <x v="3"/>
    <x v="4"/>
    <x v="7"/>
    <x v="1"/>
  </r>
  <r>
    <s v="TX501328"/>
    <x v="7"/>
    <x v="12"/>
    <n v="65.599999999999994"/>
    <x v="1104"/>
    <x v="50"/>
    <x v="47"/>
    <x v="2"/>
    <x v="1"/>
    <x v="1"/>
    <x v="0"/>
    <x v="3"/>
    <x v="3"/>
    <x v="7"/>
    <x v="2"/>
  </r>
  <r>
    <s v="TX501329"/>
    <x v="5"/>
    <x v="4"/>
    <n v="32.6"/>
    <x v="1105"/>
    <x v="50"/>
    <x v="47"/>
    <x v="1"/>
    <x v="4"/>
    <x v="0"/>
    <x v="0"/>
    <x v="3"/>
    <x v="3"/>
    <x v="7"/>
    <x v="1"/>
  </r>
  <r>
    <s v="TX501330"/>
    <x v="16"/>
    <x v="1"/>
    <n v="88.7"/>
    <x v="633"/>
    <x v="50"/>
    <x v="47"/>
    <x v="0"/>
    <x v="3"/>
    <x v="2"/>
    <x v="0"/>
    <x v="3"/>
    <x v="3"/>
    <x v="7"/>
    <x v="0"/>
  </r>
  <r>
    <s v="TX501331"/>
    <x v="4"/>
    <x v="1"/>
    <n v="21.3"/>
    <x v="440"/>
    <x v="50"/>
    <x v="47"/>
    <x v="1"/>
    <x v="0"/>
    <x v="0"/>
    <x v="0"/>
    <x v="3"/>
    <x v="3"/>
    <x v="7"/>
    <x v="1"/>
  </r>
  <r>
    <s v="TX501332"/>
    <x v="4"/>
    <x v="13"/>
    <n v="50.6"/>
    <x v="80"/>
    <x v="50"/>
    <x v="54"/>
    <x v="2"/>
    <x v="2"/>
    <x v="0"/>
    <x v="0"/>
    <x v="3"/>
    <x v="5"/>
    <x v="7"/>
    <x v="2"/>
  </r>
  <r>
    <s v="TX501333"/>
    <x v="9"/>
    <x v="38"/>
    <n v="86.9"/>
    <x v="1106"/>
    <x v="50"/>
    <x v="55"/>
    <x v="2"/>
    <x v="0"/>
    <x v="1"/>
    <x v="0"/>
    <x v="3"/>
    <x v="2"/>
    <x v="7"/>
    <x v="2"/>
  </r>
  <r>
    <s v="TX501334"/>
    <x v="11"/>
    <x v="2"/>
    <n v="31.8"/>
    <x v="233"/>
    <x v="50"/>
    <x v="56"/>
    <x v="1"/>
    <x v="0"/>
    <x v="2"/>
    <x v="0"/>
    <x v="3"/>
    <x v="1"/>
    <x v="7"/>
    <x v="1"/>
  </r>
  <r>
    <s v="TX501335"/>
    <x v="8"/>
    <x v="0"/>
    <n v="19"/>
    <x v="134"/>
    <x v="50"/>
    <x v="47"/>
    <x v="2"/>
    <x v="0"/>
    <x v="2"/>
    <x v="0"/>
    <x v="3"/>
    <x v="3"/>
    <x v="7"/>
    <x v="2"/>
  </r>
  <r>
    <s v="TX501336"/>
    <x v="5"/>
    <x v="0"/>
    <n v="54.5"/>
    <x v="1107"/>
    <x v="50"/>
    <x v="56"/>
    <x v="1"/>
    <x v="0"/>
    <x v="0"/>
    <x v="0"/>
    <x v="3"/>
    <x v="1"/>
    <x v="7"/>
    <x v="1"/>
  </r>
  <r>
    <s v="TX501337"/>
    <x v="9"/>
    <x v="9"/>
    <n v="68.900000000000006"/>
    <x v="1108"/>
    <x v="50"/>
    <x v="56"/>
    <x v="1"/>
    <x v="4"/>
    <x v="1"/>
    <x v="0"/>
    <x v="3"/>
    <x v="1"/>
    <x v="7"/>
    <x v="1"/>
  </r>
  <r>
    <s v="TX501338"/>
    <x v="6"/>
    <x v="2"/>
    <n v="84"/>
    <x v="816"/>
    <x v="50"/>
    <x v="47"/>
    <x v="1"/>
    <x v="1"/>
    <x v="4"/>
    <x v="0"/>
    <x v="16"/>
    <x v="3"/>
    <x v="7"/>
    <x v="1"/>
  </r>
  <r>
    <s v="TX501339"/>
    <x v="15"/>
    <x v="8"/>
    <n v="23.1"/>
    <x v="827"/>
    <x v="50"/>
    <x v="51"/>
    <x v="1"/>
    <x v="0"/>
    <x v="2"/>
    <x v="0"/>
    <x v="23"/>
    <x v="0"/>
    <x v="7"/>
    <x v="1"/>
  </r>
  <r>
    <s v="TX501340"/>
    <x v="7"/>
    <x v="1"/>
    <n v="62.4"/>
    <x v="1109"/>
    <x v="50"/>
    <x v="47"/>
    <x v="2"/>
    <x v="0"/>
    <x v="1"/>
    <x v="0"/>
    <x v="6"/>
    <x v="3"/>
    <x v="7"/>
    <x v="2"/>
  </r>
  <r>
    <s v="TX501341"/>
    <x v="6"/>
    <x v="4"/>
    <n v="40.700000000000003"/>
    <x v="1110"/>
    <x v="50"/>
    <x v="56"/>
    <x v="1"/>
    <x v="1"/>
    <x v="2"/>
    <x v="0"/>
    <x v="6"/>
    <x v="1"/>
    <x v="7"/>
    <x v="1"/>
  </r>
  <r>
    <s v="TX501342"/>
    <x v="6"/>
    <x v="0"/>
    <n v="49.6"/>
    <x v="1111"/>
    <x v="50"/>
    <x v="55"/>
    <x v="1"/>
    <x v="2"/>
    <x v="0"/>
    <x v="0"/>
    <x v="7"/>
    <x v="2"/>
    <x v="7"/>
    <x v="1"/>
  </r>
  <r>
    <s v="TX501343"/>
    <x v="7"/>
    <x v="41"/>
    <n v="66.599999999999994"/>
    <x v="1112"/>
    <x v="50"/>
    <x v="55"/>
    <x v="1"/>
    <x v="2"/>
    <x v="0"/>
    <x v="0"/>
    <x v="8"/>
    <x v="2"/>
    <x v="7"/>
    <x v="1"/>
  </r>
  <r>
    <s v="TX501344"/>
    <x v="8"/>
    <x v="2"/>
    <n v="26.4"/>
    <x v="1113"/>
    <x v="50"/>
    <x v="47"/>
    <x v="2"/>
    <x v="1"/>
    <x v="1"/>
    <x v="0"/>
    <x v="8"/>
    <x v="3"/>
    <x v="7"/>
    <x v="2"/>
  </r>
  <r>
    <s v="TX501345"/>
    <x v="0"/>
    <x v="1"/>
    <n v="17.2"/>
    <x v="1114"/>
    <x v="50"/>
    <x v="55"/>
    <x v="1"/>
    <x v="2"/>
    <x v="1"/>
    <x v="0"/>
    <x v="8"/>
    <x v="2"/>
    <x v="7"/>
    <x v="1"/>
  </r>
  <r>
    <s v="TX501346"/>
    <x v="5"/>
    <x v="8"/>
    <n v="58.1"/>
    <x v="1115"/>
    <x v="50"/>
    <x v="55"/>
    <x v="2"/>
    <x v="4"/>
    <x v="0"/>
    <x v="0"/>
    <x v="8"/>
    <x v="2"/>
    <x v="7"/>
    <x v="2"/>
  </r>
  <r>
    <s v="TX501347"/>
    <x v="15"/>
    <x v="12"/>
    <n v="31.5"/>
    <x v="624"/>
    <x v="50"/>
    <x v="55"/>
    <x v="2"/>
    <x v="4"/>
    <x v="4"/>
    <x v="0"/>
    <x v="8"/>
    <x v="2"/>
    <x v="7"/>
    <x v="2"/>
  </r>
  <r>
    <s v="TX501348"/>
    <x v="0"/>
    <x v="0"/>
    <n v="27.1"/>
    <x v="1116"/>
    <x v="50"/>
    <x v="56"/>
    <x v="2"/>
    <x v="0"/>
    <x v="1"/>
    <x v="0"/>
    <x v="17"/>
    <x v="1"/>
    <x v="7"/>
    <x v="2"/>
  </r>
  <r>
    <s v="TX501349"/>
    <x v="18"/>
    <x v="12"/>
    <n v="28.5"/>
    <x v="717"/>
    <x v="50"/>
    <x v="56"/>
    <x v="1"/>
    <x v="1"/>
    <x v="2"/>
    <x v="0"/>
    <x v="9"/>
    <x v="1"/>
    <x v="7"/>
    <x v="1"/>
  </r>
  <r>
    <s v="TX501350"/>
    <x v="10"/>
    <x v="0"/>
    <n v="40.5"/>
    <x v="1117"/>
    <x v="51"/>
    <x v="55"/>
    <x v="3"/>
    <x v="2"/>
    <x v="0"/>
    <x v="0"/>
    <x v="9"/>
    <x v="1"/>
    <x v="7"/>
    <x v="3"/>
  </r>
  <r>
    <s v="TX501351"/>
    <x v="2"/>
    <x v="2"/>
    <n v="77.900000000000006"/>
    <x v="1118"/>
    <x v="51"/>
    <x v="51"/>
    <x v="2"/>
    <x v="1"/>
    <x v="2"/>
    <x v="0"/>
    <x v="19"/>
    <x v="5"/>
    <x v="7"/>
    <x v="2"/>
  </r>
  <r>
    <s v="TX501352"/>
    <x v="18"/>
    <x v="12"/>
    <n v="37.1"/>
    <x v="1119"/>
    <x v="51"/>
    <x v="55"/>
    <x v="1"/>
    <x v="4"/>
    <x v="2"/>
    <x v="0"/>
    <x v="19"/>
    <x v="1"/>
    <x v="7"/>
    <x v="1"/>
  </r>
  <r>
    <s v="TX501353"/>
    <x v="16"/>
    <x v="2"/>
    <n v="51.6"/>
    <x v="1120"/>
    <x v="51"/>
    <x v="59"/>
    <x v="2"/>
    <x v="0"/>
    <x v="4"/>
    <x v="0"/>
    <x v="19"/>
    <x v="9"/>
    <x v="7"/>
    <x v="2"/>
  </r>
  <r>
    <s v="TX501354"/>
    <x v="7"/>
    <x v="2"/>
    <n v="98"/>
    <x v="1121"/>
    <x v="51"/>
    <x v="56"/>
    <x v="1"/>
    <x v="1"/>
    <x v="1"/>
    <x v="0"/>
    <x v="19"/>
    <x v="3"/>
    <x v="7"/>
    <x v="1"/>
  </r>
  <r>
    <s v="TX501355"/>
    <x v="6"/>
    <x v="3"/>
    <n v="41.4"/>
    <x v="1122"/>
    <x v="51"/>
    <x v="56"/>
    <x v="1"/>
    <x v="1"/>
    <x v="0"/>
    <x v="0"/>
    <x v="20"/>
    <x v="3"/>
    <x v="7"/>
    <x v="1"/>
  </r>
  <r>
    <s v="TX501356"/>
    <x v="11"/>
    <x v="8"/>
    <n v="34"/>
    <x v="1123"/>
    <x v="51"/>
    <x v="52"/>
    <x v="2"/>
    <x v="0"/>
    <x v="2"/>
    <x v="0"/>
    <x v="52"/>
    <x v="0"/>
    <x v="7"/>
    <x v="2"/>
  </r>
  <r>
    <s v="TX501357"/>
    <x v="6"/>
    <x v="0"/>
    <n v="66.3"/>
    <x v="1124"/>
    <x v="51"/>
    <x v="56"/>
    <x v="2"/>
    <x v="1"/>
    <x v="0"/>
    <x v="0"/>
    <x v="13"/>
    <x v="3"/>
    <x v="7"/>
    <x v="2"/>
  </r>
  <r>
    <s v="TX501358"/>
    <x v="7"/>
    <x v="0"/>
    <n v="33.5"/>
    <x v="253"/>
    <x v="51"/>
    <x v="51"/>
    <x v="1"/>
    <x v="2"/>
    <x v="0"/>
    <x v="0"/>
    <x v="13"/>
    <x v="5"/>
    <x v="7"/>
    <x v="1"/>
  </r>
  <r>
    <s v="TX501359"/>
    <x v="12"/>
    <x v="1"/>
    <n v="70.8"/>
    <x v="932"/>
    <x v="51"/>
    <x v="56"/>
    <x v="0"/>
    <x v="0"/>
    <x v="0"/>
    <x v="0"/>
    <x v="28"/>
    <x v="3"/>
    <x v="7"/>
    <x v="0"/>
  </r>
  <r>
    <s v="TX501360"/>
    <x v="6"/>
    <x v="1"/>
    <n v="127.6"/>
    <x v="281"/>
    <x v="51"/>
    <x v="56"/>
    <x v="1"/>
    <x v="0"/>
    <x v="0"/>
    <x v="0"/>
    <x v="21"/>
    <x v="3"/>
    <x v="7"/>
    <x v="1"/>
  </r>
  <r>
    <s v="TX501361"/>
    <x v="6"/>
    <x v="2"/>
    <n v="95.9"/>
    <x v="1125"/>
    <x v="51"/>
    <x v="56"/>
    <x v="2"/>
    <x v="1"/>
    <x v="1"/>
    <x v="0"/>
    <x v="21"/>
    <x v="3"/>
    <x v="7"/>
    <x v="2"/>
  </r>
  <r>
    <s v="TX501362"/>
    <x v="2"/>
    <x v="1"/>
    <n v="78.099999999999994"/>
    <x v="1126"/>
    <x v="51"/>
    <x v="56"/>
    <x v="1"/>
    <x v="0"/>
    <x v="0"/>
    <x v="0"/>
    <x v="1"/>
    <x v="3"/>
    <x v="7"/>
    <x v="1"/>
  </r>
  <r>
    <s v="TX501363"/>
    <x v="13"/>
    <x v="1"/>
    <n v="43.2"/>
    <x v="781"/>
    <x v="51"/>
    <x v="56"/>
    <x v="0"/>
    <x v="1"/>
    <x v="1"/>
    <x v="0"/>
    <x v="1"/>
    <x v="3"/>
    <x v="7"/>
    <x v="0"/>
  </r>
  <r>
    <s v="TX501364"/>
    <x v="8"/>
    <x v="12"/>
    <n v="28.4"/>
    <x v="1127"/>
    <x v="51"/>
    <x v="53"/>
    <x v="1"/>
    <x v="2"/>
    <x v="0"/>
    <x v="0"/>
    <x v="3"/>
    <x v="4"/>
    <x v="7"/>
    <x v="1"/>
  </r>
  <r>
    <s v="TX501365"/>
    <x v="2"/>
    <x v="1"/>
    <n v="81.7"/>
    <x v="1128"/>
    <x v="51"/>
    <x v="47"/>
    <x v="1"/>
    <x v="0"/>
    <x v="0"/>
    <x v="0"/>
    <x v="3"/>
    <x v="7"/>
    <x v="7"/>
    <x v="1"/>
  </r>
  <r>
    <s v="TX501366"/>
    <x v="18"/>
    <x v="1"/>
    <n v="56.7"/>
    <x v="1129"/>
    <x v="51"/>
    <x v="55"/>
    <x v="0"/>
    <x v="0"/>
    <x v="2"/>
    <x v="0"/>
    <x v="3"/>
    <x v="1"/>
    <x v="7"/>
    <x v="0"/>
  </r>
  <r>
    <s v="TX501367"/>
    <x v="3"/>
    <x v="12"/>
    <n v="66.5"/>
    <x v="751"/>
    <x v="51"/>
    <x v="47"/>
    <x v="2"/>
    <x v="0"/>
    <x v="2"/>
    <x v="0"/>
    <x v="3"/>
    <x v="7"/>
    <x v="7"/>
    <x v="2"/>
  </r>
  <r>
    <s v="TX501368"/>
    <x v="1"/>
    <x v="1"/>
    <n v="105.3"/>
    <x v="1130"/>
    <x v="51"/>
    <x v="51"/>
    <x v="1"/>
    <x v="0"/>
    <x v="1"/>
    <x v="0"/>
    <x v="3"/>
    <x v="5"/>
    <x v="7"/>
    <x v="1"/>
  </r>
  <r>
    <s v="TX501369"/>
    <x v="10"/>
    <x v="9"/>
    <n v="33.799999999999997"/>
    <x v="900"/>
    <x v="51"/>
    <x v="52"/>
    <x v="1"/>
    <x v="0"/>
    <x v="0"/>
    <x v="0"/>
    <x v="3"/>
    <x v="0"/>
    <x v="7"/>
    <x v="1"/>
  </r>
  <r>
    <s v="TX501370"/>
    <x v="6"/>
    <x v="2"/>
    <n v="63.4"/>
    <x v="1131"/>
    <x v="51"/>
    <x v="52"/>
    <x v="1"/>
    <x v="3"/>
    <x v="1"/>
    <x v="0"/>
    <x v="24"/>
    <x v="0"/>
    <x v="7"/>
    <x v="1"/>
  </r>
  <r>
    <s v="TX501371"/>
    <x v="6"/>
    <x v="2"/>
    <n v="49"/>
    <x v="926"/>
    <x v="51"/>
    <x v="51"/>
    <x v="1"/>
    <x v="3"/>
    <x v="0"/>
    <x v="0"/>
    <x v="49"/>
    <x v="5"/>
    <x v="7"/>
    <x v="1"/>
  </r>
  <r>
    <s v="TX501372"/>
    <x v="1"/>
    <x v="1"/>
    <n v="40"/>
    <x v="479"/>
    <x v="51"/>
    <x v="56"/>
    <x v="2"/>
    <x v="4"/>
    <x v="1"/>
    <x v="0"/>
    <x v="23"/>
    <x v="3"/>
    <x v="7"/>
    <x v="2"/>
  </r>
  <r>
    <s v="TX501373"/>
    <x v="6"/>
    <x v="12"/>
    <n v="86.3"/>
    <x v="1132"/>
    <x v="51"/>
    <x v="56"/>
    <x v="3"/>
    <x v="0"/>
    <x v="0"/>
    <x v="0"/>
    <x v="6"/>
    <x v="3"/>
    <x v="7"/>
    <x v="3"/>
  </r>
  <r>
    <s v="TX501374"/>
    <x v="6"/>
    <x v="0"/>
    <n v="51.6"/>
    <x v="937"/>
    <x v="51"/>
    <x v="55"/>
    <x v="2"/>
    <x v="2"/>
    <x v="2"/>
    <x v="0"/>
    <x v="6"/>
    <x v="1"/>
    <x v="7"/>
    <x v="2"/>
  </r>
  <r>
    <s v="TX501375"/>
    <x v="10"/>
    <x v="2"/>
    <n v="26.7"/>
    <x v="1133"/>
    <x v="51"/>
    <x v="52"/>
    <x v="2"/>
    <x v="2"/>
    <x v="1"/>
    <x v="0"/>
    <x v="6"/>
    <x v="0"/>
    <x v="7"/>
    <x v="2"/>
  </r>
  <r>
    <s v="TX501376"/>
    <x v="18"/>
    <x v="1"/>
    <n v="68.099999999999994"/>
    <x v="1134"/>
    <x v="51"/>
    <x v="56"/>
    <x v="1"/>
    <x v="0"/>
    <x v="1"/>
    <x v="0"/>
    <x v="6"/>
    <x v="3"/>
    <x v="7"/>
    <x v="1"/>
  </r>
  <r>
    <s v="TX501377"/>
    <x v="1"/>
    <x v="0"/>
    <n v="81.7"/>
    <x v="1135"/>
    <x v="51"/>
    <x v="56"/>
    <x v="1"/>
    <x v="0"/>
    <x v="0"/>
    <x v="0"/>
    <x v="7"/>
    <x v="3"/>
    <x v="7"/>
    <x v="1"/>
  </r>
  <r>
    <s v="TX501378"/>
    <x v="18"/>
    <x v="7"/>
    <n v="25.1"/>
    <x v="1136"/>
    <x v="51"/>
    <x v="54"/>
    <x v="1"/>
    <x v="3"/>
    <x v="1"/>
    <x v="0"/>
    <x v="8"/>
    <x v="2"/>
    <x v="7"/>
    <x v="1"/>
  </r>
  <r>
    <s v="TX501379"/>
    <x v="8"/>
    <x v="0"/>
    <n v="20.2"/>
    <x v="1137"/>
    <x v="51"/>
    <x v="51"/>
    <x v="2"/>
    <x v="0"/>
    <x v="0"/>
    <x v="0"/>
    <x v="8"/>
    <x v="5"/>
    <x v="7"/>
    <x v="2"/>
  </r>
  <r>
    <s v="TX501380"/>
    <x v="8"/>
    <x v="2"/>
    <n v="15.4"/>
    <x v="1063"/>
    <x v="51"/>
    <x v="56"/>
    <x v="1"/>
    <x v="1"/>
    <x v="2"/>
    <x v="0"/>
    <x v="8"/>
    <x v="3"/>
    <x v="7"/>
    <x v="1"/>
  </r>
  <r>
    <s v="TX501381"/>
    <x v="10"/>
    <x v="0"/>
    <n v="59.2"/>
    <x v="1100"/>
    <x v="51"/>
    <x v="56"/>
    <x v="1"/>
    <x v="2"/>
    <x v="2"/>
    <x v="0"/>
    <x v="17"/>
    <x v="3"/>
    <x v="7"/>
    <x v="1"/>
  </r>
  <r>
    <s v="TX501382"/>
    <x v="0"/>
    <x v="0"/>
    <n v="46.7"/>
    <x v="594"/>
    <x v="51"/>
    <x v="52"/>
    <x v="1"/>
    <x v="0"/>
    <x v="0"/>
    <x v="0"/>
    <x v="17"/>
    <x v="0"/>
    <x v="7"/>
    <x v="1"/>
  </r>
  <r>
    <s v="TX501383"/>
    <x v="6"/>
    <x v="20"/>
    <n v="41.6"/>
    <x v="1138"/>
    <x v="51"/>
    <x v="55"/>
    <x v="1"/>
    <x v="1"/>
    <x v="0"/>
    <x v="0"/>
    <x v="26"/>
    <x v="1"/>
    <x v="7"/>
    <x v="1"/>
  </r>
  <r>
    <s v="TX501384"/>
    <x v="8"/>
    <x v="1"/>
    <n v="19.2"/>
    <x v="1139"/>
    <x v="51"/>
    <x v="54"/>
    <x v="1"/>
    <x v="4"/>
    <x v="2"/>
    <x v="0"/>
    <x v="9"/>
    <x v="2"/>
    <x v="7"/>
    <x v="1"/>
  </r>
  <r>
    <s v="TX501385"/>
    <x v="17"/>
    <x v="3"/>
    <n v="41.8"/>
    <x v="1140"/>
    <x v="51"/>
    <x v="55"/>
    <x v="2"/>
    <x v="2"/>
    <x v="0"/>
    <x v="0"/>
    <x v="11"/>
    <x v="1"/>
    <x v="7"/>
    <x v="2"/>
  </r>
  <r>
    <s v="TX501386"/>
    <x v="8"/>
    <x v="13"/>
    <n v="37.4"/>
    <x v="1141"/>
    <x v="51"/>
    <x v="55"/>
    <x v="1"/>
    <x v="0"/>
    <x v="2"/>
    <x v="0"/>
    <x v="11"/>
    <x v="1"/>
    <x v="7"/>
    <x v="1"/>
  </r>
  <r>
    <s v="TX501387"/>
    <x v="10"/>
    <x v="2"/>
    <n v="60.2"/>
    <x v="1142"/>
    <x v="51"/>
    <x v="54"/>
    <x v="1"/>
    <x v="4"/>
    <x v="1"/>
    <x v="0"/>
    <x v="38"/>
    <x v="2"/>
    <x v="7"/>
    <x v="1"/>
  </r>
  <r>
    <s v="TX501388"/>
    <x v="9"/>
    <x v="1"/>
    <n v="91.5"/>
    <x v="1143"/>
    <x v="52"/>
    <x v="55"/>
    <x v="1"/>
    <x v="0"/>
    <x v="0"/>
    <x v="0"/>
    <x v="13"/>
    <x v="3"/>
    <x v="7"/>
    <x v="1"/>
  </r>
  <r>
    <s v="TX501389"/>
    <x v="3"/>
    <x v="9"/>
    <n v="55.7"/>
    <x v="1144"/>
    <x v="52"/>
    <x v="54"/>
    <x v="0"/>
    <x v="1"/>
    <x v="2"/>
    <x v="0"/>
    <x v="21"/>
    <x v="1"/>
    <x v="7"/>
    <x v="0"/>
  </r>
  <r>
    <s v="TX501390"/>
    <x v="7"/>
    <x v="1"/>
    <n v="76.7"/>
    <x v="1145"/>
    <x v="52"/>
    <x v="54"/>
    <x v="1"/>
    <x v="0"/>
    <x v="1"/>
    <x v="0"/>
    <x v="21"/>
    <x v="1"/>
    <x v="7"/>
    <x v="1"/>
  </r>
  <r>
    <s v="TX501391"/>
    <x v="8"/>
    <x v="38"/>
    <n v="28.2"/>
    <x v="1146"/>
    <x v="52"/>
    <x v="53"/>
    <x v="1"/>
    <x v="2"/>
    <x v="0"/>
    <x v="0"/>
    <x v="1"/>
    <x v="0"/>
    <x v="7"/>
    <x v="1"/>
  </r>
  <r>
    <s v="TX501392"/>
    <x v="7"/>
    <x v="9"/>
    <n v="93.2"/>
    <x v="1147"/>
    <x v="52"/>
    <x v="54"/>
    <x v="2"/>
    <x v="4"/>
    <x v="2"/>
    <x v="0"/>
    <x v="1"/>
    <x v="1"/>
    <x v="7"/>
    <x v="2"/>
  </r>
  <r>
    <s v="TX501393"/>
    <x v="17"/>
    <x v="0"/>
    <n v="33.299999999999997"/>
    <x v="698"/>
    <x v="52"/>
    <x v="55"/>
    <x v="1"/>
    <x v="4"/>
    <x v="0"/>
    <x v="0"/>
    <x v="2"/>
    <x v="3"/>
    <x v="7"/>
    <x v="1"/>
  </r>
  <r>
    <s v="TX501394"/>
    <x v="10"/>
    <x v="1"/>
    <n v="39.1"/>
    <x v="1148"/>
    <x v="52"/>
    <x v="51"/>
    <x v="1"/>
    <x v="0"/>
    <x v="0"/>
    <x v="0"/>
    <x v="44"/>
    <x v="2"/>
    <x v="7"/>
    <x v="1"/>
  </r>
  <r>
    <s v="TX501395"/>
    <x v="7"/>
    <x v="4"/>
    <n v="45.3"/>
    <x v="1149"/>
    <x v="52"/>
    <x v="55"/>
    <x v="1"/>
    <x v="2"/>
    <x v="0"/>
    <x v="0"/>
    <x v="33"/>
    <x v="3"/>
    <x v="7"/>
    <x v="1"/>
  </r>
  <r>
    <s v="TX501396"/>
    <x v="9"/>
    <x v="3"/>
    <n v="33.9"/>
    <x v="1150"/>
    <x v="52"/>
    <x v="55"/>
    <x v="1"/>
    <x v="4"/>
    <x v="0"/>
    <x v="0"/>
    <x v="33"/>
    <x v="3"/>
    <x v="7"/>
    <x v="1"/>
  </r>
  <r>
    <s v="TX501397"/>
    <x v="8"/>
    <x v="2"/>
    <n v="19"/>
    <x v="933"/>
    <x v="52"/>
    <x v="55"/>
    <x v="1"/>
    <x v="0"/>
    <x v="2"/>
    <x v="0"/>
    <x v="15"/>
    <x v="3"/>
    <x v="7"/>
    <x v="1"/>
  </r>
  <r>
    <s v="TX501398"/>
    <x v="4"/>
    <x v="0"/>
    <n v="41.9"/>
    <x v="1151"/>
    <x v="52"/>
    <x v="51"/>
    <x v="2"/>
    <x v="2"/>
    <x v="0"/>
    <x v="0"/>
    <x v="22"/>
    <x v="2"/>
    <x v="7"/>
    <x v="2"/>
  </r>
  <r>
    <s v="TX501399"/>
    <x v="1"/>
    <x v="12"/>
    <n v="37.5"/>
    <x v="638"/>
    <x v="52"/>
    <x v="56"/>
    <x v="2"/>
    <x v="0"/>
    <x v="0"/>
    <x v="0"/>
    <x v="3"/>
    <x v="7"/>
    <x v="7"/>
    <x v="2"/>
  </r>
  <r>
    <s v="TX501400"/>
    <x v="0"/>
    <x v="1"/>
    <n v="40.799999999999997"/>
    <x v="330"/>
    <x v="52"/>
    <x v="51"/>
    <x v="1"/>
    <x v="0"/>
    <x v="0"/>
    <x v="0"/>
    <x v="3"/>
    <x v="2"/>
    <x v="7"/>
    <x v="1"/>
  </r>
  <r>
    <s v="TX501401"/>
    <x v="0"/>
    <x v="12"/>
    <n v="23.1"/>
    <x v="1152"/>
    <x v="52"/>
    <x v="55"/>
    <x v="2"/>
    <x v="4"/>
    <x v="0"/>
    <x v="0"/>
    <x v="3"/>
    <x v="3"/>
    <x v="7"/>
    <x v="2"/>
  </r>
  <r>
    <s v="TX501402"/>
    <x v="8"/>
    <x v="9"/>
    <n v="39.299999999999997"/>
    <x v="756"/>
    <x v="52"/>
    <x v="55"/>
    <x v="2"/>
    <x v="0"/>
    <x v="0"/>
    <x v="0"/>
    <x v="3"/>
    <x v="3"/>
    <x v="7"/>
    <x v="2"/>
  </r>
  <r>
    <s v="TX501403"/>
    <x v="2"/>
    <x v="12"/>
    <n v="85.2"/>
    <x v="1153"/>
    <x v="52"/>
    <x v="53"/>
    <x v="1"/>
    <x v="2"/>
    <x v="0"/>
    <x v="0"/>
    <x v="3"/>
    <x v="0"/>
    <x v="7"/>
    <x v="1"/>
  </r>
  <r>
    <s v="TX501404"/>
    <x v="8"/>
    <x v="13"/>
    <n v="16"/>
    <x v="854"/>
    <x v="52"/>
    <x v="51"/>
    <x v="1"/>
    <x v="1"/>
    <x v="0"/>
    <x v="0"/>
    <x v="3"/>
    <x v="2"/>
    <x v="7"/>
    <x v="1"/>
  </r>
  <r>
    <s v="TX501405"/>
    <x v="1"/>
    <x v="1"/>
    <n v="33.799999999999997"/>
    <x v="821"/>
    <x v="52"/>
    <x v="52"/>
    <x v="2"/>
    <x v="1"/>
    <x v="0"/>
    <x v="0"/>
    <x v="3"/>
    <x v="5"/>
    <x v="7"/>
    <x v="2"/>
  </r>
  <r>
    <s v="TX501406"/>
    <x v="3"/>
    <x v="0"/>
    <n v="70"/>
    <x v="1154"/>
    <x v="52"/>
    <x v="55"/>
    <x v="2"/>
    <x v="0"/>
    <x v="0"/>
    <x v="0"/>
    <x v="3"/>
    <x v="3"/>
    <x v="7"/>
    <x v="2"/>
  </r>
  <r>
    <s v="TX501407"/>
    <x v="9"/>
    <x v="0"/>
    <n v="88"/>
    <x v="1155"/>
    <x v="52"/>
    <x v="53"/>
    <x v="2"/>
    <x v="3"/>
    <x v="0"/>
    <x v="0"/>
    <x v="3"/>
    <x v="0"/>
    <x v="7"/>
    <x v="2"/>
  </r>
  <r>
    <s v="TX501408"/>
    <x v="2"/>
    <x v="2"/>
    <n v="74.099999999999994"/>
    <x v="1156"/>
    <x v="52"/>
    <x v="56"/>
    <x v="1"/>
    <x v="4"/>
    <x v="1"/>
    <x v="0"/>
    <x v="3"/>
    <x v="7"/>
    <x v="7"/>
    <x v="1"/>
  </r>
  <r>
    <s v="TX501409"/>
    <x v="2"/>
    <x v="0"/>
    <n v="161.9"/>
    <x v="1157"/>
    <x v="52"/>
    <x v="54"/>
    <x v="1"/>
    <x v="2"/>
    <x v="0"/>
    <x v="0"/>
    <x v="3"/>
    <x v="1"/>
    <x v="7"/>
    <x v="1"/>
  </r>
  <r>
    <s v="TX501410"/>
    <x v="4"/>
    <x v="1"/>
    <n v="44"/>
    <x v="1155"/>
    <x v="52"/>
    <x v="55"/>
    <x v="3"/>
    <x v="4"/>
    <x v="1"/>
    <x v="0"/>
    <x v="3"/>
    <x v="3"/>
    <x v="7"/>
    <x v="3"/>
  </r>
  <r>
    <s v="TX501411"/>
    <x v="11"/>
    <x v="0"/>
    <n v="32.1"/>
    <x v="1158"/>
    <x v="52"/>
    <x v="56"/>
    <x v="2"/>
    <x v="3"/>
    <x v="3"/>
    <x v="0"/>
    <x v="3"/>
    <x v="7"/>
    <x v="7"/>
    <x v="2"/>
  </r>
  <r>
    <s v="TX501412"/>
    <x v="2"/>
    <x v="12"/>
    <n v="104.8"/>
    <x v="1159"/>
    <x v="53"/>
    <x v="51"/>
    <x v="3"/>
    <x v="0"/>
    <x v="0"/>
    <x v="0"/>
    <x v="3"/>
    <x v="1"/>
    <x v="8"/>
    <x v="3"/>
  </r>
  <r>
    <s v="TX501413"/>
    <x v="9"/>
    <x v="13"/>
    <n v="67.400000000000006"/>
    <x v="1160"/>
    <x v="53"/>
    <x v="54"/>
    <x v="2"/>
    <x v="3"/>
    <x v="0"/>
    <x v="0"/>
    <x v="3"/>
    <x v="3"/>
    <x v="8"/>
    <x v="2"/>
  </r>
  <r>
    <s v="TX501414"/>
    <x v="6"/>
    <x v="1"/>
    <n v="115.2"/>
    <x v="1161"/>
    <x v="53"/>
    <x v="54"/>
    <x v="2"/>
    <x v="1"/>
    <x v="0"/>
    <x v="0"/>
    <x v="4"/>
    <x v="3"/>
    <x v="8"/>
    <x v="2"/>
  </r>
  <r>
    <s v="TX501415"/>
    <x v="8"/>
    <x v="19"/>
    <n v="15.5"/>
    <x v="148"/>
    <x v="53"/>
    <x v="51"/>
    <x v="2"/>
    <x v="0"/>
    <x v="1"/>
    <x v="0"/>
    <x v="23"/>
    <x v="1"/>
    <x v="8"/>
    <x v="2"/>
  </r>
  <r>
    <s v="TX501416"/>
    <x v="6"/>
    <x v="5"/>
    <n v="66.400000000000006"/>
    <x v="1162"/>
    <x v="53"/>
    <x v="51"/>
    <x v="2"/>
    <x v="0"/>
    <x v="0"/>
    <x v="0"/>
    <x v="6"/>
    <x v="1"/>
    <x v="8"/>
    <x v="2"/>
  </r>
  <r>
    <s v="TX501417"/>
    <x v="9"/>
    <x v="4"/>
    <n v="68.099999999999994"/>
    <x v="1163"/>
    <x v="53"/>
    <x v="54"/>
    <x v="2"/>
    <x v="2"/>
    <x v="0"/>
    <x v="0"/>
    <x v="8"/>
    <x v="3"/>
    <x v="8"/>
    <x v="2"/>
  </r>
  <r>
    <s v="TX501418"/>
    <x v="8"/>
    <x v="9"/>
    <n v="32.5"/>
    <x v="1164"/>
    <x v="53"/>
    <x v="53"/>
    <x v="1"/>
    <x v="2"/>
    <x v="1"/>
    <x v="0"/>
    <x v="8"/>
    <x v="5"/>
    <x v="8"/>
    <x v="1"/>
  </r>
  <r>
    <s v="TX501419"/>
    <x v="15"/>
    <x v="2"/>
    <n v="61.2"/>
    <x v="1165"/>
    <x v="53"/>
    <x v="51"/>
    <x v="2"/>
    <x v="1"/>
    <x v="1"/>
    <x v="0"/>
    <x v="8"/>
    <x v="1"/>
    <x v="8"/>
    <x v="2"/>
  </r>
  <r>
    <s v="TX501420"/>
    <x v="9"/>
    <x v="1"/>
    <n v="54.2"/>
    <x v="1061"/>
    <x v="53"/>
    <x v="54"/>
    <x v="2"/>
    <x v="1"/>
    <x v="0"/>
    <x v="0"/>
    <x v="8"/>
    <x v="3"/>
    <x v="8"/>
    <x v="2"/>
  </r>
  <r>
    <s v="TX501421"/>
    <x v="11"/>
    <x v="8"/>
    <n v="28.7"/>
    <x v="1166"/>
    <x v="53"/>
    <x v="51"/>
    <x v="1"/>
    <x v="1"/>
    <x v="0"/>
    <x v="0"/>
    <x v="9"/>
    <x v="1"/>
    <x v="8"/>
    <x v="1"/>
  </r>
  <r>
    <s v="TX501422"/>
    <x v="12"/>
    <x v="13"/>
    <n v="38.200000000000003"/>
    <x v="1167"/>
    <x v="53"/>
    <x v="53"/>
    <x v="2"/>
    <x v="0"/>
    <x v="1"/>
    <x v="0"/>
    <x v="9"/>
    <x v="5"/>
    <x v="8"/>
    <x v="2"/>
  </r>
  <r>
    <s v="TX501423"/>
    <x v="8"/>
    <x v="4"/>
    <n v="17.600000000000001"/>
    <x v="1168"/>
    <x v="53"/>
    <x v="54"/>
    <x v="2"/>
    <x v="2"/>
    <x v="1"/>
    <x v="0"/>
    <x v="9"/>
    <x v="3"/>
    <x v="8"/>
    <x v="2"/>
  </r>
  <r>
    <s v="TX501424"/>
    <x v="10"/>
    <x v="2"/>
    <n v="74.599999999999994"/>
    <x v="1169"/>
    <x v="53"/>
    <x v="55"/>
    <x v="2"/>
    <x v="2"/>
    <x v="0"/>
    <x v="0"/>
    <x v="11"/>
    <x v="7"/>
    <x v="8"/>
    <x v="2"/>
  </r>
  <r>
    <s v="TX501425"/>
    <x v="16"/>
    <x v="20"/>
    <n v="72.599999999999994"/>
    <x v="1170"/>
    <x v="53"/>
    <x v="55"/>
    <x v="0"/>
    <x v="1"/>
    <x v="1"/>
    <x v="0"/>
    <x v="11"/>
    <x v="7"/>
    <x v="8"/>
    <x v="0"/>
  </r>
  <r>
    <s v="TX501426"/>
    <x v="7"/>
    <x v="0"/>
    <n v="62.3"/>
    <x v="1030"/>
    <x v="53"/>
    <x v="54"/>
    <x v="2"/>
    <x v="1"/>
    <x v="0"/>
    <x v="0"/>
    <x v="11"/>
    <x v="3"/>
    <x v="8"/>
    <x v="2"/>
  </r>
  <r>
    <s v="TX501427"/>
    <x v="3"/>
    <x v="2"/>
    <n v="33.799999999999997"/>
    <x v="1171"/>
    <x v="53"/>
    <x v="51"/>
    <x v="1"/>
    <x v="0"/>
    <x v="2"/>
    <x v="0"/>
    <x v="20"/>
    <x v="1"/>
    <x v="8"/>
    <x v="1"/>
  </r>
  <r>
    <s v="TX501428"/>
    <x v="9"/>
    <x v="0"/>
    <n v="85.7"/>
    <x v="1172"/>
    <x v="53"/>
    <x v="52"/>
    <x v="1"/>
    <x v="3"/>
    <x v="1"/>
    <x v="0"/>
    <x v="21"/>
    <x v="2"/>
    <x v="8"/>
    <x v="1"/>
  </r>
  <r>
    <s v="TX501429"/>
    <x v="6"/>
    <x v="1"/>
    <n v="92.1"/>
    <x v="1173"/>
    <x v="53"/>
    <x v="51"/>
    <x v="1"/>
    <x v="1"/>
    <x v="0"/>
    <x v="0"/>
    <x v="21"/>
    <x v="1"/>
    <x v="8"/>
    <x v="1"/>
  </r>
  <r>
    <s v="TX501430"/>
    <x v="16"/>
    <x v="2"/>
    <n v="65.099999999999994"/>
    <x v="1174"/>
    <x v="53"/>
    <x v="52"/>
    <x v="1"/>
    <x v="0"/>
    <x v="0"/>
    <x v="0"/>
    <x v="1"/>
    <x v="2"/>
    <x v="8"/>
    <x v="1"/>
  </r>
  <r>
    <s v="TX501431"/>
    <x v="9"/>
    <x v="3"/>
    <n v="20.3"/>
    <x v="1175"/>
    <x v="53"/>
    <x v="54"/>
    <x v="2"/>
    <x v="2"/>
    <x v="2"/>
    <x v="0"/>
    <x v="2"/>
    <x v="3"/>
    <x v="8"/>
    <x v="2"/>
  </r>
  <r>
    <s v="TX501432"/>
    <x v="19"/>
    <x v="1"/>
    <n v="29.8"/>
    <x v="1176"/>
    <x v="53"/>
    <x v="51"/>
    <x v="2"/>
    <x v="1"/>
    <x v="2"/>
    <x v="0"/>
    <x v="34"/>
    <x v="1"/>
    <x v="8"/>
    <x v="2"/>
  </r>
  <r>
    <s v="TX501433"/>
    <x v="0"/>
    <x v="1"/>
    <n v="24.2"/>
    <x v="655"/>
    <x v="53"/>
    <x v="51"/>
    <x v="2"/>
    <x v="3"/>
    <x v="2"/>
    <x v="0"/>
    <x v="3"/>
    <x v="1"/>
    <x v="8"/>
    <x v="2"/>
  </r>
  <r>
    <s v="TX501434"/>
    <x v="3"/>
    <x v="0"/>
    <n v="57.3"/>
    <x v="1177"/>
    <x v="53"/>
    <x v="51"/>
    <x v="1"/>
    <x v="0"/>
    <x v="0"/>
    <x v="0"/>
    <x v="3"/>
    <x v="1"/>
    <x v="8"/>
    <x v="1"/>
  </r>
  <r>
    <s v="TX501435"/>
    <x v="2"/>
    <x v="0"/>
    <n v="108.9"/>
    <x v="1178"/>
    <x v="53"/>
    <x v="51"/>
    <x v="2"/>
    <x v="1"/>
    <x v="0"/>
    <x v="0"/>
    <x v="3"/>
    <x v="1"/>
    <x v="8"/>
    <x v="2"/>
  </r>
  <r>
    <s v="TX501436"/>
    <x v="7"/>
    <x v="9"/>
    <n v="50.7"/>
    <x v="103"/>
    <x v="53"/>
    <x v="54"/>
    <x v="2"/>
    <x v="0"/>
    <x v="0"/>
    <x v="0"/>
    <x v="3"/>
    <x v="3"/>
    <x v="8"/>
    <x v="2"/>
  </r>
  <r>
    <s v="TX501437"/>
    <x v="7"/>
    <x v="11"/>
    <n v="66.099999999999994"/>
    <x v="1179"/>
    <x v="53"/>
    <x v="60"/>
    <x v="2"/>
    <x v="1"/>
    <x v="0"/>
    <x v="0"/>
    <x v="3"/>
    <x v="12"/>
    <x v="8"/>
    <x v="2"/>
  </r>
  <r>
    <s v="TX501438"/>
    <x v="12"/>
    <x v="9"/>
    <n v="36.700000000000003"/>
    <x v="1180"/>
    <x v="53"/>
    <x v="53"/>
    <x v="2"/>
    <x v="4"/>
    <x v="0"/>
    <x v="0"/>
    <x v="3"/>
    <x v="5"/>
    <x v="8"/>
    <x v="2"/>
  </r>
  <r>
    <s v="TX501439"/>
    <x v="8"/>
    <x v="14"/>
    <n v="19.3"/>
    <x v="1181"/>
    <x v="53"/>
    <x v="51"/>
    <x v="1"/>
    <x v="0"/>
    <x v="0"/>
    <x v="0"/>
    <x v="43"/>
    <x v="1"/>
    <x v="8"/>
    <x v="1"/>
  </r>
  <r>
    <s v="TX501440"/>
    <x v="8"/>
    <x v="12"/>
    <n v="20.7"/>
    <x v="1182"/>
    <x v="53"/>
    <x v="54"/>
    <x v="1"/>
    <x v="1"/>
    <x v="2"/>
    <x v="0"/>
    <x v="6"/>
    <x v="3"/>
    <x v="8"/>
    <x v="1"/>
  </r>
  <r>
    <s v="TX501441"/>
    <x v="5"/>
    <x v="2"/>
    <n v="54.7"/>
    <x v="1183"/>
    <x v="53"/>
    <x v="55"/>
    <x v="3"/>
    <x v="1"/>
    <x v="4"/>
    <x v="0"/>
    <x v="6"/>
    <x v="7"/>
    <x v="8"/>
    <x v="3"/>
  </r>
  <r>
    <s v="TX501442"/>
    <x v="4"/>
    <x v="1"/>
    <n v="19.8"/>
    <x v="341"/>
    <x v="53"/>
    <x v="53"/>
    <x v="2"/>
    <x v="4"/>
    <x v="1"/>
    <x v="0"/>
    <x v="8"/>
    <x v="5"/>
    <x v="8"/>
    <x v="2"/>
  </r>
  <r>
    <s v="TX501443"/>
    <x v="7"/>
    <x v="0"/>
    <n v="41.1"/>
    <x v="1184"/>
    <x v="53"/>
    <x v="51"/>
    <x v="2"/>
    <x v="0"/>
    <x v="2"/>
    <x v="0"/>
    <x v="8"/>
    <x v="1"/>
    <x v="8"/>
    <x v="2"/>
  </r>
  <r>
    <s v="TX501444"/>
    <x v="11"/>
    <x v="8"/>
    <n v="43.5"/>
    <x v="1185"/>
    <x v="53"/>
    <x v="53"/>
    <x v="2"/>
    <x v="3"/>
    <x v="0"/>
    <x v="0"/>
    <x v="8"/>
    <x v="5"/>
    <x v="8"/>
    <x v="2"/>
  </r>
  <r>
    <s v="TX501445"/>
    <x v="8"/>
    <x v="21"/>
    <n v="19"/>
    <x v="751"/>
    <x v="53"/>
    <x v="54"/>
    <x v="1"/>
    <x v="0"/>
    <x v="0"/>
    <x v="0"/>
    <x v="26"/>
    <x v="3"/>
    <x v="8"/>
    <x v="1"/>
  </r>
  <r>
    <s v="TX501446"/>
    <x v="2"/>
    <x v="12"/>
    <n v="51.4"/>
    <x v="1186"/>
    <x v="53"/>
    <x v="55"/>
    <x v="2"/>
    <x v="0"/>
    <x v="0"/>
    <x v="0"/>
    <x v="26"/>
    <x v="7"/>
    <x v="8"/>
    <x v="2"/>
  </r>
  <r>
    <s v="TX501447"/>
    <x v="10"/>
    <x v="1"/>
    <n v="39.799999999999997"/>
    <x v="1187"/>
    <x v="53"/>
    <x v="52"/>
    <x v="1"/>
    <x v="3"/>
    <x v="1"/>
    <x v="0"/>
    <x v="13"/>
    <x v="2"/>
    <x v="8"/>
    <x v="1"/>
  </r>
  <r>
    <s v="TX501448"/>
    <x v="6"/>
    <x v="9"/>
    <n v="61"/>
    <x v="1188"/>
    <x v="53"/>
    <x v="54"/>
    <x v="0"/>
    <x v="0"/>
    <x v="2"/>
    <x v="0"/>
    <x v="21"/>
    <x v="3"/>
    <x v="8"/>
    <x v="0"/>
  </r>
  <r>
    <s v="TX501449"/>
    <x v="8"/>
    <x v="5"/>
    <n v="15.1"/>
    <x v="1189"/>
    <x v="54"/>
    <x v="59"/>
    <x v="1"/>
    <x v="3"/>
    <x v="2"/>
    <x v="0"/>
    <x v="2"/>
    <x v="0"/>
    <x v="8"/>
    <x v="1"/>
  </r>
  <r>
    <s v="TX501450"/>
    <x v="1"/>
    <x v="3"/>
    <n v="71.3"/>
    <x v="1190"/>
    <x v="54"/>
    <x v="51"/>
    <x v="1"/>
    <x v="4"/>
    <x v="0"/>
    <x v="0"/>
    <x v="3"/>
    <x v="3"/>
    <x v="8"/>
    <x v="1"/>
  </r>
  <r>
    <s v="TX501451"/>
    <x v="10"/>
    <x v="0"/>
    <n v="25.8"/>
    <x v="1191"/>
    <x v="54"/>
    <x v="52"/>
    <x v="2"/>
    <x v="0"/>
    <x v="2"/>
    <x v="0"/>
    <x v="3"/>
    <x v="1"/>
    <x v="8"/>
    <x v="2"/>
  </r>
  <r>
    <s v="TX501452"/>
    <x v="8"/>
    <x v="9"/>
    <n v="39.6"/>
    <x v="1192"/>
    <x v="54"/>
    <x v="52"/>
    <x v="1"/>
    <x v="1"/>
    <x v="2"/>
    <x v="0"/>
    <x v="3"/>
    <x v="1"/>
    <x v="8"/>
    <x v="1"/>
  </r>
  <r>
    <s v="TX501453"/>
    <x v="5"/>
    <x v="1"/>
    <n v="64"/>
    <x v="1193"/>
    <x v="54"/>
    <x v="54"/>
    <x v="1"/>
    <x v="1"/>
    <x v="1"/>
    <x v="0"/>
    <x v="3"/>
    <x v="7"/>
    <x v="8"/>
    <x v="1"/>
  </r>
  <r>
    <s v="TX501454"/>
    <x v="8"/>
    <x v="1"/>
    <n v="30.6"/>
    <x v="1"/>
    <x v="54"/>
    <x v="53"/>
    <x v="1"/>
    <x v="0"/>
    <x v="2"/>
    <x v="0"/>
    <x v="3"/>
    <x v="2"/>
    <x v="8"/>
    <x v="1"/>
  </r>
  <r>
    <s v="TX501455"/>
    <x v="8"/>
    <x v="1"/>
    <n v="21.3"/>
    <x v="440"/>
    <x v="54"/>
    <x v="51"/>
    <x v="1"/>
    <x v="0"/>
    <x v="1"/>
    <x v="0"/>
    <x v="3"/>
    <x v="3"/>
    <x v="8"/>
    <x v="1"/>
  </r>
  <r>
    <s v="TX501456"/>
    <x v="7"/>
    <x v="0"/>
    <n v="40.799999999999997"/>
    <x v="803"/>
    <x v="54"/>
    <x v="52"/>
    <x v="2"/>
    <x v="4"/>
    <x v="0"/>
    <x v="0"/>
    <x v="3"/>
    <x v="1"/>
    <x v="8"/>
    <x v="2"/>
  </r>
  <r>
    <s v="TX501457"/>
    <x v="9"/>
    <x v="12"/>
    <n v="27.7"/>
    <x v="806"/>
    <x v="54"/>
    <x v="51"/>
    <x v="2"/>
    <x v="0"/>
    <x v="1"/>
    <x v="0"/>
    <x v="3"/>
    <x v="3"/>
    <x v="8"/>
    <x v="2"/>
  </r>
  <r>
    <s v="TX501458"/>
    <x v="6"/>
    <x v="1"/>
    <n v="64.599999999999994"/>
    <x v="769"/>
    <x v="54"/>
    <x v="51"/>
    <x v="1"/>
    <x v="0"/>
    <x v="1"/>
    <x v="0"/>
    <x v="3"/>
    <x v="3"/>
    <x v="8"/>
    <x v="1"/>
  </r>
  <r>
    <s v="TX501459"/>
    <x v="6"/>
    <x v="27"/>
    <n v="91.1"/>
    <x v="1194"/>
    <x v="54"/>
    <x v="51"/>
    <x v="2"/>
    <x v="1"/>
    <x v="2"/>
    <x v="0"/>
    <x v="3"/>
    <x v="3"/>
    <x v="8"/>
    <x v="2"/>
  </r>
  <r>
    <s v="TX501460"/>
    <x v="1"/>
    <x v="0"/>
    <n v="39.5"/>
    <x v="736"/>
    <x v="54"/>
    <x v="61"/>
    <x v="2"/>
    <x v="0"/>
    <x v="0"/>
    <x v="0"/>
    <x v="3"/>
    <x v="9"/>
    <x v="8"/>
    <x v="2"/>
  </r>
  <r>
    <s v="TX501461"/>
    <x v="9"/>
    <x v="1"/>
    <n v="21.8"/>
    <x v="1195"/>
    <x v="54"/>
    <x v="58"/>
    <x v="1"/>
    <x v="4"/>
    <x v="2"/>
    <x v="0"/>
    <x v="3"/>
    <x v="5"/>
    <x v="8"/>
    <x v="1"/>
  </r>
  <r>
    <s v="TX501462"/>
    <x v="8"/>
    <x v="1"/>
    <n v="51"/>
    <x v="1062"/>
    <x v="54"/>
    <x v="53"/>
    <x v="1"/>
    <x v="3"/>
    <x v="2"/>
    <x v="0"/>
    <x v="3"/>
    <x v="2"/>
    <x v="8"/>
    <x v="1"/>
  </r>
  <r>
    <s v="TX501463"/>
    <x v="2"/>
    <x v="0"/>
    <n v="92.6"/>
    <x v="1196"/>
    <x v="54"/>
    <x v="53"/>
    <x v="2"/>
    <x v="0"/>
    <x v="2"/>
    <x v="0"/>
    <x v="35"/>
    <x v="2"/>
    <x v="8"/>
    <x v="2"/>
  </r>
  <r>
    <s v="TX501464"/>
    <x v="9"/>
    <x v="1"/>
    <n v="31.1"/>
    <x v="1197"/>
    <x v="54"/>
    <x v="59"/>
    <x v="0"/>
    <x v="1"/>
    <x v="3"/>
    <x v="0"/>
    <x v="23"/>
    <x v="0"/>
    <x v="8"/>
    <x v="0"/>
  </r>
  <r>
    <s v="TX501465"/>
    <x v="5"/>
    <x v="2"/>
    <n v="56.4"/>
    <x v="362"/>
    <x v="54"/>
    <x v="51"/>
    <x v="0"/>
    <x v="1"/>
    <x v="0"/>
    <x v="0"/>
    <x v="6"/>
    <x v="3"/>
    <x v="8"/>
    <x v="0"/>
  </r>
  <r>
    <s v="TX501466"/>
    <x v="9"/>
    <x v="0"/>
    <n v="41.9"/>
    <x v="1151"/>
    <x v="54"/>
    <x v="54"/>
    <x v="1"/>
    <x v="1"/>
    <x v="0"/>
    <x v="0"/>
    <x v="6"/>
    <x v="7"/>
    <x v="8"/>
    <x v="1"/>
  </r>
  <r>
    <s v="TX501467"/>
    <x v="10"/>
    <x v="3"/>
    <n v="45.9"/>
    <x v="1198"/>
    <x v="54"/>
    <x v="51"/>
    <x v="1"/>
    <x v="3"/>
    <x v="2"/>
    <x v="0"/>
    <x v="8"/>
    <x v="3"/>
    <x v="8"/>
    <x v="1"/>
  </r>
  <r>
    <s v="TX501468"/>
    <x v="14"/>
    <x v="11"/>
    <n v="24.4"/>
    <x v="1199"/>
    <x v="54"/>
    <x v="58"/>
    <x v="1"/>
    <x v="3"/>
    <x v="2"/>
    <x v="0"/>
    <x v="8"/>
    <x v="5"/>
    <x v="8"/>
    <x v="1"/>
  </r>
  <r>
    <s v="TX501469"/>
    <x v="8"/>
    <x v="0"/>
    <n v="18.2"/>
    <x v="1200"/>
    <x v="54"/>
    <x v="51"/>
    <x v="2"/>
    <x v="2"/>
    <x v="2"/>
    <x v="0"/>
    <x v="8"/>
    <x v="3"/>
    <x v="8"/>
    <x v="2"/>
  </r>
  <r>
    <s v="TX501470"/>
    <x v="8"/>
    <x v="12"/>
    <n v="51.2"/>
    <x v="403"/>
    <x v="54"/>
    <x v="51"/>
    <x v="2"/>
    <x v="0"/>
    <x v="0"/>
    <x v="0"/>
    <x v="8"/>
    <x v="3"/>
    <x v="8"/>
    <x v="2"/>
  </r>
  <r>
    <s v="TX501471"/>
    <x v="6"/>
    <x v="0"/>
    <n v="59.7"/>
    <x v="1201"/>
    <x v="54"/>
    <x v="53"/>
    <x v="1"/>
    <x v="0"/>
    <x v="2"/>
    <x v="0"/>
    <x v="8"/>
    <x v="2"/>
    <x v="8"/>
    <x v="1"/>
  </r>
  <r>
    <s v="TX501472"/>
    <x v="4"/>
    <x v="1"/>
    <n v="33.6"/>
    <x v="863"/>
    <x v="54"/>
    <x v="52"/>
    <x v="2"/>
    <x v="0"/>
    <x v="0"/>
    <x v="0"/>
    <x v="17"/>
    <x v="1"/>
    <x v="8"/>
    <x v="2"/>
  </r>
  <r>
    <s v="TX501473"/>
    <x v="12"/>
    <x v="0"/>
    <n v="90.4"/>
    <x v="786"/>
    <x v="54"/>
    <x v="58"/>
    <x v="1"/>
    <x v="1"/>
    <x v="2"/>
    <x v="0"/>
    <x v="10"/>
    <x v="5"/>
    <x v="8"/>
    <x v="1"/>
  </r>
  <r>
    <s v="TX501474"/>
    <x v="11"/>
    <x v="2"/>
    <n v="70.3"/>
    <x v="1202"/>
    <x v="54"/>
    <x v="54"/>
    <x v="1"/>
    <x v="1"/>
    <x v="2"/>
    <x v="0"/>
    <x v="11"/>
    <x v="7"/>
    <x v="8"/>
    <x v="1"/>
  </r>
  <r>
    <s v="TX501475"/>
    <x v="4"/>
    <x v="1"/>
    <n v="20.5"/>
    <x v="783"/>
    <x v="54"/>
    <x v="53"/>
    <x v="2"/>
    <x v="0"/>
    <x v="1"/>
    <x v="0"/>
    <x v="11"/>
    <x v="2"/>
    <x v="8"/>
    <x v="2"/>
  </r>
  <r>
    <s v="TX501476"/>
    <x v="5"/>
    <x v="5"/>
    <n v="37.6"/>
    <x v="1203"/>
    <x v="54"/>
    <x v="51"/>
    <x v="1"/>
    <x v="0"/>
    <x v="0"/>
    <x v="0"/>
    <x v="38"/>
    <x v="3"/>
    <x v="8"/>
    <x v="1"/>
  </r>
  <r>
    <s v="TX501477"/>
    <x v="5"/>
    <x v="12"/>
    <n v="61.5"/>
    <x v="1204"/>
    <x v="54"/>
    <x v="62"/>
    <x v="2"/>
    <x v="1"/>
    <x v="4"/>
    <x v="0"/>
    <x v="13"/>
    <x v="6"/>
    <x v="8"/>
    <x v="2"/>
  </r>
  <r>
    <s v="TX501478"/>
    <x v="9"/>
    <x v="0"/>
    <n v="33.5"/>
    <x v="253"/>
    <x v="55"/>
    <x v="59"/>
    <x v="1"/>
    <x v="4"/>
    <x v="1"/>
    <x v="0"/>
    <x v="21"/>
    <x v="5"/>
    <x v="8"/>
    <x v="1"/>
  </r>
  <r>
    <s v="TX501479"/>
    <x v="4"/>
    <x v="2"/>
    <n v="29.3"/>
    <x v="1205"/>
    <x v="55"/>
    <x v="53"/>
    <x v="2"/>
    <x v="1"/>
    <x v="2"/>
    <x v="0"/>
    <x v="1"/>
    <x v="1"/>
    <x v="8"/>
    <x v="2"/>
  </r>
  <r>
    <s v="TX501480"/>
    <x v="2"/>
    <x v="1"/>
    <n v="125.9"/>
    <x v="1206"/>
    <x v="55"/>
    <x v="57"/>
    <x v="2"/>
    <x v="4"/>
    <x v="1"/>
    <x v="0"/>
    <x v="1"/>
    <x v="0"/>
    <x v="8"/>
    <x v="2"/>
  </r>
  <r>
    <s v="TX501481"/>
    <x v="5"/>
    <x v="9"/>
    <n v="29.3"/>
    <x v="1207"/>
    <x v="55"/>
    <x v="51"/>
    <x v="1"/>
    <x v="2"/>
    <x v="0"/>
    <x v="0"/>
    <x v="44"/>
    <x v="7"/>
    <x v="8"/>
    <x v="1"/>
  </r>
  <r>
    <s v="TX501482"/>
    <x v="9"/>
    <x v="0"/>
    <n v="37.799999999999997"/>
    <x v="463"/>
    <x v="55"/>
    <x v="58"/>
    <x v="2"/>
    <x v="0"/>
    <x v="2"/>
    <x v="0"/>
    <x v="3"/>
    <x v="2"/>
    <x v="8"/>
    <x v="2"/>
  </r>
  <r>
    <s v="TX501483"/>
    <x v="0"/>
    <x v="12"/>
    <n v="31.7"/>
    <x v="1208"/>
    <x v="55"/>
    <x v="52"/>
    <x v="1"/>
    <x v="2"/>
    <x v="2"/>
    <x v="0"/>
    <x v="3"/>
    <x v="3"/>
    <x v="8"/>
    <x v="1"/>
  </r>
  <r>
    <s v="TX501484"/>
    <x v="8"/>
    <x v="9"/>
    <n v="26.3"/>
    <x v="1209"/>
    <x v="55"/>
    <x v="52"/>
    <x v="2"/>
    <x v="3"/>
    <x v="2"/>
    <x v="0"/>
    <x v="3"/>
    <x v="3"/>
    <x v="8"/>
    <x v="2"/>
  </r>
  <r>
    <s v="TX501485"/>
    <x v="8"/>
    <x v="2"/>
    <n v="23.1"/>
    <x v="59"/>
    <x v="55"/>
    <x v="52"/>
    <x v="3"/>
    <x v="2"/>
    <x v="1"/>
    <x v="0"/>
    <x v="3"/>
    <x v="3"/>
    <x v="8"/>
    <x v="3"/>
  </r>
  <r>
    <s v="TX501486"/>
    <x v="4"/>
    <x v="0"/>
    <n v="22.3"/>
    <x v="968"/>
    <x v="55"/>
    <x v="53"/>
    <x v="2"/>
    <x v="2"/>
    <x v="0"/>
    <x v="0"/>
    <x v="3"/>
    <x v="1"/>
    <x v="8"/>
    <x v="2"/>
  </r>
  <r>
    <s v="TX501487"/>
    <x v="12"/>
    <x v="1"/>
    <n v="99.5"/>
    <x v="1210"/>
    <x v="55"/>
    <x v="53"/>
    <x v="2"/>
    <x v="2"/>
    <x v="0"/>
    <x v="0"/>
    <x v="3"/>
    <x v="1"/>
    <x v="8"/>
    <x v="2"/>
  </r>
  <r>
    <s v="TX501488"/>
    <x v="12"/>
    <x v="12"/>
    <n v="47.4"/>
    <x v="455"/>
    <x v="55"/>
    <x v="58"/>
    <x v="2"/>
    <x v="1"/>
    <x v="0"/>
    <x v="0"/>
    <x v="3"/>
    <x v="2"/>
    <x v="8"/>
    <x v="2"/>
  </r>
  <r>
    <s v="TX501489"/>
    <x v="0"/>
    <x v="5"/>
    <n v="37.5"/>
    <x v="1211"/>
    <x v="55"/>
    <x v="53"/>
    <x v="2"/>
    <x v="0"/>
    <x v="3"/>
    <x v="0"/>
    <x v="3"/>
    <x v="1"/>
    <x v="8"/>
    <x v="2"/>
  </r>
  <r>
    <s v="TX501490"/>
    <x v="10"/>
    <x v="0"/>
    <n v="45.1"/>
    <x v="1212"/>
    <x v="55"/>
    <x v="57"/>
    <x v="1"/>
    <x v="3"/>
    <x v="2"/>
    <x v="0"/>
    <x v="24"/>
    <x v="0"/>
    <x v="8"/>
    <x v="1"/>
  </r>
  <r>
    <s v="TX501491"/>
    <x v="5"/>
    <x v="7"/>
    <n v="34.4"/>
    <x v="1213"/>
    <x v="55"/>
    <x v="58"/>
    <x v="1"/>
    <x v="2"/>
    <x v="0"/>
    <x v="0"/>
    <x v="16"/>
    <x v="2"/>
    <x v="8"/>
    <x v="1"/>
  </r>
  <r>
    <s v="TX501492"/>
    <x v="4"/>
    <x v="1"/>
    <n v="38"/>
    <x v="998"/>
    <x v="55"/>
    <x v="53"/>
    <x v="2"/>
    <x v="1"/>
    <x v="0"/>
    <x v="0"/>
    <x v="5"/>
    <x v="1"/>
    <x v="8"/>
    <x v="2"/>
  </r>
  <r>
    <s v="TX501493"/>
    <x v="3"/>
    <x v="21"/>
    <n v="32.4"/>
    <x v="1214"/>
    <x v="55"/>
    <x v="58"/>
    <x v="1"/>
    <x v="4"/>
    <x v="0"/>
    <x v="0"/>
    <x v="6"/>
    <x v="2"/>
    <x v="8"/>
    <x v="1"/>
  </r>
  <r>
    <s v="TX501494"/>
    <x v="6"/>
    <x v="2"/>
    <n v="40.9"/>
    <x v="544"/>
    <x v="55"/>
    <x v="51"/>
    <x v="0"/>
    <x v="1"/>
    <x v="0"/>
    <x v="0"/>
    <x v="8"/>
    <x v="7"/>
    <x v="8"/>
    <x v="0"/>
  </r>
  <r>
    <s v="TX501495"/>
    <x v="7"/>
    <x v="3"/>
    <n v="76.2"/>
    <x v="1215"/>
    <x v="55"/>
    <x v="53"/>
    <x v="2"/>
    <x v="2"/>
    <x v="1"/>
    <x v="0"/>
    <x v="8"/>
    <x v="1"/>
    <x v="8"/>
    <x v="2"/>
  </r>
  <r>
    <s v="TX501496"/>
    <x v="2"/>
    <x v="0"/>
    <n v="85.6"/>
    <x v="1216"/>
    <x v="55"/>
    <x v="53"/>
    <x v="1"/>
    <x v="2"/>
    <x v="0"/>
    <x v="0"/>
    <x v="8"/>
    <x v="1"/>
    <x v="8"/>
    <x v="1"/>
  </r>
  <r>
    <s v="TX501497"/>
    <x v="4"/>
    <x v="12"/>
    <n v="25"/>
    <x v="1217"/>
    <x v="55"/>
    <x v="53"/>
    <x v="2"/>
    <x v="2"/>
    <x v="2"/>
    <x v="0"/>
    <x v="8"/>
    <x v="1"/>
    <x v="8"/>
    <x v="2"/>
  </r>
  <r>
    <s v="TX501498"/>
    <x v="2"/>
    <x v="9"/>
    <n v="150.69999999999999"/>
    <x v="1218"/>
    <x v="55"/>
    <x v="52"/>
    <x v="0"/>
    <x v="0"/>
    <x v="2"/>
    <x v="0"/>
    <x v="8"/>
    <x v="3"/>
    <x v="8"/>
    <x v="0"/>
  </r>
  <r>
    <s v="TX501499"/>
    <x v="8"/>
    <x v="0"/>
    <n v="19.600000000000001"/>
    <x v="1219"/>
    <x v="55"/>
    <x v="52"/>
    <x v="1"/>
    <x v="1"/>
    <x v="4"/>
    <x v="0"/>
    <x v="8"/>
    <x v="3"/>
    <x v="8"/>
    <x v="1"/>
  </r>
  <r>
    <s v="TX501500"/>
    <x v="13"/>
    <x v="1"/>
    <n v="37.5"/>
    <x v="611"/>
    <x v="55"/>
    <x v="58"/>
    <x v="2"/>
    <x v="1"/>
    <x v="2"/>
    <x v="0"/>
    <x v="17"/>
    <x v="2"/>
    <x v="8"/>
    <x v="2"/>
  </r>
  <r>
    <s v="TX501501"/>
    <x v="9"/>
    <x v="2"/>
    <n v="51.9"/>
    <x v="515"/>
    <x v="55"/>
    <x v="62"/>
    <x v="2"/>
    <x v="0"/>
    <x v="4"/>
    <x v="0"/>
    <x v="11"/>
    <x v="4"/>
    <x v="8"/>
    <x v="2"/>
  </r>
  <r>
    <s v="TX501502"/>
    <x v="1"/>
    <x v="1"/>
    <n v="30.9"/>
    <x v="546"/>
    <x v="55"/>
    <x v="53"/>
    <x v="2"/>
    <x v="1"/>
    <x v="0"/>
    <x v="0"/>
    <x v="18"/>
    <x v="1"/>
    <x v="8"/>
    <x v="2"/>
  </r>
  <r>
    <s v="TX501503"/>
    <x v="4"/>
    <x v="2"/>
    <n v="21.2"/>
    <x v="1220"/>
    <x v="55"/>
    <x v="58"/>
    <x v="2"/>
    <x v="1"/>
    <x v="0"/>
    <x v="0"/>
    <x v="19"/>
    <x v="2"/>
    <x v="8"/>
    <x v="2"/>
  </r>
  <r>
    <s v="TX501504"/>
    <x v="13"/>
    <x v="14"/>
    <n v="17.5"/>
    <x v="1221"/>
    <x v="55"/>
    <x v="52"/>
    <x v="1"/>
    <x v="1"/>
    <x v="1"/>
    <x v="0"/>
    <x v="13"/>
    <x v="3"/>
    <x v="8"/>
    <x v="1"/>
  </r>
  <r>
    <s v="TX501505"/>
    <x v="12"/>
    <x v="1"/>
    <n v="53.8"/>
    <x v="799"/>
    <x v="55"/>
    <x v="57"/>
    <x v="2"/>
    <x v="0"/>
    <x v="2"/>
    <x v="0"/>
    <x v="21"/>
    <x v="0"/>
    <x v="8"/>
    <x v="2"/>
  </r>
  <r>
    <s v="TX501506"/>
    <x v="19"/>
    <x v="1"/>
    <n v="17"/>
    <x v="1222"/>
    <x v="55"/>
    <x v="52"/>
    <x v="1"/>
    <x v="3"/>
    <x v="0"/>
    <x v="0"/>
    <x v="21"/>
    <x v="3"/>
    <x v="8"/>
    <x v="1"/>
  </r>
  <r>
    <s v="TX501507"/>
    <x v="6"/>
    <x v="0"/>
    <n v="103.2"/>
    <x v="1223"/>
    <x v="55"/>
    <x v="63"/>
    <x v="1"/>
    <x v="2"/>
    <x v="1"/>
    <x v="0"/>
    <x v="1"/>
    <x v="9"/>
    <x v="8"/>
    <x v="1"/>
  </r>
  <r>
    <s v="TX501508"/>
    <x v="6"/>
    <x v="12"/>
    <n v="70.3"/>
    <x v="552"/>
    <x v="55"/>
    <x v="52"/>
    <x v="1"/>
    <x v="0"/>
    <x v="0"/>
    <x v="0"/>
    <x v="3"/>
    <x v="3"/>
    <x v="8"/>
    <x v="1"/>
  </r>
  <r>
    <s v="TX501509"/>
    <x v="2"/>
    <x v="1"/>
    <n v="73.8"/>
    <x v="1224"/>
    <x v="55"/>
    <x v="51"/>
    <x v="1"/>
    <x v="3"/>
    <x v="2"/>
    <x v="0"/>
    <x v="3"/>
    <x v="7"/>
    <x v="8"/>
    <x v="1"/>
  </r>
  <r>
    <s v="TX501510"/>
    <x v="1"/>
    <x v="4"/>
    <n v="67.7"/>
    <x v="1225"/>
    <x v="55"/>
    <x v="59"/>
    <x v="1"/>
    <x v="1"/>
    <x v="1"/>
    <x v="0"/>
    <x v="3"/>
    <x v="5"/>
    <x v="8"/>
    <x v="1"/>
  </r>
  <r>
    <s v="TX501511"/>
    <x v="13"/>
    <x v="3"/>
    <n v="43.8"/>
    <x v="1226"/>
    <x v="55"/>
    <x v="53"/>
    <x v="1"/>
    <x v="1"/>
    <x v="0"/>
    <x v="0"/>
    <x v="3"/>
    <x v="1"/>
    <x v="8"/>
    <x v="1"/>
  </r>
  <r>
    <s v="TX501512"/>
    <x v="17"/>
    <x v="13"/>
    <n v="71.900000000000006"/>
    <x v="1227"/>
    <x v="55"/>
    <x v="52"/>
    <x v="2"/>
    <x v="2"/>
    <x v="0"/>
    <x v="0"/>
    <x v="3"/>
    <x v="3"/>
    <x v="8"/>
    <x v="2"/>
  </r>
  <r>
    <s v="TX501513"/>
    <x v="8"/>
    <x v="1"/>
    <n v="26.3"/>
    <x v="1228"/>
    <x v="56"/>
    <x v="58"/>
    <x v="2"/>
    <x v="0"/>
    <x v="1"/>
    <x v="0"/>
    <x v="3"/>
    <x v="1"/>
    <x v="8"/>
    <x v="2"/>
  </r>
  <r>
    <s v="TX501514"/>
    <x v="6"/>
    <x v="12"/>
    <n v="52.6"/>
    <x v="138"/>
    <x v="56"/>
    <x v="58"/>
    <x v="2"/>
    <x v="2"/>
    <x v="1"/>
    <x v="0"/>
    <x v="3"/>
    <x v="1"/>
    <x v="8"/>
    <x v="2"/>
  </r>
  <r>
    <s v="TX501515"/>
    <x v="10"/>
    <x v="0"/>
    <n v="32.700000000000003"/>
    <x v="1229"/>
    <x v="56"/>
    <x v="63"/>
    <x v="2"/>
    <x v="0"/>
    <x v="2"/>
    <x v="0"/>
    <x v="3"/>
    <x v="6"/>
    <x v="8"/>
    <x v="2"/>
  </r>
  <r>
    <s v="TX501516"/>
    <x v="5"/>
    <x v="12"/>
    <n v="38.9"/>
    <x v="1230"/>
    <x v="56"/>
    <x v="53"/>
    <x v="2"/>
    <x v="0"/>
    <x v="0"/>
    <x v="0"/>
    <x v="3"/>
    <x v="3"/>
    <x v="8"/>
    <x v="2"/>
  </r>
  <r>
    <s v="TX501517"/>
    <x v="9"/>
    <x v="9"/>
    <n v="35"/>
    <x v="25"/>
    <x v="56"/>
    <x v="58"/>
    <x v="1"/>
    <x v="0"/>
    <x v="0"/>
    <x v="0"/>
    <x v="3"/>
    <x v="1"/>
    <x v="8"/>
    <x v="1"/>
  </r>
  <r>
    <s v="TX501518"/>
    <x v="2"/>
    <x v="1"/>
    <n v="121"/>
    <x v="1231"/>
    <x v="56"/>
    <x v="53"/>
    <x v="2"/>
    <x v="1"/>
    <x v="1"/>
    <x v="0"/>
    <x v="3"/>
    <x v="3"/>
    <x v="8"/>
    <x v="2"/>
  </r>
  <r>
    <s v="TX501519"/>
    <x v="6"/>
    <x v="2"/>
    <n v="65.099999999999994"/>
    <x v="1174"/>
    <x v="56"/>
    <x v="57"/>
    <x v="1"/>
    <x v="2"/>
    <x v="0"/>
    <x v="0"/>
    <x v="36"/>
    <x v="5"/>
    <x v="8"/>
    <x v="1"/>
  </r>
  <r>
    <s v="TX501520"/>
    <x v="1"/>
    <x v="38"/>
    <n v="63.8"/>
    <x v="1232"/>
    <x v="56"/>
    <x v="58"/>
    <x v="2"/>
    <x v="0"/>
    <x v="0"/>
    <x v="0"/>
    <x v="8"/>
    <x v="1"/>
    <x v="8"/>
    <x v="2"/>
  </r>
  <r>
    <s v="TX501521"/>
    <x v="7"/>
    <x v="0"/>
    <n v="77.7"/>
    <x v="1233"/>
    <x v="56"/>
    <x v="58"/>
    <x v="1"/>
    <x v="0"/>
    <x v="0"/>
    <x v="0"/>
    <x v="8"/>
    <x v="1"/>
    <x v="8"/>
    <x v="1"/>
  </r>
  <r>
    <s v="TX501522"/>
    <x v="5"/>
    <x v="12"/>
    <n v="60.3"/>
    <x v="1234"/>
    <x v="56"/>
    <x v="52"/>
    <x v="1"/>
    <x v="0"/>
    <x v="2"/>
    <x v="0"/>
    <x v="8"/>
    <x v="7"/>
    <x v="8"/>
    <x v="1"/>
  </r>
  <r>
    <s v="TX501523"/>
    <x v="5"/>
    <x v="1"/>
    <n v="124.1"/>
    <x v="1235"/>
    <x v="56"/>
    <x v="59"/>
    <x v="2"/>
    <x v="0"/>
    <x v="2"/>
    <x v="0"/>
    <x v="8"/>
    <x v="2"/>
    <x v="8"/>
    <x v="2"/>
  </r>
  <r>
    <s v="TX501524"/>
    <x v="16"/>
    <x v="3"/>
    <n v="66"/>
    <x v="1236"/>
    <x v="56"/>
    <x v="52"/>
    <x v="0"/>
    <x v="3"/>
    <x v="0"/>
    <x v="0"/>
    <x v="17"/>
    <x v="7"/>
    <x v="8"/>
    <x v="0"/>
  </r>
  <r>
    <s v="TX501525"/>
    <x v="2"/>
    <x v="42"/>
    <n v="118.2"/>
    <x v="1237"/>
    <x v="56"/>
    <x v="62"/>
    <x v="0"/>
    <x v="0"/>
    <x v="0"/>
    <x v="0"/>
    <x v="17"/>
    <x v="0"/>
    <x v="8"/>
    <x v="0"/>
  </r>
  <r>
    <s v="TX501526"/>
    <x v="5"/>
    <x v="9"/>
    <n v="64.3"/>
    <x v="1238"/>
    <x v="56"/>
    <x v="53"/>
    <x v="1"/>
    <x v="4"/>
    <x v="4"/>
    <x v="0"/>
    <x v="26"/>
    <x v="3"/>
    <x v="8"/>
    <x v="1"/>
  </r>
  <r>
    <s v="TX501527"/>
    <x v="1"/>
    <x v="1"/>
    <n v="54.8"/>
    <x v="1239"/>
    <x v="56"/>
    <x v="52"/>
    <x v="1"/>
    <x v="0"/>
    <x v="1"/>
    <x v="0"/>
    <x v="26"/>
    <x v="7"/>
    <x v="8"/>
    <x v="1"/>
  </r>
  <r>
    <s v="TX501528"/>
    <x v="7"/>
    <x v="1"/>
    <n v="78.599999999999994"/>
    <x v="507"/>
    <x v="56"/>
    <x v="53"/>
    <x v="1"/>
    <x v="0"/>
    <x v="2"/>
    <x v="0"/>
    <x v="9"/>
    <x v="3"/>
    <x v="8"/>
    <x v="1"/>
  </r>
  <r>
    <s v="TX501529"/>
    <x v="2"/>
    <x v="9"/>
    <n v="158.5"/>
    <x v="1240"/>
    <x v="56"/>
    <x v="58"/>
    <x v="0"/>
    <x v="2"/>
    <x v="2"/>
    <x v="0"/>
    <x v="9"/>
    <x v="1"/>
    <x v="8"/>
    <x v="0"/>
  </r>
  <r>
    <s v="TX501530"/>
    <x v="4"/>
    <x v="7"/>
    <n v="23.5"/>
    <x v="666"/>
    <x v="56"/>
    <x v="59"/>
    <x v="1"/>
    <x v="0"/>
    <x v="4"/>
    <x v="0"/>
    <x v="10"/>
    <x v="2"/>
    <x v="8"/>
    <x v="1"/>
  </r>
  <r>
    <s v="TX501531"/>
    <x v="5"/>
    <x v="1"/>
    <n v="32.1"/>
    <x v="1005"/>
    <x v="56"/>
    <x v="58"/>
    <x v="0"/>
    <x v="3"/>
    <x v="0"/>
    <x v="0"/>
    <x v="10"/>
    <x v="1"/>
    <x v="8"/>
    <x v="0"/>
  </r>
  <r>
    <s v="TX501532"/>
    <x v="17"/>
    <x v="12"/>
    <n v="71.900000000000006"/>
    <x v="1241"/>
    <x v="56"/>
    <x v="52"/>
    <x v="1"/>
    <x v="2"/>
    <x v="0"/>
    <x v="0"/>
    <x v="19"/>
    <x v="7"/>
    <x v="8"/>
    <x v="1"/>
  </r>
  <r>
    <s v="TX501533"/>
    <x v="4"/>
    <x v="13"/>
    <n v="22.3"/>
    <x v="981"/>
    <x v="56"/>
    <x v="53"/>
    <x v="0"/>
    <x v="3"/>
    <x v="2"/>
    <x v="0"/>
    <x v="13"/>
    <x v="3"/>
    <x v="8"/>
    <x v="0"/>
  </r>
  <r>
    <s v="TX501534"/>
    <x v="11"/>
    <x v="1"/>
    <n v="29.5"/>
    <x v="1242"/>
    <x v="56"/>
    <x v="53"/>
    <x v="2"/>
    <x v="0"/>
    <x v="2"/>
    <x v="0"/>
    <x v="13"/>
    <x v="3"/>
    <x v="8"/>
    <x v="2"/>
  </r>
  <r>
    <s v="TX501535"/>
    <x v="6"/>
    <x v="12"/>
    <n v="41.9"/>
    <x v="1243"/>
    <x v="56"/>
    <x v="57"/>
    <x v="2"/>
    <x v="0"/>
    <x v="1"/>
    <x v="0"/>
    <x v="21"/>
    <x v="5"/>
    <x v="8"/>
    <x v="2"/>
  </r>
  <r>
    <s v="TX501536"/>
    <x v="6"/>
    <x v="2"/>
    <n v="107.8"/>
    <x v="1244"/>
    <x v="56"/>
    <x v="53"/>
    <x v="1"/>
    <x v="1"/>
    <x v="2"/>
    <x v="0"/>
    <x v="46"/>
    <x v="3"/>
    <x v="8"/>
    <x v="1"/>
  </r>
  <r>
    <s v="TX501537"/>
    <x v="4"/>
    <x v="9"/>
    <n v="18.100000000000001"/>
    <x v="497"/>
    <x v="56"/>
    <x v="59"/>
    <x v="1"/>
    <x v="0"/>
    <x v="2"/>
    <x v="0"/>
    <x v="2"/>
    <x v="2"/>
    <x v="8"/>
    <x v="1"/>
  </r>
  <r>
    <s v="TX501538"/>
    <x v="12"/>
    <x v="11"/>
    <n v="79.8"/>
    <x v="1245"/>
    <x v="56"/>
    <x v="53"/>
    <x v="2"/>
    <x v="1"/>
    <x v="1"/>
    <x v="0"/>
    <x v="22"/>
    <x v="3"/>
    <x v="8"/>
    <x v="2"/>
  </r>
  <r>
    <s v="TX501539"/>
    <x v="0"/>
    <x v="2"/>
    <n v="22.3"/>
    <x v="884"/>
    <x v="56"/>
    <x v="59"/>
    <x v="2"/>
    <x v="0"/>
    <x v="2"/>
    <x v="0"/>
    <x v="22"/>
    <x v="2"/>
    <x v="8"/>
    <x v="2"/>
  </r>
  <r>
    <s v="TX501540"/>
    <x v="8"/>
    <x v="0"/>
    <n v="22.9"/>
    <x v="1246"/>
    <x v="56"/>
    <x v="52"/>
    <x v="2"/>
    <x v="1"/>
    <x v="0"/>
    <x v="0"/>
    <x v="22"/>
    <x v="7"/>
    <x v="8"/>
    <x v="2"/>
  </r>
  <r>
    <s v="TX501541"/>
    <x v="0"/>
    <x v="2"/>
    <n v="16.2"/>
    <x v="1247"/>
    <x v="57"/>
    <x v="53"/>
    <x v="1"/>
    <x v="4"/>
    <x v="2"/>
    <x v="0"/>
    <x v="3"/>
    <x v="7"/>
    <x v="8"/>
    <x v="1"/>
  </r>
  <r>
    <s v="TX501542"/>
    <x v="10"/>
    <x v="12"/>
    <n v="59.5"/>
    <x v="1248"/>
    <x v="57"/>
    <x v="58"/>
    <x v="1"/>
    <x v="1"/>
    <x v="2"/>
    <x v="0"/>
    <x v="3"/>
    <x v="3"/>
    <x v="8"/>
    <x v="1"/>
  </r>
  <r>
    <s v="TX501543"/>
    <x v="18"/>
    <x v="9"/>
    <n v="26.2"/>
    <x v="1249"/>
    <x v="57"/>
    <x v="57"/>
    <x v="1"/>
    <x v="3"/>
    <x v="4"/>
    <x v="0"/>
    <x v="3"/>
    <x v="2"/>
    <x v="8"/>
    <x v="1"/>
  </r>
  <r>
    <s v="TX501544"/>
    <x v="3"/>
    <x v="0"/>
    <n v="44.2"/>
    <x v="573"/>
    <x v="57"/>
    <x v="57"/>
    <x v="2"/>
    <x v="1"/>
    <x v="0"/>
    <x v="0"/>
    <x v="3"/>
    <x v="2"/>
    <x v="8"/>
    <x v="2"/>
  </r>
  <r>
    <s v="TX501545"/>
    <x v="9"/>
    <x v="1"/>
    <n v="59.2"/>
    <x v="1250"/>
    <x v="57"/>
    <x v="53"/>
    <x v="2"/>
    <x v="1"/>
    <x v="4"/>
    <x v="0"/>
    <x v="3"/>
    <x v="7"/>
    <x v="8"/>
    <x v="2"/>
  </r>
  <r>
    <s v="TX501546"/>
    <x v="15"/>
    <x v="12"/>
    <n v="41.5"/>
    <x v="1251"/>
    <x v="57"/>
    <x v="59"/>
    <x v="2"/>
    <x v="0"/>
    <x v="0"/>
    <x v="0"/>
    <x v="16"/>
    <x v="1"/>
    <x v="8"/>
    <x v="2"/>
  </r>
  <r>
    <s v="TX501547"/>
    <x v="6"/>
    <x v="4"/>
    <n v="67.099999999999994"/>
    <x v="1252"/>
    <x v="57"/>
    <x v="64"/>
    <x v="2"/>
    <x v="0"/>
    <x v="2"/>
    <x v="0"/>
    <x v="23"/>
    <x v="12"/>
    <x v="8"/>
    <x v="2"/>
  </r>
  <r>
    <s v="TX501548"/>
    <x v="8"/>
    <x v="1"/>
    <n v="28.7"/>
    <x v="1253"/>
    <x v="57"/>
    <x v="62"/>
    <x v="2"/>
    <x v="1"/>
    <x v="0"/>
    <x v="0"/>
    <x v="6"/>
    <x v="5"/>
    <x v="8"/>
    <x v="2"/>
  </r>
  <r>
    <s v="TX501549"/>
    <x v="2"/>
    <x v="12"/>
    <n v="132.1"/>
    <x v="1254"/>
    <x v="57"/>
    <x v="58"/>
    <x v="2"/>
    <x v="0"/>
    <x v="1"/>
    <x v="0"/>
    <x v="6"/>
    <x v="3"/>
    <x v="8"/>
    <x v="2"/>
  </r>
  <r>
    <s v="TX501550"/>
    <x v="18"/>
    <x v="1"/>
    <n v="47"/>
    <x v="255"/>
    <x v="57"/>
    <x v="59"/>
    <x v="1"/>
    <x v="4"/>
    <x v="0"/>
    <x v="0"/>
    <x v="8"/>
    <x v="1"/>
    <x v="8"/>
    <x v="1"/>
  </r>
  <r>
    <s v="TX501551"/>
    <x v="8"/>
    <x v="1"/>
    <n v="41.6"/>
    <x v="707"/>
    <x v="57"/>
    <x v="62"/>
    <x v="1"/>
    <x v="1"/>
    <x v="2"/>
    <x v="0"/>
    <x v="8"/>
    <x v="5"/>
    <x v="8"/>
    <x v="1"/>
  </r>
  <r>
    <s v="TX501552"/>
    <x v="8"/>
    <x v="43"/>
    <n v="17.3"/>
    <x v="1255"/>
    <x v="57"/>
    <x v="59"/>
    <x v="1"/>
    <x v="2"/>
    <x v="2"/>
    <x v="0"/>
    <x v="8"/>
    <x v="1"/>
    <x v="8"/>
    <x v="1"/>
  </r>
  <r>
    <s v="TX501553"/>
    <x v="13"/>
    <x v="2"/>
    <n v="41.8"/>
    <x v="352"/>
    <x v="57"/>
    <x v="57"/>
    <x v="1"/>
    <x v="0"/>
    <x v="2"/>
    <x v="0"/>
    <x v="8"/>
    <x v="2"/>
    <x v="8"/>
    <x v="1"/>
  </r>
  <r>
    <s v="TX501554"/>
    <x v="10"/>
    <x v="0"/>
    <n v="24"/>
    <x v="835"/>
    <x v="57"/>
    <x v="58"/>
    <x v="2"/>
    <x v="0"/>
    <x v="0"/>
    <x v="0"/>
    <x v="17"/>
    <x v="3"/>
    <x v="8"/>
    <x v="2"/>
  </r>
  <r>
    <s v="TX501555"/>
    <x v="14"/>
    <x v="11"/>
    <n v="18.5"/>
    <x v="1256"/>
    <x v="57"/>
    <x v="59"/>
    <x v="2"/>
    <x v="0"/>
    <x v="0"/>
    <x v="0"/>
    <x v="9"/>
    <x v="1"/>
    <x v="8"/>
    <x v="2"/>
  </r>
  <r>
    <s v="TX501556"/>
    <x v="3"/>
    <x v="4"/>
    <n v="66.7"/>
    <x v="1257"/>
    <x v="57"/>
    <x v="57"/>
    <x v="0"/>
    <x v="0"/>
    <x v="2"/>
    <x v="0"/>
    <x v="11"/>
    <x v="2"/>
    <x v="8"/>
    <x v="0"/>
  </r>
  <r>
    <s v="TX501557"/>
    <x v="1"/>
    <x v="12"/>
    <n v="33.1"/>
    <x v="979"/>
    <x v="57"/>
    <x v="61"/>
    <x v="1"/>
    <x v="3"/>
    <x v="0"/>
    <x v="0"/>
    <x v="11"/>
    <x v="0"/>
    <x v="8"/>
    <x v="1"/>
  </r>
  <r>
    <s v="TX501558"/>
    <x v="19"/>
    <x v="11"/>
    <n v="42.1"/>
    <x v="1258"/>
    <x v="57"/>
    <x v="65"/>
    <x v="1"/>
    <x v="1"/>
    <x v="0"/>
    <x v="0"/>
    <x v="18"/>
    <x v="11"/>
    <x v="8"/>
    <x v="1"/>
  </r>
  <r>
    <s v="TX501559"/>
    <x v="18"/>
    <x v="3"/>
    <n v="58.7"/>
    <x v="1259"/>
    <x v="57"/>
    <x v="53"/>
    <x v="3"/>
    <x v="3"/>
    <x v="0"/>
    <x v="0"/>
    <x v="31"/>
    <x v="7"/>
    <x v="8"/>
    <x v="3"/>
  </r>
  <r>
    <s v="TX501560"/>
    <x v="6"/>
    <x v="12"/>
    <n v="54"/>
    <x v="760"/>
    <x v="57"/>
    <x v="59"/>
    <x v="2"/>
    <x v="1"/>
    <x v="0"/>
    <x v="0"/>
    <x v="1"/>
    <x v="1"/>
    <x v="8"/>
    <x v="2"/>
  </r>
  <r>
    <s v="TX501561"/>
    <x v="8"/>
    <x v="0"/>
    <n v="52.1"/>
    <x v="475"/>
    <x v="57"/>
    <x v="58"/>
    <x v="2"/>
    <x v="2"/>
    <x v="2"/>
    <x v="0"/>
    <x v="2"/>
    <x v="3"/>
    <x v="8"/>
    <x v="2"/>
  </r>
  <r>
    <s v="TX501562"/>
    <x v="19"/>
    <x v="1"/>
    <n v="27"/>
    <x v="1260"/>
    <x v="57"/>
    <x v="57"/>
    <x v="3"/>
    <x v="2"/>
    <x v="0"/>
    <x v="0"/>
    <x v="22"/>
    <x v="2"/>
    <x v="8"/>
    <x v="3"/>
  </r>
  <r>
    <s v="TX501563"/>
    <x v="12"/>
    <x v="7"/>
    <n v="31"/>
    <x v="892"/>
    <x v="58"/>
    <x v="59"/>
    <x v="2"/>
    <x v="3"/>
    <x v="2"/>
    <x v="0"/>
    <x v="22"/>
    <x v="3"/>
    <x v="8"/>
    <x v="2"/>
  </r>
  <r>
    <s v="TX501564"/>
    <x v="10"/>
    <x v="1"/>
    <n v="46.7"/>
    <x v="1261"/>
    <x v="58"/>
    <x v="58"/>
    <x v="2"/>
    <x v="0"/>
    <x v="0"/>
    <x v="0"/>
    <x v="34"/>
    <x v="7"/>
    <x v="8"/>
    <x v="2"/>
  </r>
  <r>
    <s v="TX501565"/>
    <x v="6"/>
    <x v="0"/>
    <n v="144.69999999999999"/>
    <x v="1262"/>
    <x v="58"/>
    <x v="62"/>
    <x v="1"/>
    <x v="0"/>
    <x v="2"/>
    <x v="0"/>
    <x v="3"/>
    <x v="2"/>
    <x v="8"/>
    <x v="1"/>
  </r>
  <r>
    <s v="TX501566"/>
    <x v="2"/>
    <x v="11"/>
    <n v="90.9"/>
    <x v="1263"/>
    <x v="58"/>
    <x v="59"/>
    <x v="1"/>
    <x v="0"/>
    <x v="2"/>
    <x v="0"/>
    <x v="3"/>
    <x v="3"/>
    <x v="8"/>
    <x v="1"/>
  </r>
  <r>
    <s v="TX501567"/>
    <x v="1"/>
    <x v="1"/>
    <n v="75.8"/>
    <x v="318"/>
    <x v="58"/>
    <x v="59"/>
    <x v="2"/>
    <x v="2"/>
    <x v="1"/>
    <x v="0"/>
    <x v="3"/>
    <x v="3"/>
    <x v="8"/>
    <x v="2"/>
  </r>
  <r>
    <s v="TX501568"/>
    <x v="7"/>
    <x v="9"/>
    <n v="57.9"/>
    <x v="1264"/>
    <x v="58"/>
    <x v="57"/>
    <x v="1"/>
    <x v="2"/>
    <x v="2"/>
    <x v="0"/>
    <x v="3"/>
    <x v="1"/>
    <x v="8"/>
    <x v="1"/>
  </r>
  <r>
    <s v="TX501569"/>
    <x v="8"/>
    <x v="9"/>
    <n v="44.8"/>
    <x v="692"/>
    <x v="58"/>
    <x v="59"/>
    <x v="2"/>
    <x v="3"/>
    <x v="2"/>
    <x v="0"/>
    <x v="3"/>
    <x v="3"/>
    <x v="8"/>
    <x v="2"/>
  </r>
  <r>
    <s v="TX501570"/>
    <x v="9"/>
    <x v="2"/>
    <n v="44.2"/>
    <x v="1265"/>
    <x v="58"/>
    <x v="61"/>
    <x v="1"/>
    <x v="2"/>
    <x v="2"/>
    <x v="0"/>
    <x v="3"/>
    <x v="5"/>
    <x v="8"/>
    <x v="1"/>
  </r>
  <r>
    <s v="TX501571"/>
    <x v="5"/>
    <x v="9"/>
    <n v="53.5"/>
    <x v="1266"/>
    <x v="58"/>
    <x v="57"/>
    <x v="1"/>
    <x v="0"/>
    <x v="0"/>
    <x v="0"/>
    <x v="37"/>
    <x v="1"/>
    <x v="8"/>
    <x v="1"/>
  </r>
  <r>
    <s v="TX501572"/>
    <x v="6"/>
    <x v="1"/>
    <n v="72.2"/>
    <x v="613"/>
    <x v="58"/>
    <x v="59"/>
    <x v="1"/>
    <x v="0"/>
    <x v="2"/>
    <x v="0"/>
    <x v="25"/>
    <x v="3"/>
    <x v="8"/>
    <x v="1"/>
  </r>
  <r>
    <s v="TX501573"/>
    <x v="6"/>
    <x v="12"/>
    <n v="62.4"/>
    <x v="1267"/>
    <x v="58"/>
    <x v="62"/>
    <x v="2"/>
    <x v="0"/>
    <x v="1"/>
    <x v="0"/>
    <x v="23"/>
    <x v="2"/>
    <x v="8"/>
    <x v="2"/>
  </r>
  <r>
    <s v="TX501574"/>
    <x v="10"/>
    <x v="9"/>
    <n v="24.7"/>
    <x v="1268"/>
    <x v="58"/>
    <x v="59"/>
    <x v="2"/>
    <x v="0"/>
    <x v="0"/>
    <x v="0"/>
    <x v="6"/>
    <x v="3"/>
    <x v="8"/>
    <x v="2"/>
  </r>
  <r>
    <s v="TX501575"/>
    <x v="1"/>
    <x v="9"/>
    <n v="61.7"/>
    <x v="1269"/>
    <x v="58"/>
    <x v="57"/>
    <x v="2"/>
    <x v="2"/>
    <x v="0"/>
    <x v="0"/>
    <x v="8"/>
    <x v="1"/>
    <x v="8"/>
    <x v="2"/>
  </r>
  <r>
    <s v="TX501576"/>
    <x v="8"/>
    <x v="9"/>
    <n v="18.2"/>
    <x v="1270"/>
    <x v="58"/>
    <x v="57"/>
    <x v="2"/>
    <x v="3"/>
    <x v="0"/>
    <x v="0"/>
    <x v="8"/>
    <x v="1"/>
    <x v="8"/>
    <x v="2"/>
  </r>
  <r>
    <s v="TX501577"/>
    <x v="10"/>
    <x v="12"/>
    <n v="37.200000000000003"/>
    <x v="956"/>
    <x v="58"/>
    <x v="66"/>
    <x v="2"/>
    <x v="0"/>
    <x v="0"/>
    <x v="0"/>
    <x v="8"/>
    <x v="4"/>
    <x v="8"/>
    <x v="2"/>
  </r>
  <r>
    <s v="TX501578"/>
    <x v="9"/>
    <x v="2"/>
    <n v="53.5"/>
    <x v="1271"/>
    <x v="58"/>
    <x v="57"/>
    <x v="2"/>
    <x v="1"/>
    <x v="2"/>
    <x v="0"/>
    <x v="9"/>
    <x v="1"/>
    <x v="8"/>
    <x v="2"/>
  </r>
  <r>
    <s v="TX501579"/>
    <x v="8"/>
    <x v="2"/>
    <n v="43.6"/>
    <x v="1272"/>
    <x v="58"/>
    <x v="58"/>
    <x v="2"/>
    <x v="0"/>
    <x v="0"/>
    <x v="0"/>
    <x v="9"/>
    <x v="7"/>
    <x v="8"/>
    <x v="2"/>
  </r>
  <r>
    <s v="TX501580"/>
    <x v="1"/>
    <x v="7"/>
    <n v="135"/>
    <x v="1273"/>
    <x v="58"/>
    <x v="57"/>
    <x v="2"/>
    <x v="0"/>
    <x v="2"/>
    <x v="0"/>
    <x v="9"/>
    <x v="1"/>
    <x v="8"/>
    <x v="2"/>
  </r>
  <r>
    <s v="TX501581"/>
    <x v="8"/>
    <x v="9"/>
    <n v="38.5"/>
    <x v="796"/>
    <x v="58"/>
    <x v="58"/>
    <x v="1"/>
    <x v="4"/>
    <x v="2"/>
    <x v="0"/>
    <x v="10"/>
    <x v="7"/>
    <x v="8"/>
    <x v="1"/>
  </r>
  <r>
    <s v="TX501582"/>
    <x v="9"/>
    <x v="1"/>
    <n v="24"/>
    <x v="510"/>
    <x v="58"/>
    <x v="63"/>
    <x v="2"/>
    <x v="0"/>
    <x v="0"/>
    <x v="0"/>
    <x v="11"/>
    <x v="0"/>
    <x v="8"/>
    <x v="2"/>
  </r>
  <r>
    <s v="TX501583"/>
    <x v="4"/>
    <x v="2"/>
    <n v="28.2"/>
    <x v="1274"/>
    <x v="58"/>
    <x v="57"/>
    <x v="1"/>
    <x v="0"/>
    <x v="3"/>
    <x v="0"/>
    <x v="18"/>
    <x v="1"/>
    <x v="8"/>
    <x v="1"/>
  </r>
  <r>
    <s v="TX501584"/>
    <x v="7"/>
    <x v="2"/>
    <n v="37.4"/>
    <x v="794"/>
    <x v="58"/>
    <x v="59"/>
    <x v="2"/>
    <x v="3"/>
    <x v="0"/>
    <x v="0"/>
    <x v="1"/>
    <x v="3"/>
    <x v="8"/>
    <x v="2"/>
  </r>
  <r>
    <s v="TX501585"/>
    <x v="6"/>
    <x v="2"/>
    <n v="53.5"/>
    <x v="1271"/>
    <x v="58"/>
    <x v="62"/>
    <x v="0"/>
    <x v="4"/>
    <x v="4"/>
    <x v="0"/>
    <x v="1"/>
    <x v="2"/>
    <x v="8"/>
    <x v="0"/>
  </r>
  <r>
    <s v="TX501586"/>
    <x v="11"/>
    <x v="9"/>
    <n v="36.200000000000003"/>
    <x v="1275"/>
    <x v="58"/>
    <x v="59"/>
    <x v="1"/>
    <x v="1"/>
    <x v="2"/>
    <x v="0"/>
    <x v="33"/>
    <x v="3"/>
    <x v="8"/>
    <x v="1"/>
  </r>
  <r>
    <s v="TX501587"/>
    <x v="0"/>
    <x v="8"/>
    <n v="31.9"/>
    <x v="281"/>
    <x v="58"/>
    <x v="59"/>
    <x v="2"/>
    <x v="4"/>
    <x v="0"/>
    <x v="0"/>
    <x v="3"/>
    <x v="3"/>
    <x v="8"/>
    <x v="2"/>
  </r>
  <r>
    <s v="TX501588"/>
    <x v="8"/>
    <x v="2"/>
    <n v="21.3"/>
    <x v="1276"/>
    <x v="58"/>
    <x v="59"/>
    <x v="1"/>
    <x v="0"/>
    <x v="2"/>
    <x v="0"/>
    <x v="3"/>
    <x v="3"/>
    <x v="8"/>
    <x v="1"/>
  </r>
  <r>
    <s v="TX501589"/>
    <x v="8"/>
    <x v="0"/>
    <n v="36.299999999999997"/>
    <x v="1277"/>
    <x v="58"/>
    <x v="57"/>
    <x v="3"/>
    <x v="4"/>
    <x v="0"/>
    <x v="0"/>
    <x v="3"/>
    <x v="1"/>
    <x v="8"/>
    <x v="3"/>
  </r>
  <r>
    <s v="TX501590"/>
    <x v="6"/>
    <x v="2"/>
    <n v="110.5"/>
    <x v="1278"/>
    <x v="58"/>
    <x v="59"/>
    <x v="2"/>
    <x v="0"/>
    <x v="3"/>
    <x v="0"/>
    <x v="3"/>
    <x v="3"/>
    <x v="8"/>
    <x v="2"/>
  </r>
  <r>
    <s v="TX501591"/>
    <x v="10"/>
    <x v="3"/>
    <n v="32.6"/>
    <x v="1279"/>
    <x v="58"/>
    <x v="57"/>
    <x v="2"/>
    <x v="0"/>
    <x v="1"/>
    <x v="0"/>
    <x v="3"/>
    <x v="1"/>
    <x v="8"/>
    <x v="2"/>
  </r>
  <r>
    <s v="TX501592"/>
    <x v="5"/>
    <x v="2"/>
    <n v="55.6"/>
    <x v="701"/>
    <x v="59"/>
    <x v="67"/>
    <x v="2"/>
    <x v="0"/>
    <x v="0"/>
    <x v="0"/>
    <x v="3"/>
    <x v="10"/>
    <x v="8"/>
    <x v="2"/>
  </r>
  <r>
    <s v="TX501593"/>
    <x v="1"/>
    <x v="12"/>
    <n v="38"/>
    <x v="465"/>
    <x v="59"/>
    <x v="57"/>
    <x v="2"/>
    <x v="3"/>
    <x v="2"/>
    <x v="0"/>
    <x v="5"/>
    <x v="3"/>
    <x v="8"/>
    <x v="2"/>
  </r>
  <r>
    <s v="TX501594"/>
    <x v="10"/>
    <x v="1"/>
    <n v="51.8"/>
    <x v="186"/>
    <x v="59"/>
    <x v="68"/>
    <x v="1"/>
    <x v="1"/>
    <x v="4"/>
    <x v="0"/>
    <x v="6"/>
    <x v="4"/>
    <x v="8"/>
    <x v="1"/>
  </r>
  <r>
    <s v="TX501595"/>
    <x v="11"/>
    <x v="8"/>
    <n v="28.7"/>
    <x v="1166"/>
    <x v="59"/>
    <x v="66"/>
    <x v="2"/>
    <x v="0"/>
    <x v="0"/>
    <x v="0"/>
    <x v="6"/>
    <x v="0"/>
    <x v="8"/>
    <x v="2"/>
  </r>
  <r>
    <s v="TX501596"/>
    <x v="6"/>
    <x v="4"/>
    <n v="52.2"/>
    <x v="1280"/>
    <x v="59"/>
    <x v="59"/>
    <x v="1"/>
    <x v="0"/>
    <x v="1"/>
    <x v="0"/>
    <x v="6"/>
    <x v="7"/>
    <x v="8"/>
    <x v="1"/>
  </r>
  <r>
    <s v="TX501597"/>
    <x v="1"/>
    <x v="1"/>
    <n v="68.2"/>
    <x v="517"/>
    <x v="59"/>
    <x v="57"/>
    <x v="0"/>
    <x v="2"/>
    <x v="0"/>
    <x v="0"/>
    <x v="7"/>
    <x v="3"/>
    <x v="8"/>
    <x v="0"/>
  </r>
  <r>
    <s v="TX501598"/>
    <x v="0"/>
    <x v="2"/>
    <n v="34"/>
    <x v="1062"/>
    <x v="59"/>
    <x v="63"/>
    <x v="2"/>
    <x v="0"/>
    <x v="0"/>
    <x v="0"/>
    <x v="8"/>
    <x v="5"/>
    <x v="8"/>
    <x v="2"/>
  </r>
  <r>
    <s v="TX501599"/>
    <x v="8"/>
    <x v="2"/>
    <n v="19.100000000000001"/>
    <x v="1281"/>
    <x v="59"/>
    <x v="57"/>
    <x v="2"/>
    <x v="4"/>
    <x v="0"/>
    <x v="0"/>
    <x v="8"/>
    <x v="3"/>
    <x v="8"/>
    <x v="2"/>
  </r>
  <r>
    <s v="TX501600"/>
    <x v="5"/>
    <x v="8"/>
    <n v="34"/>
    <x v="1123"/>
    <x v="59"/>
    <x v="60"/>
    <x v="2"/>
    <x v="4"/>
    <x v="0"/>
    <x v="0"/>
    <x v="8"/>
    <x v="9"/>
    <x v="8"/>
    <x v="2"/>
  </r>
  <r>
    <s v="TX501601"/>
    <x v="12"/>
    <x v="1"/>
    <n v="109.1"/>
    <x v="1282"/>
    <x v="59"/>
    <x v="62"/>
    <x v="1"/>
    <x v="0"/>
    <x v="2"/>
    <x v="0"/>
    <x v="8"/>
    <x v="1"/>
    <x v="8"/>
    <x v="1"/>
  </r>
  <r>
    <s v="TX501602"/>
    <x v="18"/>
    <x v="1"/>
    <n v="64.8"/>
    <x v="632"/>
    <x v="59"/>
    <x v="62"/>
    <x v="1"/>
    <x v="0"/>
    <x v="2"/>
    <x v="0"/>
    <x v="8"/>
    <x v="1"/>
    <x v="8"/>
    <x v="1"/>
  </r>
  <r>
    <s v="TX501603"/>
    <x v="10"/>
    <x v="1"/>
    <n v="21.1"/>
    <x v="1283"/>
    <x v="59"/>
    <x v="59"/>
    <x v="2"/>
    <x v="1"/>
    <x v="0"/>
    <x v="0"/>
    <x v="11"/>
    <x v="7"/>
    <x v="8"/>
    <x v="2"/>
  </r>
  <r>
    <s v="TX501604"/>
    <x v="0"/>
    <x v="8"/>
    <n v="21.3"/>
    <x v="1284"/>
    <x v="59"/>
    <x v="62"/>
    <x v="1"/>
    <x v="3"/>
    <x v="1"/>
    <x v="0"/>
    <x v="18"/>
    <x v="1"/>
    <x v="8"/>
    <x v="1"/>
  </r>
  <r>
    <s v="TX501605"/>
    <x v="9"/>
    <x v="2"/>
    <n v="24.3"/>
    <x v="1285"/>
    <x v="59"/>
    <x v="57"/>
    <x v="1"/>
    <x v="1"/>
    <x v="0"/>
    <x v="0"/>
    <x v="19"/>
    <x v="3"/>
    <x v="8"/>
    <x v="1"/>
  </r>
  <r>
    <s v="TX501606"/>
    <x v="8"/>
    <x v="0"/>
    <n v="43.3"/>
    <x v="1286"/>
    <x v="59"/>
    <x v="63"/>
    <x v="1"/>
    <x v="1"/>
    <x v="1"/>
    <x v="0"/>
    <x v="13"/>
    <x v="5"/>
    <x v="8"/>
    <x v="1"/>
  </r>
  <r>
    <s v="TX501607"/>
    <x v="9"/>
    <x v="2"/>
    <n v="41"/>
    <x v="1287"/>
    <x v="59"/>
    <x v="57"/>
    <x v="2"/>
    <x v="3"/>
    <x v="4"/>
    <x v="0"/>
    <x v="21"/>
    <x v="3"/>
    <x v="8"/>
    <x v="2"/>
  </r>
  <r>
    <s v="TX501608"/>
    <x v="16"/>
    <x v="2"/>
    <n v="54.1"/>
    <x v="1288"/>
    <x v="59"/>
    <x v="62"/>
    <x v="2"/>
    <x v="4"/>
    <x v="0"/>
    <x v="0"/>
    <x v="21"/>
    <x v="1"/>
    <x v="8"/>
    <x v="2"/>
  </r>
  <r>
    <s v="TX501609"/>
    <x v="11"/>
    <x v="1"/>
    <n v="39"/>
    <x v="292"/>
    <x v="59"/>
    <x v="57"/>
    <x v="1"/>
    <x v="1"/>
    <x v="2"/>
    <x v="0"/>
    <x v="1"/>
    <x v="3"/>
    <x v="8"/>
    <x v="1"/>
  </r>
  <r>
    <s v="TX501610"/>
    <x v="8"/>
    <x v="1"/>
    <n v="40.299999999999997"/>
    <x v="7"/>
    <x v="59"/>
    <x v="62"/>
    <x v="1"/>
    <x v="3"/>
    <x v="0"/>
    <x v="0"/>
    <x v="27"/>
    <x v="1"/>
    <x v="8"/>
    <x v="1"/>
  </r>
  <r>
    <s v="TX501611"/>
    <x v="8"/>
    <x v="2"/>
    <n v="24.1"/>
    <x v="1289"/>
    <x v="59"/>
    <x v="57"/>
    <x v="1"/>
    <x v="0"/>
    <x v="2"/>
    <x v="0"/>
    <x v="34"/>
    <x v="3"/>
    <x v="8"/>
    <x v="1"/>
  </r>
  <r>
    <s v="TX501612"/>
    <x v="6"/>
    <x v="9"/>
    <n v="52.3"/>
    <x v="1290"/>
    <x v="59"/>
    <x v="57"/>
    <x v="1"/>
    <x v="2"/>
    <x v="0"/>
    <x v="0"/>
    <x v="3"/>
    <x v="3"/>
    <x v="8"/>
    <x v="1"/>
  </r>
  <r>
    <s v="TX501613"/>
    <x v="12"/>
    <x v="12"/>
    <n v="68.8"/>
    <x v="1291"/>
    <x v="59"/>
    <x v="63"/>
    <x v="2"/>
    <x v="4"/>
    <x v="2"/>
    <x v="0"/>
    <x v="3"/>
    <x v="5"/>
    <x v="8"/>
    <x v="2"/>
  </r>
  <r>
    <s v="TX501614"/>
    <x v="2"/>
    <x v="1"/>
    <n v="128.80000000000001"/>
    <x v="1292"/>
    <x v="60"/>
    <x v="63"/>
    <x v="2"/>
    <x v="1"/>
    <x v="1"/>
    <x v="0"/>
    <x v="3"/>
    <x v="2"/>
    <x v="9"/>
    <x v="2"/>
  </r>
  <r>
    <s v="TX501615"/>
    <x v="15"/>
    <x v="9"/>
    <n v="48.2"/>
    <x v="1044"/>
    <x v="60"/>
    <x v="61"/>
    <x v="2"/>
    <x v="3"/>
    <x v="0"/>
    <x v="0"/>
    <x v="3"/>
    <x v="1"/>
    <x v="9"/>
    <x v="2"/>
  </r>
  <r>
    <s v="TX501616"/>
    <x v="10"/>
    <x v="0"/>
    <n v="39.700000000000003"/>
    <x v="144"/>
    <x v="60"/>
    <x v="61"/>
    <x v="2"/>
    <x v="0"/>
    <x v="1"/>
    <x v="0"/>
    <x v="3"/>
    <x v="1"/>
    <x v="9"/>
    <x v="2"/>
  </r>
  <r>
    <s v="TX501617"/>
    <x v="9"/>
    <x v="0"/>
    <n v="59.7"/>
    <x v="1201"/>
    <x v="60"/>
    <x v="63"/>
    <x v="2"/>
    <x v="4"/>
    <x v="0"/>
    <x v="0"/>
    <x v="3"/>
    <x v="2"/>
    <x v="9"/>
    <x v="2"/>
  </r>
  <r>
    <s v="TX501618"/>
    <x v="6"/>
    <x v="0"/>
    <n v="48.3"/>
    <x v="1293"/>
    <x v="60"/>
    <x v="69"/>
    <x v="3"/>
    <x v="0"/>
    <x v="2"/>
    <x v="0"/>
    <x v="3"/>
    <x v="12"/>
    <x v="9"/>
    <x v="3"/>
  </r>
  <r>
    <s v="TX501619"/>
    <x v="8"/>
    <x v="2"/>
    <n v="45.5"/>
    <x v="1294"/>
    <x v="60"/>
    <x v="61"/>
    <x v="1"/>
    <x v="2"/>
    <x v="1"/>
    <x v="0"/>
    <x v="3"/>
    <x v="1"/>
    <x v="9"/>
    <x v="1"/>
  </r>
  <r>
    <s v="TX501620"/>
    <x v="9"/>
    <x v="6"/>
    <n v="51"/>
    <x v="1295"/>
    <x v="60"/>
    <x v="57"/>
    <x v="2"/>
    <x v="2"/>
    <x v="0"/>
    <x v="0"/>
    <x v="3"/>
    <x v="7"/>
    <x v="9"/>
    <x v="2"/>
  </r>
  <r>
    <s v="TX501621"/>
    <x v="4"/>
    <x v="13"/>
    <n v="20.399999999999999"/>
    <x v="1296"/>
    <x v="60"/>
    <x v="62"/>
    <x v="1"/>
    <x v="2"/>
    <x v="0"/>
    <x v="0"/>
    <x v="3"/>
    <x v="3"/>
    <x v="9"/>
    <x v="1"/>
  </r>
  <r>
    <s v="TX501622"/>
    <x v="10"/>
    <x v="1"/>
    <n v="30.4"/>
    <x v="1297"/>
    <x v="60"/>
    <x v="61"/>
    <x v="1"/>
    <x v="2"/>
    <x v="0"/>
    <x v="0"/>
    <x v="3"/>
    <x v="1"/>
    <x v="9"/>
    <x v="1"/>
  </r>
  <r>
    <s v="TX501623"/>
    <x v="7"/>
    <x v="1"/>
    <n v="71.5"/>
    <x v="1298"/>
    <x v="60"/>
    <x v="66"/>
    <x v="2"/>
    <x v="0"/>
    <x v="0"/>
    <x v="0"/>
    <x v="3"/>
    <x v="5"/>
    <x v="9"/>
    <x v="2"/>
  </r>
  <r>
    <s v="TX501624"/>
    <x v="8"/>
    <x v="13"/>
    <n v="18"/>
    <x v="807"/>
    <x v="60"/>
    <x v="62"/>
    <x v="3"/>
    <x v="1"/>
    <x v="2"/>
    <x v="0"/>
    <x v="6"/>
    <x v="3"/>
    <x v="9"/>
    <x v="3"/>
  </r>
  <r>
    <s v="TX501625"/>
    <x v="15"/>
    <x v="5"/>
    <n v="45.6"/>
    <x v="1299"/>
    <x v="60"/>
    <x v="62"/>
    <x v="3"/>
    <x v="1"/>
    <x v="1"/>
    <x v="0"/>
    <x v="7"/>
    <x v="3"/>
    <x v="9"/>
    <x v="3"/>
  </r>
  <r>
    <s v="TX501626"/>
    <x v="9"/>
    <x v="0"/>
    <n v="31.8"/>
    <x v="627"/>
    <x v="60"/>
    <x v="66"/>
    <x v="2"/>
    <x v="0"/>
    <x v="2"/>
    <x v="0"/>
    <x v="7"/>
    <x v="5"/>
    <x v="9"/>
    <x v="2"/>
  </r>
  <r>
    <s v="TX501627"/>
    <x v="8"/>
    <x v="9"/>
    <n v="19.899999999999999"/>
    <x v="1300"/>
    <x v="60"/>
    <x v="62"/>
    <x v="2"/>
    <x v="1"/>
    <x v="0"/>
    <x v="0"/>
    <x v="7"/>
    <x v="3"/>
    <x v="9"/>
    <x v="2"/>
  </r>
  <r>
    <s v="TX501628"/>
    <x v="12"/>
    <x v="11"/>
    <n v="52.1"/>
    <x v="1301"/>
    <x v="60"/>
    <x v="61"/>
    <x v="1"/>
    <x v="0"/>
    <x v="0"/>
    <x v="0"/>
    <x v="8"/>
    <x v="1"/>
    <x v="9"/>
    <x v="1"/>
  </r>
  <r>
    <s v="TX501629"/>
    <x v="1"/>
    <x v="3"/>
    <n v="45.9"/>
    <x v="1198"/>
    <x v="60"/>
    <x v="62"/>
    <x v="1"/>
    <x v="0"/>
    <x v="1"/>
    <x v="0"/>
    <x v="8"/>
    <x v="3"/>
    <x v="9"/>
    <x v="1"/>
  </r>
  <r>
    <s v="TX501630"/>
    <x v="1"/>
    <x v="7"/>
    <n v="115.9"/>
    <x v="1302"/>
    <x v="60"/>
    <x v="63"/>
    <x v="2"/>
    <x v="1"/>
    <x v="0"/>
    <x v="0"/>
    <x v="8"/>
    <x v="2"/>
    <x v="9"/>
    <x v="2"/>
  </r>
  <r>
    <s v="TX501631"/>
    <x v="6"/>
    <x v="11"/>
    <n v="86"/>
    <x v="1303"/>
    <x v="60"/>
    <x v="68"/>
    <x v="2"/>
    <x v="0"/>
    <x v="1"/>
    <x v="0"/>
    <x v="8"/>
    <x v="0"/>
    <x v="9"/>
    <x v="2"/>
  </r>
  <r>
    <s v="TX501632"/>
    <x v="7"/>
    <x v="3"/>
    <n v="73.599999999999994"/>
    <x v="1304"/>
    <x v="60"/>
    <x v="61"/>
    <x v="2"/>
    <x v="0"/>
    <x v="0"/>
    <x v="0"/>
    <x v="17"/>
    <x v="1"/>
    <x v="9"/>
    <x v="2"/>
  </r>
  <r>
    <s v="TX501633"/>
    <x v="10"/>
    <x v="2"/>
    <n v="26.7"/>
    <x v="1133"/>
    <x v="60"/>
    <x v="66"/>
    <x v="2"/>
    <x v="0"/>
    <x v="0"/>
    <x v="0"/>
    <x v="11"/>
    <x v="5"/>
    <x v="9"/>
    <x v="2"/>
  </r>
  <r>
    <s v="TX501634"/>
    <x v="8"/>
    <x v="3"/>
    <n v="46.6"/>
    <x v="1305"/>
    <x v="60"/>
    <x v="61"/>
    <x v="0"/>
    <x v="3"/>
    <x v="0"/>
    <x v="0"/>
    <x v="11"/>
    <x v="1"/>
    <x v="9"/>
    <x v="0"/>
  </r>
  <r>
    <s v="TX501635"/>
    <x v="3"/>
    <x v="2"/>
    <n v="84.6"/>
    <x v="1306"/>
    <x v="60"/>
    <x v="61"/>
    <x v="1"/>
    <x v="4"/>
    <x v="0"/>
    <x v="0"/>
    <x v="11"/>
    <x v="1"/>
    <x v="9"/>
    <x v="1"/>
  </r>
  <r>
    <s v="TX501636"/>
    <x v="7"/>
    <x v="21"/>
    <n v="41.5"/>
    <x v="1307"/>
    <x v="60"/>
    <x v="69"/>
    <x v="1"/>
    <x v="1"/>
    <x v="0"/>
    <x v="0"/>
    <x v="53"/>
    <x v="12"/>
    <x v="9"/>
    <x v="1"/>
  </r>
  <r>
    <s v="TX501637"/>
    <x v="8"/>
    <x v="0"/>
    <n v="32.799999999999997"/>
    <x v="944"/>
    <x v="60"/>
    <x v="63"/>
    <x v="1"/>
    <x v="0"/>
    <x v="2"/>
    <x v="0"/>
    <x v="30"/>
    <x v="2"/>
    <x v="9"/>
    <x v="1"/>
  </r>
  <r>
    <s v="TX501638"/>
    <x v="4"/>
    <x v="3"/>
    <n v="46.7"/>
    <x v="1308"/>
    <x v="60"/>
    <x v="61"/>
    <x v="3"/>
    <x v="0"/>
    <x v="2"/>
    <x v="0"/>
    <x v="18"/>
    <x v="1"/>
    <x v="9"/>
    <x v="3"/>
  </r>
  <r>
    <s v="TX501639"/>
    <x v="15"/>
    <x v="3"/>
    <n v="21"/>
    <x v="926"/>
    <x v="60"/>
    <x v="63"/>
    <x v="1"/>
    <x v="2"/>
    <x v="1"/>
    <x v="0"/>
    <x v="21"/>
    <x v="2"/>
    <x v="9"/>
    <x v="1"/>
  </r>
  <r>
    <s v="TX501640"/>
    <x v="5"/>
    <x v="3"/>
    <n v="29.4"/>
    <x v="43"/>
    <x v="60"/>
    <x v="57"/>
    <x v="1"/>
    <x v="3"/>
    <x v="2"/>
    <x v="0"/>
    <x v="21"/>
    <x v="7"/>
    <x v="9"/>
    <x v="1"/>
  </r>
  <r>
    <s v="TX501641"/>
    <x v="15"/>
    <x v="1"/>
    <n v="32.299999999999997"/>
    <x v="1099"/>
    <x v="60"/>
    <x v="62"/>
    <x v="1"/>
    <x v="0"/>
    <x v="2"/>
    <x v="0"/>
    <x v="21"/>
    <x v="3"/>
    <x v="9"/>
    <x v="1"/>
  </r>
  <r>
    <s v="TX501642"/>
    <x v="6"/>
    <x v="0"/>
    <n v="42.2"/>
    <x v="1283"/>
    <x v="61"/>
    <x v="63"/>
    <x v="2"/>
    <x v="0"/>
    <x v="2"/>
    <x v="0"/>
    <x v="21"/>
    <x v="1"/>
    <x v="9"/>
    <x v="2"/>
  </r>
  <r>
    <s v="TX501643"/>
    <x v="6"/>
    <x v="0"/>
    <n v="53.7"/>
    <x v="1309"/>
    <x v="61"/>
    <x v="63"/>
    <x v="1"/>
    <x v="1"/>
    <x v="1"/>
    <x v="0"/>
    <x v="1"/>
    <x v="1"/>
    <x v="9"/>
    <x v="1"/>
  </r>
  <r>
    <s v="TX501644"/>
    <x v="2"/>
    <x v="1"/>
    <n v="123.9"/>
    <x v="1310"/>
    <x v="61"/>
    <x v="66"/>
    <x v="1"/>
    <x v="2"/>
    <x v="0"/>
    <x v="0"/>
    <x v="1"/>
    <x v="2"/>
    <x v="9"/>
    <x v="1"/>
  </r>
  <r>
    <s v="TX501645"/>
    <x v="4"/>
    <x v="2"/>
    <n v="35.9"/>
    <x v="1311"/>
    <x v="61"/>
    <x v="63"/>
    <x v="1"/>
    <x v="2"/>
    <x v="0"/>
    <x v="0"/>
    <x v="22"/>
    <x v="1"/>
    <x v="9"/>
    <x v="1"/>
  </r>
  <r>
    <s v="TX501646"/>
    <x v="4"/>
    <x v="1"/>
    <n v="23.6"/>
    <x v="828"/>
    <x v="61"/>
    <x v="66"/>
    <x v="1"/>
    <x v="0"/>
    <x v="2"/>
    <x v="0"/>
    <x v="3"/>
    <x v="2"/>
    <x v="9"/>
    <x v="1"/>
  </r>
  <r>
    <s v="TX501647"/>
    <x v="15"/>
    <x v="36"/>
    <n v="45.7"/>
    <x v="1312"/>
    <x v="61"/>
    <x v="61"/>
    <x v="1"/>
    <x v="0"/>
    <x v="1"/>
    <x v="0"/>
    <x v="3"/>
    <x v="3"/>
    <x v="9"/>
    <x v="1"/>
  </r>
  <r>
    <s v="TX501648"/>
    <x v="6"/>
    <x v="5"/>
    <n v="118.3"/>
    <x v="1313"/>
    <x v="61"/>
    <x v="63"/>
    <x v="1"/>
    <x v="4"/>
    <x v="2"/>
    <x v="0"/>
    <x v="3"/>
    <x v="1"/>
    <x v="9"/>
    <x v="1"/>
  </r>
  <r>
    <s v="TX501649"/>
    <x v="19"/>
    <x v="0"/>
    <n v="36"/>
    <x v="53"/>
    <x v="61"/>
    <x v="61"/>
    <x v="2"/>
    <x v="0"/>
    <x v="1"/>
    <x v="0"/>
    <x v="3"/>
    <x v="3"/>
    <x v="9"/>
    <x v="2"/>
  </r>
  <r>
    <s v="TX501650"/>
    <x v="8"/>
    <x v="1"/>
    <n v="37.1"/>
    <x v="1314"/>
    <x v="61"/>
    <x v="66"/>
    <x v="2"/>
    <x v="2"/>
    <x v="0"/>
    <x v="0"/>
    <x v="3"/>
    <x v="2"/>
    <x v="9"/>
    <x v="2"/>
  </r>
  <r>
    <s v="TX501651"/>
    <x v="18"/>
    <x v="2"/>
    <n v="45.1"/>
    <x v="246"/>
    <x v="61"/>
    <x v="63"/>
    <x v="2"/>
    <x v="1"/>
    <x v="2"/>
    <x v="0"/>
    <x v="3"/>
    <x v="1"/>
    <x v="9"/>
    <x v="2"/>
  </r>
  <r>
    <s v="TX501652"/>
    <x v="5"/>
    <x v="27"/>
    <n v="37.9"/>
    <x v="1315"/>
    <x v="61"/>
    <x v="61"/>
    <x v="2"/>
    <x v="3"/>
    <x v="2"/>
    <x v="0"/>
    <x v="3"/>
    <x v="3"/>
    <x v="9"/>
    <x v="2"/>
  </r>
  <r>
    <s v="TX501653"/>
    <x v="2"/>
    <x v="1"/>
    <n v="121.6"/>
    <x v="1316"/>
    <x v="61"/>
    <x v="66"/>
    <x v="1"/>
    <x v="3"/>
    <x v="2"/>
    <x v="0"/>
    <x v="3"/>
    <x v="2"/>
    <x v="9"/>
    <x v="1"/>
  </r>
  <r>
    <s v="TX501654"/>
    <x v="5"/>
    <x v="3"/>
    <n v="38.200000000000003"/>
    <x v="1317"/>
    <x v="61"/>
    <x v="66"/>
    <x v="2"/>
    <x v="0"/>
    <x v="0"/>
    <x v="0"/>
    <x v="3"/>
    <x v="2"/>
    <x v="9"/>
    <x v="2"/>
  </r>
  <r>
    <s v="TX501655"/>
    <x v="17"/>
    <x v="1"/>
    <n v="37.200000000000003"/>
    <x v="610"/>
    <x v="61"/>
    <x v="66"/>
    <x v="1"/>
    <x v="4"/>
    <x v="0"/>
    <x v="0"/>
    <x v="3"/>
    <x v="2"/>
    <x v="9"/>
    <x v="1"/>
  </r>
  <r>
    <s v="TX501656"/>
    <x v="2"/>
    <x v="12"/>
    <n v="115.7"/>
    <x v="1318"/>
    <x v="61"/>
    <x v="66"/>
    <x v="2"/>
    <x v="1"/>
    <x v="0"/>
    <x v="0"/>
    <x v="3"/>
    <x v="2"/>
    <x v="9"/>
    <x v="2"/>
  </r>
  <r>
    <s v="TX501657"/>
    <x v="2"/>
    <x v="13"/>
    <n v="99.4"/>
    <x v="1319"/>
    <x v="61"/>
    <x v="66"/>
    <x v="1"/>
    <x v="0"/>
    <x v="2"/>
    <x v="0"/>
    <x v="3"/>
    <x v="2"/>
    <x v="9"/>
    <x v="1"/>
  </r>
  <r>
    <s v="TX501658"/>
    <x v="11"/>
    <x v="0"/>
    <n v="38.700000000000003"/>
    <x v="1320"/>
    <x v="61"/>
    <x v="61"/>
    <x v="2"/>
    <x v="2"/>
    <x v="0"/>
    <x v="0"/>
    <x v="25"/>
    <x v="3"/>
    <x v="9"/>
    <x v="2"/>
  </r>
  <r>
    <s v="TX501659"/>
    <x v="4"/>
    <x v="1"/>
    <n v="35.5"/>
    <x v="1321"/>
    <x v="61"/>
    <x v="66"/>
    <x v="1"/>
    <x v="0"/>
    <x v="2"/>
    <x v="0"/>
    <x v="25"/>
    <x v="2"/>
    <x v="9"/>
    <x v="1"/>
  </r>
  <r>
    <s v="TX501660"/>
    <x v="2"/>
    <x v="12"/>
    <n v="93.3"/>
    <x v="1322"/>
    <x v="61"/>
    <x v="66"/>
    <x v="2"/>
    <x v="0"/>
    <x v="2"/>
    <x v="0"/>
    <x v="6"/>
    <x v="2"/>
    <x v="9"/>
    <x v="2"/>
  </r>
  <r>
    <s v="TX501661"/>
    <x v="16"/>
    <x v="0"/>
    <n v="31.4"/>
    <x v="1323"/>
    <x v="61"/>
    <x v="70"/>
    <x v="2"/>
    <x v="2"/>
    <x v="2"/>
    <x v="0"/>
    <x v="6"/>
    <x v="0"/>
    <x v="9"/>
    <x v="2"/>
  </r>
  <r>
    <s v="TX501662"/>
    <x v="1"/>
    <x v="0"/>
    <n v="85.9"/>
    <x v="1324"/>
    <x v="61"/>
    <x v="66"/>
    <x v="1"/>
    <x v="1"/>
    <x v="0"/>
    <x v="0"/>
    <x v="6"/>
    <x v="2"/>
    <x v="9"/>
    <x v="1"/>
  </r>
  <r>
    <s v="TX501663"/>
    <x v="6"/>
    <x v="8"/>
    <n v="41.7"/>
    <x v="335"/>
    <x v="61"/>
    <x v="71"/>
    <x v="1"/>
    <x v="0"/>
    <x v="2"/>
    <x v="0"/>
    <x v="7"/>
    <x v="9"/>
    <x v="9"/>
    <x v="1"/>
  </r>
  <r>
    <s v="TX501664"/>
    <x v="8"/>
    <x v="12"/>
    <n v="31.5"/>
    <x v="624"/>
    <x v="61"/>
    <x v="61"/>
    <x v="2"/>
    <x v="0"/>
    <x v="0"/>
    <x v="0"/>
    <x v="7"/>
    <x v="3"/>
    <x v="9"/>
    <x v="2"/>
  </r>
  <r>
    <s v="TX501665"/>
    <x v="8"/>
    <x v="1"/>
    <n v="36.299999999999997"/>
    <x v="1325"/>
    <x v="61"/>
    <x v="61"/>
    <x v="2"/>
    <x v="0"/>
    <x v="4"/>
    <x v="0"/>
    <x v="8"/>
    <x v="3"/>
    <x v="9"/>
    <x v="2"/>
  </r>
  <r>
    <s v="TX501666"/>
    <x v="8"/>
    <x v="2"/>
    <n v="33.4"/>
    <x v="1326"/>
    <x v="61"/>
    <x v="61"/>
    <x v="2"/>
    <x v="3"/>
    <x v="0"/>
    <x v="0"/>
    <x v="17"/>
    <x v="3"/>
    <x v="9"/>
    <x v="2"/>
  </r>
  <r>
    <s v="TX501667"/>
    <x v="2"/>
    <x v="2"/>
    <n v="65.2"/>
    <x v="1327"/>
    <x v="61"/>
    <x v="61"/>
    <x v="2"/>
    <x v="2"/>
    <x v="2"/>
    <x v="0"/>
    <x v="26"/>
    <x v="3"/>
    <x v="9"/>
    <x v="2"/>
  </r>
  <r>
    <s v="TX501668"/>
    <x v="8"/>
    <x v="11"/>
    <n v="65.5"/>
    <x v="1328"/>
    <x v="61"/>
    <x v="66"/>
    <x v="2"/>
    <x v="0"/>
    <x v="2"/>
    <x v="0"/>
    <x v="9"/>
    <x v="2"/>
    <x v="9"/>
    <x v="2"/>
  </r>
  <r>
    <s v="TX501669"/>
    <x v="6"/>
    <x v="2"/>
    <n v="52.8"/>
    <x v="1329"/>
    <x v="61"/>
    <x v="66"/>
    <x v="1"/>
    <x v="2"/>
    <x v="0"/>
    <x v="0"/>
    <x v="9"/>
    <x v="2"/>
    <x v="9"/>
    <x v="1"/>
  </r>
  <r>
    <s v="TX501670"/>
    <x v="9"/>
    <x v="9"/>
    <n v="24"/>
    <x v="160"/>
    <x v="61"/>
    <x v="68"/>
    <x v="1"/>
    <x v="0"/>
    <x v="1"/>
    <x v="0"/>
    <x v="11"/>
    <x v="5"/>
    <x v="9"/>
    <x v="1"/>
  </r>
  <r>
    <s v="TX501671"/>
    <x v="3"/>
    <x v="2"/>
    <n v="51.2"/>
    <x v="1330"/>
    <x v="61"/>
    <x v="61"/>
    <x v="2"/>
    <x v="0"/>
    <x v="0"/>
    <x v="0"/>
    <x v="32"/>
    <x v="3"/>
    <x v="9"/>
    <x v="2"/>
  </r>
  <r>
    <s v="TX501672"/>
    <x v="5"/>
    <x v="2"/>
    <n v="28.3"/>
    <x v="1331"/>
    <x v="61"/>
    <x v="63"/>
    <x v="1"/>
    <x v="4"/>
    <x v="0"/>
    <x v="0"/>
    <x v="19"/>
    <x v="1"/>
    <x v="9"/>
    <x v="1"/>
  </r>
  <r>
    <s v="TX501673"/>
    <x v="6"/>
    <x v="2"/>
    <n v="42.3"/>
    <x v="1332"/>
    <x v="61"/>
    <x v="62"/>
    <x v="2"/>
    <x v="2"/>
    <x v="1"/>
    <x v="0"/>
    <x v="19"/>
    <x v="7"/>
    <x v="9"/>
    <x v="2"/>
  </r>
  <r>
    <s v="TX501674"/>
    <x v="2"/>
    <x v="8"/>
    <n v="163.30000000000001"/>
    <x v="1333"/>
    <x v="62"/>
    <x v="63"/>
    <x v="2"/>
    <x v="1"/>
    <x v="0"/>
    <x v="0"/>
    <x v="13"/>
    <x v="3"/>
    <x v="9"/>
    <x v="2"/>
  </r>
  <r>
    <s v="TX501675"/>
    <x v="6"/>
    <x v="3"/>
    <n v="47.3"/>
    <x v="1334"/>
    <x v="62"/>
    <x v="68"/>
    <x v="2"/>
    <x v="4"/>
    <x v="1"/>
    <x v="0"/>
    <x v="21"/>
    <x v="2"/>
    <x v="9"/>
    <x v="2"/>
  </r>
  <r>
    <s v="TX501676"/>
    <x v="8"/>
    <x v="27"/>
    <n v="27.3"/>
    <x v="1335"/>
    <x v="62"/>
    <x v="63"/>
    <x v="2"/>
    <x v="2"/>
    <x v="0"/>
    <x v="0"/>
    <x v="21"/>
    <x v="3"/>
    <x v="9"/>
    <x v="2"/>
  </r>
  <r>
    <s v="TX501677"/>
    <x v="10"/>
    <x v="13"/>
    <n v="34.9"/>
    <x v="1336"/>
    <x v="62"/>
    <x v="72"/>
    <x v="2"/>
    <x v="0"/>
    <x v="0"/>
    <x v="0"/>
    <x v="21"/>
    <x v="11"/>
    <x v="9"/>
    <x v="2"/>
  </r>
  <r>
    <s v="TX501678"/>
    <x v="6"/>
    <x v="1"/>
    <n v="53.9"/>
    <x v="215"/>
    <x v="62"/>
    <x v="68"/>
    <x v="3"/>
    <x v="0"/>
    <x v="4"/>
    <x v="0"/>
    <x v="1"/>
    <x v="2"/>
    <x v="9"/>
    <x v="3"/>
  </r>
  <r>
    <s v="TX501679"/>
    <x v="2"/>
    <x v="1"/>
    <n v="87.2"/>
    <x v="1337"/>
    <x v="62"/>
    <x v="63"/>
    <x v="2"/>
    <x v="0"/>
    <x v="1"/>
    <x v="0"/>
    <x v="1"/>
    <x v="3"/>
    <x v="9"/>
    <x v="2"/>
  </r>
  <r>
    <s v="TX501680"/>
    <x v="15"/>
    <x v="0"/>
    <n v="58.8"/>
    <x v="572"/>
    <x v="62"/>
    <x v="66"/>
    <x v="2"/>
    <x v="2"/>
    <x v="0"/>
    <x v="0"/>
    <x v="44"/>
    <x v="1"/>
    <x v="9"/>
    <x v="2"/>
  </r>
  <r>
    <s v="TX501681"/>
    <x v="2"/>
    <x v="3"/>
    <n v="125.5"/>
    <x v="1338"/>
    <x v="62"/>
    <x v="63"/>
    <x v="1"/>
    <x v="2"/>
    <x v="4"/>
    <x v="0"/>
    <x v="22"/>
    <x v="3"/>
    <x v="9"/>
    <x v="1"/>
  </r>
  <r>
    <s v="TX501682"/>
    <x v="1"/>
    <x v="12"/>
    <n v="124.6"/>
    <x v="1339"/>
    <x v="62"/>
    <x v="66"/>
    <x v="2"/>
    <x v="0"/>
    <x v="1"/>
    <x v="0"/>
    <x v="22"/>
    <x v="1"/>
    <x v="9"/>
    <x v="2"/>
  </r>
  <r>
    <s v="TX501683"/>
    <x v="1"/>
    <x v="3"/>
    <n v="39.9"/>
    <x v="1340"/>
    <x v="62"/>
    <x v="63"/>
    <x v="1"/>
    <x v="2"/>
    <x v="1"/>
    <x v="0"/>
    <x v="3"/>
    <x v="3"/>
    <x v="9"/>
    <x v="1"/>
  </r>
  <r>
    <s v="TX501684"/>
    <x v="6"/>
    <x v="0"/>
    <n v="94.6"/>
    <x v="422"/>
    <x v="62"/>
    <x v="73"/>
    <x v="2"/>
    <x v="0"/>
    <x v="1"/>
    <x v="0"/>
    <x v="3"/>
    <x v="12"/>
    <x v="9"/>
    <x v="2"/>
  </r>
  <r>
    <s v="TX501685"/>
    <x v="2"/>
    <x v="1"/>
    <n v="149.6"/>
    <x v="1341"/>
    <x v="62"/>
    <x v="63"/>
    <x v="2"/>
    <x v="0"/>
    <x v="0"/>
    <x v="0"/>
    <x v="3"/>
    <x v="3"/>
    <x v="9"/>
    <x v="2"/>
  </r>
  <r>
    <s v="TX501686"/>
    <x v="8"/>
    <x v="0"/>
    <n v="52.2"/>
    <x v="1342"/>
    <x v="62"/>
    <x v="63"/>
    <x v="0"/>
    <x v="1"/>
    <x v="0"/>
    <x v="0"/>
    <x v="3"/>
    <x v="3"/>
    <x v="9"/>
    <x v="0"/>
  </r>
  <r>
    <s v="TX501687"/>
    <x v="6"/>
    <x v="1"/>
    <n v="96.5"/>
    <x v="1343"/>
    <x v="62"/>
    <x v="63"/>
    <x v="2"/>
    <x v="1"/>
    <x v="1"/>
    <x v="0"/>
    <x v="3"/>
    <x v="3"/>
    <x v="9"/>
    <x v="2"/>
  </r>
  <r>
    <s v="TX501688"/>
    <x v="8"/>
    <x v="1"/>
    <n v="79.8"/>
    <x v="1344"/>
    <x v="62"/>
    <x v="66"/>
    <x v="2"/>
    <x v="0"/>
    <x v="1"/>
    <x v="0"/>
    <x v="3"/>
    <x v="1"/>
    <x v="9"/>
    <x v="2"/>
  </r>
  <r>
    <s v="TX501689"/>
    <x v="8"/>
    <x v="2"/>
    <n v="35.6"/>
    <x v="694"/>
    <x v="62"/>
    <x v="63"/>
    <x v="2"/>
    <x v="2"/>
    <x v="0"/>
    <x v="0"/>
    <x v="3"/>
    <x v="3"/>
    <x v="9"/>
    <x v="2"/>
  </r>
  <r>
    <s v="TX501690"/>
    <x v="16"/>
    <x v="0"/>
    <n v="50.2"/>
    <x v="486"/>
    <x v="62"/>
    <x v="63"/>
    <x v="2"/>
    <x v="1"/>
    <x v="2"/>
    <x v="0"/>
    <x v="3"/>
    <x v="3"/>
    <x v="9"/>
    <x v="2"/>
  </r>
  <r>
    <s v="TX501691"/>
    <x v="1"/>
    <x v="2"/>
    <n v="55.3"/>
    <x v="1345"/>
    <x v="62"/>
    <x v="68"/>
    <x v="2"/>
    <x v="0"/>
    <x v="4"/>
    <x v="0"/>
    <x v="40"/>
    <x v="2"/>
    <x v="9"/>
    <x v="2"/>
  </r>
  <r>
    <s v="TX501692"/>
    <x v="6"/>
    <x v="3"/>
    <n v="104.5"/>
    <x v="1346"/>
    <x v="62"/>
    <x v="70"/>
    <x v="2"/>
    <x v="1"/>
    <x v="0"/>
    <x v="0"/>
    <x v="7"/>
    <x v="5"/>
    <x v="9"/>
    <x v="2"/>
  </r>
  <r>
    <s v="TX501693"/>
    <x v="6"/>
    <x v="12"/>
    <n v="66.5"/>
    <x v="751"/>
    <x v="62"/>
    <x v="66"/>
    <x v="1"/>
    <x v="1"/>
    <x v="0"/>
    <x v="0"/>
    <x v="7"/>
    <x v="1"/>
    <x v="9"/>
    <x v="1"/>
  </r>
  <r>
    <s v="TX501694"/>
    <x v="10"/>
    <x v="8"/>
    <n v="38.299999999999997"/>
    <x v="1347"/>
    <x v="62"/>
    <x v="63"/>
    <x v="2"/>
    <x v="0"/>
    <x v="0"/>
    <x v="0"/>
    <x v="7"/>
    <x v="3"/>
    <x v="9"/>
    <x v="2"/>
  </r>
  <r>
    <s v="TX501695"/>
    <x v="6"/>
    <x v="2"/>
    <n v="63.8"/>
    <x v="1348"/>
    <x v="62"/>
    <x v="68"/>
    <x v="2"/>
    <x v="1"/>
    <x v="0"/>
    <x v="0"/>
    <x v="8"/>
    <x v="2"/>
    <x v="9"/>
    <x v="2"/>
  </r>
  <r>
    <s v="TX501696"/>
    <x v="15"/>
    <x v="0"/>
    <n v="21.4"/>
    <x v="1349"/>
    <x v="62"/>
    <x v="61"/>
    <x v="1"/>
    <x v="4"/>
    <x v="0"/>
    <x v="0"/>
    <x v="8"/>
    <x v="7"/>
    <x v="9"/>
    <x v="1"/>
  </r>
  <r>
    <s v="TX501697"/>
    <x v="8"/>
    <x v="12"/>
    <n v="44.1"/>
    <x v="1350"/>
    <x v="62"/>
    <x v="66"/>
    <x v="2"/>
    <x v="2"/>
    <x v="0"/>
    <x v="0"/>
    <x v="8"/>
    <x v="1"/>
    <x v="9"/>
    <x v="2"/>
  </r>
  <r>
    <s v="TX501698"/>
    <x v="5"/>
    <x v="8"/>
    <n v="57.6"/>
    <x v="1351"/>
    <x v="62"/>
    <x v="66"/>
    <x v="1"/>
    <x v="1"/>
    <x v="2"/>
    <x v="0"/>
    <x v="8"/>
    <x v="1"/>
    <x v="9"/>
    <x v="1"/>
  </r>
  <r>
    <s v="TX501699"/>
    <x v="9"/>
    <x v="1"/>
    <n v="20.3"/>
    <x v="1352"/>
    <x v="62"/>
    <x v="65"/>
    <x v="2"/>
    <x v="3"/>
    <x v="0"/>
    <x v="0"/>
    <x v="8"/>
    <x v="4"/>
    <x v="9"/>
    <x v="2"/>
  </r>
  <r>
    <s v="TX501700"/>
    <x v="8"/>
    <x v="0"/>
    <n v="22.9"/>
    <x v="1246"/>
    <x v="62"/>
    <x v="66"/>
    <x v="2"/>
    <x v="2"/>
    <x v="2"/>
    <x v="0"/>
    <x v="8"/>
    <x v="1"/>
    <x v="9"/>
    <x v="2"/>
  </r>
  <r>
    <s v="TX501701"/>
    <x v="6"/>
    <x v="12"/>
    <n v="105.9"/>
    <x v="1353"/>
    <x v="62"/>
    <x v="63"/>
    <x v="2"/>
    <x v="1"/>
    <x v="2"/>
    <x v="0"/>
    <x v="17"/>
    <x v="3"/>
    <x v="9"/>
    <x v="2"/>
  </r>
  <r>
    <s v="TX501702"/>
    <x v="1"/>
    <x v="11"/>
    <n v="37.4"/>
    <x v="1354"/>
    <x v="62"/>
    <x v="70"/>
    <x v="1"/>
    <x v="1"/>
    <x v="0"/>
    <x v="0"/>
    <x v="11"/>
    <x v="5"/>
    <x v="9"/>
    <x v="1"/>
  </r>
  <r>
    <s v="TX501703"/>
    <x v="18"/>
    <x v="1"/>
    <n v="79"/>
    <x v="1355"/>
    <x v="62"/>
    <x v="63"/>
    <x v="1"/>
    <x v="2"/>
    <x v="0"/>
    <x v="0"/>
    <x v="28"/>
    <x v="3"/>
    <x v="9"/>
    <x v="1"/>
  </r>
  <r>
    <s v="TX501704"/>
    <x v="0"/>
    <x v="2"/>
    <n v="19.3"/>
    <x v="1356"/>
    <x v="62"/>
    <x v="63"/>
    <x v="2"/>
    <x v="4"/>
    <x v="0"/>
    <x v="0"/>
    <x v="21"/>
    <x v="3"/>
    <x v="9"/>
    <x v="2"/>
  </r>
  <r>
    <s v="TX501705"/>
    <x v="0"/>
    <x v="0"/>
    <n v="24"/>
    <x v="835"/>
    <x v="62"/>
    <x v="63"/>
    <x v="2"/>
    <x v="1"/>
    <x v="0"/>
    <x v="0"/>
    <x v="1"/>
    <x v="3"/>
    <x v="9"/>
    <x v="2"/>
  </r>
  <r>
    <s v="TX501706"/>
    <x v="6"/>
    <x v="9"/>
    <n v="71.3"/>
    <x v="1357"/>
    <x v="62"/>
    <x v="68"/>
    <x v="2"/>
    <x v="2"/>
    <x v="0"/>
    <x v="0"/>
    <x v="2"/>
    <x v="2"/>
    <x v="9"/>
    <x v="2"/>
  </r>
  <r>
    <s v="TX501707"/>
    <x v="5"/>
    <x v="1"/>
    <n v="166.2"/>
    <x v="1358"/>
    <x v="62"/>
    <x v="63"/>
    <x v="1"/>
    <x v="0"/>
    <x v="2"/>
    <x v="0"/>
    <x v="50"/>
    <x v="3"/>
    <x v="9"/>
    <x v="1"/>
  </r>
  <r>
    <s v="TX501708"/>
    <x v="6"/>
    <x v="0"/>
    <n v="81"/>
    <x v="969"/>
    <x v="62"/>
    <x v="63"/>
    <x v="2"/>
    <x v="2"/>
    <x v="1"/>
    <x v="0"/>
    <x v="3"/>
    <x v="3"/>
    <x v="9"/>
    <x v="2"/>
  </r>
  <r>
    <s v="TX501709"/>
    <x v="10"/>
    <x v="13"/>
    <n v="38.5"/>
    <x v="1359"/>
    <x v="62"/>
    <x v="70"/>
    <x v="2"/>
    <x v="0"/>
    <x v="0"/>
    <x v="0"/>
    <x v="3"/>
    <x v="5"/>
    <x v="9"/>
    <x v="2"/>
  </r>
  <r>
    <s v="TX501710"/>
    <x v="6"/>
    <x v="0"/>
    <n v="86.1"/>
    <x v="1360"/>
    <x v="62"/>
    <x v="66"/>
    <x v="2"/>
    <x v="3"/>
    <x v="0"/>
    <x v="0"/>
    <x v="3"/>
    <x v="1"/>
    <x v="9"/>
    <x v="2"/>
  </r>
  <r>
    <s v="TX501711"/>
    <x v="2"/>
    <x v="9"/>
    <n v="51"/>
    <x v="951"/>
    <x v="62"/>
    <x v="63"/>
    <x v="1"/>
    <x v="0"/>
    <x v="1"/>
    <x v="0"/>
    <x v="3"/>
    <x v="3"/>
    <x v="9"/>
    <x v="1"/>
  </r>
  <r>
    <s v="TX501712"/>
    <x v="3"/>
    <x v="9"/>
    <n v="115.4"/>
    <x v="1361"/>
    <x v="62"/>
    <x v="63"/>
    <x v="1"/>
    <x v="0"/>
    <x v="0"/>
    <x v="0"/>
    <x v="3"/>
    <x v="3"/>
    <x v="9"/>
    <x v="1"/>
  </r>
  <r>
    <s v="TX501713"/>
    <x v="6"/>
    <x v="12"/>
    <n v="176.5"/>
    <x v="1362"/>
    <x v="62"/>
    <x v="63"/>
    <x v="2"/>
    <x v="2"/>
    <x v="2"/>
    <x v="0"/>
    <x v="3"/>
    <x v="3"/>
    <x v="9"/>
    <x v="2"/>
  </r>
  <r>
    <s v="TX501714"/>
    <x v="7"/>
    <x v="2"/>
    <n v="48.9"/>
    <x v="1363"/>
    <x v="62"/>
    <x v="63"/>
    <x v="1"/>
    <x v="4"/>
    <x v="0"/>
    <x v="0"/>
    <x v="3"/>
    <x v="3"/>
    <x v="9"/>
    <x v="1"/>
  </r>
  <r>
    <s v="TX501715"/>
    <x v="8"/>
    <x v="2"/>
    <n v="18.100000000000001"/>
    <x v="1364"/>
    <x v="62"/>
    <x v="71"/>
    <x v="2"/>
    <x v="1"/>
    <x v="2"/>
    <x v="0"/>
    <x v="29"/>
    <x v="6"/>
    <x v="9"/>
    <x v="2"/>
  </r>
  <r>
    <s v="TX501716"/>
    <x v="2"/>
    <x v="1"/>
    <n v="118.5"/>
    <x v="1365"/>
    <x v="62"/>
    <x v="68"/>
    <x v="1"/>
    <x v="1"/>
    <x v="2"/>
    <x v="0"/>
    <x v="16"/>
    <x v="2"/>
    <x v="9"/>
    <x v="1"/>
  </r>
  <r>
    <s v="TX501717"/>
    <x v="15"/>
    <x v="3"/>
    <n v="59.1"/>
    <x v="1366"/>
    <x v="62"/>
    <x v="63"/>
    <x v="2"/>
    <x v="3"/>
    <x v="0"/>
    <x v="0"/>
    <x v="25"/>
    <x v="3"/>
    <x v="9"/>
    <x v="2"/>
  </r>
  <r>
    <s v="TX501718"/>
    <x v="4"/>
    <x v="0"/>
    <n v="21.2"/>
    <x v="333"/>
    <x v="62"/>
    <x v="63"/>
    <x v="2"/>
    <x v="0"/>
    <x v="1"/>
    <x v="0"/>
    <x v="6"/>
    <x v="3"/>
    <x v="9"/>
    <x v="2"/>
  </r>
  <r>
    <s v="TX501719"/>
    <x v="6"/>
    <x v="1"/>
    <n v="68.8"/>
    <x v="1367"/>
    <x v="62"/>
    <x v="60"/>
    <x v="2"/>
    <x v="3"/>
    <x v="2"/>
    <x v="0"/>
    <x v="6"/>
    <x v="0"/>
    <x v="9"/>
    <x v="2"/>
  </r>
  <r>
    <s v="TX501720"/>
    <x v="6"/>
    <x v="1"/>
    <n v="65.400000000000006"/>
    <x v="1272"/>
    <x v="62"/>
    <x v="70"/>
    <x v="2"/>
    <x v="0"/>
    <x v="0"/>
    <x v="0"/>
    <x v="6"/>
    <x v="5"/>
    <x v="9"/>
    <x v="2"/>
  </r>
  <r>
    <s v="TX501721"/>
    <x v="12"/>
    <x v="9"/>
    <n v="66.3"/>
    <x v="1278"/>
    <x v="63"/>
    <x v="70"/>
    <x v="2"/>
    <x v="4"/>
    <x v="0"/>
    <x v="0"/>
    <x v="6"/>
    <x v="2"/>
    <x v="9"/>
    <x v="2"/>
  </r>
  <r>
    <s v="TX501722"/>
    <x v="6"/>
    <x v="2"/>
    <n v="97.5"/>
    <x v="1368"/>
    <x v="63"/>
    <x v="63"/>
    <x v="1"/>
    <x v="3"/>
    <x v="0"/>
    <x v="0"/>
    <x v="8"/>
    <x v="7"/>
    <x v="9"/>
    <x v="1"/>
  </r>
  <r>
    <s v="TX501723"/>
    <x v="1"/>
    <x v="1"/>
    <n v="44"/>
    <x v="1155"/>
    <x v="63"/>
    <x v="70"/>
    <x v="2"/>
    <x v="1"/>
    <x v="2"/>
    <x v="0"/>
    <x v="8"/>
    <x v="2"/>
    <x v="9"/>
    <x v="2"/>
  </r>
  <r>
    <s v="TX501724"/>
    <x v="0"/>
    <x v="0"/>
    <n v="21.9"/>
    <x v="731"/>
    <x v="63"/>
    <x v="66"/>
    <x v="1"/>
    <x v="0"/>
    <x v="0"/>
    <x v="0"/>
    <x v="8"/>
    <x v="3"/>
    <x v="9"/>
    <x v="1"/>
  </r>
  <r>
    <s v="TX501725"/>
    <x v="4"/>
    <x v="3"/>
    <n v="21.5"/>
    <x v="379"/>
    <x v="63"/>
    <x v="68"/>
    <x v="2"/>
    <x v="1"/>
    <x v="2"/>
    <x v="0"/>
    <x v="9"/>
    <x v="1"/>
    <x v="9"/>
    <x v="2"/>
  </r>
  <r>
    <s v="TX501726"/>
    <x v="12"/>
    <x v="13"/>
    <n v="133"/>
    <x v="1369"/>
    <x v="63"/>
    <x v="66"/>
    <x v="3"/>
    <x v="0"/>
    <x v="2"/>
    <x v="0"/>
    <x v="10"/>
    <x v="3"/>
    <x v="9"/>
    <x v="3"/>
  </r>
  <r>
    <s v="TX501727"/>
    <x v="8"/>
    <x v="1"/>
    <n v="47.7"/>
    <x v="233"/>
    <x v="63"/>
    <x v="60"/>
    <x v="1"/>
    <x v="0"/>
    <x v="2"/>
    <x v="0"/>
    <x v="10"/>
    <x v="5"/>
    <x v="9"/>
    <x v="1"/>
  </r>
  <r>
    <s v="TX501728"/>
    <x v="16"/>
    <x v="2"/>
    <n v="58.1"/>
    <x v="889"/>
    <x v="63"/>
    <x v="66"/>
    <x v="2"/>
    <x v="0"/>
    <x v="0"/>
    <x v="0"/>
    <x v="11"/>
    <x v="3"/>
    <x v="9"/>
    <x v="2"/>
  </r>
  <r>
    <s v="TX501729"/>
    <x v="12"/>
    <x v="12"/>
    <n v="66.599999999999994"/>
    <x v="1370"/>
    <x v="63"/>
    <x v="66"/>
    <x v="0"/>
    <x v="0"/>
    <x v="0"/>
    <x v="0"/>
    <x v="11"/>
    <x v="3"/>
    <x v="9"/>
    <x v="0"/>
  </r>
  <r>
    <s v="TX501730"/>
    <x v="9"/>
    <x v="0"/>
    <n v="24.1"/>
    <x v="1057"/>
    <x v="63"/>
    <x v="70"/>
    <x v="1"/>
    <x v="2"/>
    <x v="1"/>
    <x v="0"/>
    <x v="19"/>
    <x v="2"/>
    <x v="9"/>
    <x v="1"/>
  </r>
  <r>
    <s v="TX501731"/>
    <x v="10"/>
    <x v="9"/>
    <n v="51.5"/>
    <x v="1371"/>
    <x v="63"/>
    <x v="65"/>
    <x v="2"/>
    <x v="0"/>
    <x v="0"/>
    <x v="0"/>
    <x v="13"/>
    <x v="0"/>
    <x v="9"/>
    <x v="2"/>
  </r>
  <r>
    <s v="TX501732"/>
    <x v="0"/>
    <x v="5"/>
    <n v="25.8"/>
    <x v="674"/>
    <x v="63"/>
    <x v="60"/>
    <x v="2"/>
    <x v="3"/>
    <x v="4"/>
    <x v="0"/>
    <x v="21"/>
    <x v="5"/>
    <x v="9"/>
    <x v="2"/>
  </r>
  <r>
    <s v="TX501733"/>
    <x v="9"/>
    <x v="12"/>
    <n v="47.7"/>
    <x v="1372"/>
    <x v="63"/>
    <x v="63"/>
    <x v="2"/>
    <x v="0"/>
    <x v="1"/>
    <x v="0"/>
    <x v="21"/>
    <x v="7"/>
    <x v="9"/>
    <x v="2"/>
  </r>
  <r>
    <s v="TX501734"/>
    <x v="7"/>
    <x v="9"/>
    <n v="73.599999999999994"/>
    <x v="1373"/>
    <x v="63"/>
    <x v="60"/>
    <x v="1"/>
    <x v="1"/>
    <x v="0"/>
    <x v="0"/>
    <x v="21"/>
    <x v="5"/>
    <x v="9"/>
    <x v="1"/>
  </r>
  <r>
    <s v="TX501735"/>
    <x v="5"/>
    <x v="3"/>
    <n v="91.2"/>
    <x v="1374"/>
    <x v="63"/>
    <x v="66"/>
    <x v="1"/>
    <x v="1"/>
    <x v="2"/>
    <x v="0"/>
    <x v="21"/>
    <x v="3"/>
    <x v="9"/>
    <x v="1"/>
  </r>
  <r>
    <s v="TX501736"/>
    <x v="1"/>
    <x v="8"/>
    <n v="36.200000000000003"/>
    <x v="1375"/>
    <x v="63"/>
    <x v="63"/>
    <x v="1"/>
    <x v="2"/>
    <x v="2"/>
    <x v="0"/>
    <x v="1"/>
    <x v="7"/>
    <x v="9"/>
    <x v="1"/>
  </r>
  <r>
    <s v="TX501737"/>
    <x v="9"/>
    <x v="8"/>
    <n v="98"/>
    <x v="1376"/>
    <x v="63"/>
    <x v="60"/>
    <x v="2"/>
    <x v="2"/>
    <x v="0"/>
    <x v="0"/>
    <x v="2"/>
    <x v="5"/>
    <x v="9"/>
    <x v="2"/>
  </r>
  <r>
    <s v="TX501738"/>
    <x v="1"/>
    <x v="8"/>
    <n v="43.6"/>
    <x v="1377"/>
    <x v="63"/>
    <x v="66"/>
    <x v="2"/>
    <x v="2"/>
    <x v="0"/>
    <x v="0"/>
    <x v="22"/>
    <x v="3"/>
    <x v="9"/>
    <x v="2"/>
  </r>
  <r>
    <s v="TX501739"/>
    <x v="8"/>
    <x v="7"/>
    <n v="37.799999999999997"/>
    <x v="1378"/>
    <x v="63"/>
    <x v="63"/>
    <x v="3"/>
    <x v="0"/>
    <x v="0"/>
    <x v="0"/>
    <x v="50"/>
    <x v="7"/>
    <x v="9"/>
    <x v="3"/>
  </r>
  <r>
    <s v="TX501740"/>
    <x v="17"/>
    <x v="9"/>
    <n v="63.7"/>
    <x v="46"/>
    <x v="63"/>
    <x v="70"/>
    <x v="2"/>
    <x v="2"/>
    <x v="1"/>
    <x v="0"/>
    <x v="3"/>
    <x v="2"/>
    <x v="9"/>
    <x v="2"/>
  </r>
  <r>
    <s v="TX501741"/>
    <x v="5"/>
    <x v="11"/>
    <n v="62.9"/>
    <x v="1379"/>
    <x v="63"/>
    <x v="65"/>
    <x v="1"/>
    <x v="3"/>
    <x v="2"/>
    <x v="0"/>
    <x v="3"/>
    <x v="0"/>
    <x v="9"/>
    <x v="1"/>
  </r>
  <r>
    <s v="TX501742"/>
    <x v="6"/>
    <x v="3"/>
    <n v="61.7"/>
    <x v="245"/>
    <x v="63"/>
    <x v="70"/>
    <x v="2"/>
    <x v="2"/>
    <x v="2"/>
    <x v="0"/>
    <x v="3"/>
    <x v="2"/>
    <x v="9"/>
    <x v="2"/>
  </r>
  <r>
    <s v="TX501743"/>
    <x v="18"/>
    <x v="21"/>
    <n v="36.5"/>
    <x v="1380"/>
    <x v="63"/>
    <x v="66"/>
    <x v="1"/>
    <x v="0"/>
    <x v="2"/>
    <x v="0"/>
    <x v="3"/>
    <x v="3"/>
    <x v="9"/>
    <x v="1"/>
  </r>
  <r>
    <s v="TX501744"/>
    <x v="11"/>
    <x v="2"/>
    <n v="98.6"/>
    <x v="1381"/>
    <x v="63"/>
    <x v="70"/>
    <x v="3"/>
    <x v="0"/>
    <x v="4"/>
    <x v="0"/>
    <x v="3"/>
    <x v="2"/>
    <x v="9"/>
    <x v="3"/>
  </r>
  <r>
    <s v="TX501745"/>
    <x v="8"/>
    <x v="1"/>
    <n v="19.2"/>
    <x v="1139"/>
    <x v="63"/>
    <x v="72"/>
    <x v="1"/>
    <x v="0"/>
    <x v="0"/>
    <x v="0"/>
    <x v="3"/>
    <x v="14"/>
    <x v="9"/>
    <x v="1"/>
  </r>
  <r>
    <s v="TX501746"/>
    <x v="3"/>
    <x v="13"/>
    <n v="55.6"/>
    <x v="335"/>
    <x v="63"/>
    <x v="60"/>
    <x v="2"/>
    <x v="0"/>
    <x v="2"/>
    <x v="0"/>
    <x v="3"/>
    <x v="5"/>
    <x v="9"/>
    <x v="2"/>
  </r>
  <r>
    <s v="TX501747"/>
    <x v="5"/>
    <x v="13"/>
    <n v="56.4"/>
    <x v="1382"/>
    <x v="63"/>
    <x v="66"/>
    <x v="2"/>
    <x v="1"/>
    <x v="0"/>
    <x v="0"/>
    <x v="3"/>
    <x v="3"/>
    <x v="9"/>
    <x v="2"/>
  </r>
  <r>
    <s v="TX501748"/>
    <x v="4"/>
    <x v="8"/>
    <n v="43.1"/>
    <x v="1383"/>
    <x v="63"/>
    <x v="60"/>
    <x v="2"/>
    <x v="4"/>
    <x v="0"/>
    <x v="0"/>
    <x v="3"/>
    <x v="5"/>
    <x v="9"/>
    <x v="2"/>
  </r>
  <r>
    <s v="TX501749"/>
    <x v="1"/>
    <x v="1"/>
    <n v="77.3"/>
    <x v="1384"/>
    <x v="63"/>
    <x v="68"/>
    <x v="1"/>
    <x v="0"/>
    <x v="0"/>
    <x v="0"/>
    <x v="6"/>
    <x v="1"/>
    <x v="9"/>
    <x v="1"/>
  </r>
  <r>
    <s v="TX501750"/>
    <x v="9"/>
    <x v="8"/>
    <n v="38.299999999999997"/>
    <x v="1347"/>
    <x v="63"/>
    <x v="66"/>
    <x v="1"/>
    <x v="0"/>
    <x v="0"/>
    <x v="0"/>
    <x v="7"/>
    <x v="3"/>
    <x v="9"/>
    <x v="1"/>
  </r>
  <r>
    <s v="TX501751"/>
    <x v="0"/>
    <x v="3"/>
    <n v="16.8"/>
    <x v="557"/>
    <x v="63"/>
    <x v="70"/>
    <x v="1"/>
    <x v="2"/>
    <x v="1"/>
    <x v="0"/>
    <x v="8"/>
    <x v="2"/>
    <x v="9"/>
    <x v="1"/>
  </r>
  <r>
    <s v="TX501752"/>
    <x v="2"/>
    <x v="2"/>
    <n v="63.2"/>
    <x v="1385"/>
    <x v="63"/>
    <x v="66"/>
    <x v="2"/>
    <x v="0"/>
    <x v="2"/>
    <x v="0"/>
    <x v="8"/>
    <x v="3"/>
    <x v="9"/>
    <x v="2"/>
  </r>
  <r>
    <s v="TX501753"/>
    <x v="14"/>
    <x v="44"/>
    <n v="39.700000000000003"/>
    <x v="1386"/>
    <x v="63"/>
    <x v="66"/>
    <x v="1"/>
    <x v="0"/>
    <x v="0"/>
    <x v="0"/>
    <x v="8"/>
    <x v="3"/>
    <x v="9"/>
    <x v="1"/>
  </r>
  <r>
    <s v="TX501754"/>
    <x v="10"/>
    <x v="2"/>
    <n v="45.8"/>
    <x v="1387"/>
    <x v="63"/>
    <x v="66"/>
    <x v="2"/>
    <x v="1"/>
    <x v="2"/>
    <x v="0"/>
    <x v="8"/>
    <x v="3"/>
    <x v="9"/>
    <x v="2"/>
  </r>
  <r>
    <s v="TX501755"/>
    <x v="0"/>
    <x v="13"/>
    <n v="12.4"/>
    <x v="610"/>
    <x v="63"/>
    <x v="70"/>
    <x v="1"/>
    <x v="0"/>
    <x v="0"/>
    <x v="0"/>
    <x v="8"/>
    <x v="2"/>
    <x v="9"/>
    <x v="1"/>
  </r>
  <r>
    <s v="TX501756"/>
    <x v="14"/>
    <x v="2"/>
    <n v="50.8"/>
    <x v="1388"/>
    <x v="64"/>
    <x v="66"/>
    <x v="2"/>
    <x v="4"/>
    <x v="0"/>
    <x v="0"/>
    <x v="17"/>
    <x v="7"/>
    <x v="9"/>
    <x v="2"/>
  </r>
  <r>
    <s v="TX501757"/>
    <x v="9"/>
    <x v="0"/>
    <n v="76"/>
    <x v="998"/>
    <x v="64"/>
    <x v="65"/>
    <x v="3"/>
    <x v="2"/>
    <x v="2"/>
    <x v="0"/>
    <x v="17"/>
    <x v="5"/>
    <x v="9"/>
    <x v="3"/>
  </r>
  <r>
    <s v="TX501758"/>
    <x v="1"/>
    <x v="1"/>
    <n v="51.9"/>
    <x v="1389"/>
    <x v="64"/>
    <x v="68"/>
    <x v="1"/>
    <x v="1"/>
    <x v="2"/>
    <x v="0"/>
    <x v="26"/>
    <x v="3"/>
    <x v="9"/>
    <x v="1"/>
  </r>
  <r>
    <s v="TX501759"/>
    <x v="2"/>
    <x v="1"/>
    <n v="93.4"/>
    <x v="1390"/>
    <x v="64"/>
    <x v="64"/>
    <x v="1"/>
    <x v="0"/>
    <x v="3"/>
    <x v="0"/>
    <x v="11"/>
    <x v="6"/>
    <x v="9"/>
    <x v="1"/>
  </r>
  <r>
    <s v="TX501760"/>
    <x v="7"/>
    <x v="13"/>
    <n v="30.8"/>
    <x v="827"/>
    <x v="64"/>
    <x v="60"/>
    <x v="2"/>
    <x v="1"/>
    <x v="0"/>
    <x v="0"/>
    <x v="11"/>
    <x v="2"/>
    <x v="9"/>
    <x v="2"/>
  </r>
  <r>
    <s v="TX501761"/>
    <x v="2"/>
    <x v="0"/>
    <n v="143.19999999999999"/>
    <x v="1391"/>
    <x v="64"/>
    <x v="60"/>
    <x v="1"/>
    <x v="2"/>
    <x v="0"/>
    <x v="0"/>
    <x v="11"/>
    <x v="2"/>
    <x v="9"/>
    <x v="1"/>
  </r>
  <r>
    <s v="TX501762"/>
    <x v="6"/>
    <x v="5"/>
    <n v="40.4"/>
    <x v="1392"/>
    <x v="64"/>
    <x v="70"/>
    <x v="1"/>
    <x v="2"/>
    <x v="2"/>
    <x v="0"/>
    <x v="18"/>
    <x v="1"/>
    <x v="9"/>
    <x v="1"/>
  </r>
  <r>
    <s v="TX501763"/>
    <x v="2"/>
    <x v="10"/>
    <n v="131.5"/>
    <x v="1393"/>
    <x v="64"/>
    <x v="70"/>
    <x v="1"/>
    <x v="1"/>
    <x v="1"/>
    <x v="0"/>
    <x v="18"/>
    <x v="1"/>
    <x v="9"/>
    <x v="1"/>
  </r>
  <r>
    <s v="TX501764"/>
    <x v="18"/>
    <x v="3"/>
    <n v="61.6"/>
    <x v="348"/>
    <x v="64"/>
    <x v="68"/>
    <x v="1"/>
    <x v="2"/>
    <x v="0"/>
    <x v="0"/>
    <x v="21"/>
    <x v="3"/>
    <x v="9"/>
    <x v="1"/>
  </r>
  <r>
    <s v="TX501765"/>
    <x v="9"/>
    <x v="9"/>
    <n v="32.700000000000003"/>
    <x v="838"/>
    <x v="64"/>
    <x v="70"/>
    <x v="1"/>
    <x v="2"/>
    <x v="0"/>
    <x v="0"/>
    <x v="1"/>
    <x v="1"/>
    <x v="9"/>
    <x v="1"/>
  </r>
  <r>
    <s v="TX501766"/>
    <x v="0"/>
    <x v="7"/>
    <n v="13.7"/>
    <x v="383"/>
    <x v="64"/>
    <x v="68"/>
    <x v="1"/>
    <x v="0"/>
    <x v="2"/>
    <x v="0"/>
    <x v="3"/>
    <x v="3"/>
    <x v="9"/>
    <x v="1"/>
  </r>
  <r>
    <s v="TX501767"/>
    <x v="0"/>
    <x v="12"/>
    <n v="32.1"/>
    <x v="58"/>
    <x v="64"/>
    <x v="68"/>
    <x v="1"/>
    <x v="4"/>
    <x v="1"/>
    <x v="0"/>
    <x v="3"/>
    <x v="3"/>
    <x v="9"/>
    <x v="1"/>
  </r>
  <r>
    <s v="TX501768"/>
    <x v="14"/>
    <x v="8"/>
    <n v="12"/>
    <x v="854"/>
    <x v="64"/>
    <x v="68"/>
    <x v="1"/>
    <x v="1"/>
    <x v="0"/>
    <x v="0"/>
    <x v="24"/>
    <x v="3"/>
    <x v="9"/>
    <x v="1"/>
  </r>
  <r>
    <s v="TX501769"/>
    <x v="12"/>
    <x v="0"/>
    <n v="64.3"/>
    <x v="1394"/>
    <x v="64"/>
    <x v="70"/>
    <x v="2"/>
    <x v="2"/>
    <x v="2"/>
    <x v="0"/>
    <x v="6"/>
    <x v="1"/>
    <x v="9"/>
    <x v="2"/>
  </r>
  <r>
    <s v="TX501770"/>
    <x v="1"/>
    <x v="2"/>
    <n v="58.2"/>
    <x v="1395"/>
    <x v="64"/>
    <x v="70"/>
    <x v="2"/>
    <x v="1"/>
    <x v="2"/>
    <x v="0"/>
    <x v="6"/>
    <x v="1"/>
    <x v="9"/>
    <x v="2"/>
  </r>
  <r>
    <s v="TX501771"/>
    <x v="6"/>
    <x v="12"/>
    <n v="59.2"/>
    <x v="1396"/>
    <x v="64"/>
    <x v="66"/>
    <x v="1"/>
    <x v="1"/>
    <x v="2"/>
    <x v="0"/>
    <x v="6"/>
    <x v="7"/>
    <x v="9"/>
    <x v="1"/>
  </r>
  <r>
    <s v="TX501772"/>
    <x v="10"/>
    <x v="5"/>
    <n v="35.6"/>
    <x v="590"/>
    <x v="64"/>
    <x v="64"/>
    <x v="1"/>
    <x v="0"/>
    <x v="2"/>
    <x v="0"/>
    <x v="8"/>
    <x v="6"/>
    <x v="9"/>
    <x v="1"/>
  </r>
  <r>
    <s v="TX501773"/>
    <x v="16"/>
    <x v="8"/>
    <n v="37"/>
    <x v="1397"/>
    <x v="64"/>
    <x v="65"/>
    <x v="2"/>
    <x v="2"/>
    <x v="1"/>
    <x v="0"/>
    <x v="8"/>
    <x v="5"/>
    <x v="9"/>
    <x v="2"/>
  </r>
  <r>
    <s v="TX501774"/>
    <x v="1"/>
    <x v="15"/>
    <n v="80.8"/>
    <x v="1398"/>
    <x v="64"/>
    <x v="70"/>
    <x v="2"/>
    <x v="0"/>
    <x v="0"/>
    <x v="0"/>
    <x v="8"/>
    <x v="1"/>
    <x v="9"/>
    <x v="2"/>
  </r>
  <r>
    <s v="TX501775"/>
    <x v="8"/>
    <x v="1"/>
    <n v="63.2"/>
    <x v="628"/>
    <x v="64"/>
    <x v="68"/>
    <x v="1"/>
    <x v="0"/>
    <x v="1"/>
    <x v="0"/>
    <x v="8"/>
    <x v="3"/>
    <x v="9"/>
    <x v="1"/>
  </r>
  <r>
    <s v="TX501776"/>
    <x v="3"/>
    <x v="1"/>
    <n v="40.799999999999997"/>
    <x v="330"/>
    <x v="64"/>
    <x v="70"/>
    <x v="1"/>
    <x v="0"/>
    <x v="1"/>
    <x v="0"/>
    <x v="17"/>
    <x v="1"/>
    <x v="9"/>
    <x v="1"/>
  </r>
  <r>
    <s v="TX501777"/>
    <x v="13"/>
    <x v="13"/>
    <n v="25.7"/>
    <x v="1399"/>
    <x v="64"/>
    <x v="70"/>
    <x v="1"/>
    <x v="4"/>
    <x v="0"/>
    <x v="0"/>
    <x v="18"/>
    <x v="1"/>
    <x v="9"/>
    <x v="1"/>
  </r>
  <r>
    <s v="TX501778"/>
    <x v="16"/>
    <x v="1"/>
    <n v="49.9"/>
    <x v="350"/>
    <x v="64"/>
    <x v="60"/>
    <x v="1"/>
    <x v="0"/>
    <x v="0"/>
    <x v="0"/>
    <x v="20"/>
    <x v="2"/>
    <x v="9"/>
    <x v="1"/>
  </r>
  <r>
    <s v="TX501779"/>
    <x v="8"/>
    <x v="1"/>
    <n v="20.2"/>
    <x v="1400"/>
    <x v="64"/>
    <x v="70"/>
    <x v="2"/>
    <x v="3"/>
    <x v="0"/>
    <x v="0"/>
    <x v="21"/>
    <x v="1"/>
    <x v="9"/>
    <x v="2"/>
  </r>
  <r>
    <s v="TX501780"/>
    <x v="6"/>
    <x v="2"/>
    <n v="48.4"/>
    <x v="1401"/>
    <x v="64"/>
    <x v="71"/>
    <x v="2"/>
    <x v="0"/>
    <x v="2"/>
    <x v="0"/>
    <x v="21"/>
    <x v="0"/>
    <x v="9"/>
    <x v="2"/>
  </r>
  <r>
    <s v="TX501781"/>
    <x v="6"/>
    <x v="1"/>
    <n v="81"/>
    <x v="915"/>
    <x v="64"/>
    <x v="68"/>
    <x v="2"/>
    <x v="1"/>
    <x v="2"/>
    <x v="0"/>
    <x v="21"/>
    <x v="3"/>
    <x v="9"/>
    <x v="2"/>
  </r>
  <r>
    <s v="TX501782"/>
    <x v="8"/>
    <x v="13"/>
    <n v="19.899999999999999"/>
    <x v="1402"/>
    <x v="64"/>
    <x v="60"/>
    <x v="2"/>
    <x v="0"/>
    <x v="1"/>
    <x v="0"/>
    <x v="22"/>
    <x v="2"/>
    <x v="9"/>
    <x v="2"/>
  </r>
  <r>
    <s v="TX501783"/>
    <x v="4"/>
    <x v="12"/>
    <n v="32.200000000000003"/>
    <x v="1403"/>
    <x v="64"/>
    <x v="69"/>
    <x v="1"/>
    <x v="0"/>
    <x v="0"/>
    <x v="0"/>
    <x v="22"/>
    <x v="14"/>
    <x v="9"/>
    <x v="1"/>
  </r>
  <r>
    <s v="TX501784"/>
    <x v="5"/>
    <x v="2"/>
    <n v="76.8"/>
    <x v="1404"/>
    <x v="64"/>
    <x v="68"/>
    <x v="2"/>
    <x v="0"/>
    <x v="1"/>
    <x v="0"/>
    <x v="3"/>
    <x v="3"/>
    <x v="9"/>
    <x v="2"/>
  </r>
  <r>
    <s v="TX501785"/>
    <x v="6"/>
    <x v="1"/>
    <n v="41.9"/>
    <x v="1405"/>
    <x v="64"/>
    <x v="70"/>
    <x v="2"/>
    <x v="0"/>
    <x v="0"/>
    <x v="0"/>
    <x v="3"/>
    <x v="1"/>
    <x v="9"/>
    <x v="2"/>
  </r>
  <r>
    <s v="TX501786"/>
    <x v="0"/>
    <x v="3"/>
    <n v="34"/>
    <x v="1248"/>
    <x v="64"/>
    <x v="70"/>
    <x v="2"/>
    <x v="1"/>
    <x v="2"/>
    <x v="0"/>
    <x v="3"/>
    <x v="1"/>
    <x v="9"/>
    <x v="2"/>
  </r>
  <r>
    <s v="TX501787"/>
    <x v="7"/>
    <x v="3"/>
    <n v="61.3"/>
    <x v="1406"/>
    <x v="64"/>
    <x v="66"/>
    <x v="2"/>
    <x v="4"/>
    <x v="2"/>
    <x v="0"/>
    <x v="3"/>
    <x v="7"/>
    <x v="9"/>
    <x v="2"/>
  </r>
  <r>
    <s v="TX501788"/>
    <x v="9"/>
    <x v="0"/>
    <n v="54.7"/>
    <x v="1407"/>
    <x v="65"/>
    <x v="70"/>
    <x v="1"/>
    <x v="0"/>
    <x v="1"/>
    <x v="0"/>
    <x v="3"/>
    <x v="3"/>
    <x v="9"/>
    <x v="1"/>
  </r>
  <r>
    <s v="TX501789"/>
    <x v="6"/>
    <x v="7"/>
    <n v="84.7"/>
    <x v="1408"/>
    <x v="65"/>
    <x v="71"/>
    <x v="2"/>
    <x v="0"/>
    <x v="0"/>
    <x v="0"/>
    <x v="3"/>
    <x v="5"/>
    <x v="9"/>
    <x v="2"/>
  </r>
  <r>
    <s v="TX501790"/>
    <x v="1"/>
    <x v="2"/>
    <n v="93.4"/>
    <x v="1409"/>
    <x v="65"/>
    <x v="71"/>
    <x v="2"/>
    <x v="3"/>
    <x v="0"/>
    <x v="0"/>
    <x v="3"/>
    <x v="5"/>
    <x v="9"/>
    <x v="2"/>
  </r>
  <r>
    <s v="TX501791"/>
    <x v="8"/>
    <x v="9"/>
    <n v="27"/>
    <x v="340"/>
    <x v="65"/>
    <x v="65"/>
    <x v="1"/>
    <x v="0"/>
    <x v="1"/>
    <x v="0"/>
    <x v="3"/>
    <x v="2"/>
    <x v="9"/>
    <x v="1"/>
  </r>
  <r>
    <s v="TX501792"/>
    <x v="0"/>
    <x v="12"/>
    <n v="10.9"/>
    <x v="1195"/>
    <x v="65"/>
    <x v="70"/>
    <x v="1"/>
    <x v="2"/>
    <x v="0"/>
    <x v="0"/>
    <x v="3"/>
    <x v="3"/>
    <x v="9"/>
    <x v="1"/>
  </r>
  <r>
    <s v="TX501793"/>
    <x v="16"/>
    <x v="2"/>
    <n v="48"/>
    <x v="1410"/>
    <x v="65"/>
    <x v="74"/>
    <x v="2"/>
    <x v="4"/>
    <x v="0"/>
    <x v="0"/>
    <x v="3"/>
    <x v="0"/>
    <x v="9"/>
    <x v="2"/>
  </r>
  <r>
    <s v="TX501794"/>
    <x v="5"/>
    <x v="1"/>
    <n v="67.900000000000006"/>
    <x v="1411"/>
    <x v="65"/>
    <x v="70"/>
    <x v="1"/>
    <x v="0"/>
    <x v="2"/>
    <x v="0"/>
    <x v="23"/>
    <x v="3"/>
    <x v="9"/>
    <x v="1"/>
  </r>
  <r>
    <s v="TX501795"/>
    <x v="4"/>
    <x v="2"/>
    <n v="36"/>
    <x v="807"/>
    <x v="65"/>
    <x v="70"/>
    <x v="1"/>
    <x v="1"/>
    <x v="0"/>
    <x v="0"/>
    <x v="6"/>
    <x v="3"/>
    <x v="9"/>
    <x v="1"/>
  </r>
  <r>
    <s v="TX501796"/>
    <x v="2"/>
    <x v="0"/>
    <n v="128.80000000000001"/>
    <x v="1403"/>
    <x v="65"/>
    <x v="70"/>
    <x v="1"/>
    <x v="4"/>
    <x v="2"/>
    <x v="0"/>
    <x v="6"/>
    <x v="3"/>
    <x v="9"/>
    <x v="1"/>
  </r>
  <r>
    <s v="TX501797"/>
    <x v="18"/>
    <x v="3"/>
    <n v="33.299999999999997"/>
    <x v="1412"/>
    <x v="65"/>
    <x v="70"/>
    <x v="2"/>
    <x v="3"/>
    <x v="0"/>
    <x v="0"/>
    <x v="8"/>
    <x v="3"/>
    <x v="9"/>
    <x v="2"/>
  </r>
  <r>
    <s v="TX501798"/>
    <x v="10"/>
    <x v="2"/>
    <n v="37.799999999999997"/>
    <x v="1413"/>
    <x v="65"/>
    <x v="60"/>
    <x v="1"/>
    <x v="1"/>
    <x v="2"/>
    <x v="0"/>
    <x v="8"/>
    <x v="1"/>
    <x v="9"/>
    <x v="1"/>
  </r>
  <r>
    <s v="TX501799"/>
    <x v="5"/>
    <x v="2"/>
    <n v="26"/>
    <x v="292"/>
    <x v="65"/>
    <x v="74"/>
    <x v="2"/>
    <x v="0"/>
    <x v="0"/>
    <x v="0"/>
    <x v="8"/>
    <x v="0"/>
    <x v="9"/>
    <x v="2"/>
  </r>
  <r>
    <s v="TX501800"/>
    <x v="8"/>
    <x v="10"/>
    <n v="28.3"/>
    <x v="1414"/>
    <x v="65"/>
    <x v="70"/>
    <x v="2"/>
    <x v="3"/>
    <x v="4"/>
    <x v="0"/>
    <x v="8"/>
    <x v="3"/>
    <x v="9"/>
    <x v="2"/>
  </r>
  <r>
    <s v="TX501801"/>
    <x v="8"/>
    <x v="12"/>
    <n v="31.3"/>
    <x v="1415"/>
    <x v="65"/>
    <x v="68"/>
    <x v="2"/>
    <x v="0"/>
    <x v="0"/>
    <x v="0"/>
    <x v="8"/>
    <x v="7"/>
    <x v="9"/>
    <x v="2"/>
  </r>
  <r>
    <s v="TX501802"/>
    <x v="7"/>
    <x v="2"/>
    <n v="69.5"/>
    <x v="1416"/>
    <x v="65"/>
    <x v="70"/>
    <x v="2"/>
    <x v="3"/>
    <x v="2"/>
    <x v="0"/>
    <x v="8"/>
    <x v="3"/>
    <x v="9"/>
    <x v="2"/>
  </r>
  <r>
    <s v="TX501803"/>
    <x v="0"/>
    <x v="1"/>
    <n v="16.7"/>
    <x v="1417"/>
    <x v="65"/>
    <x v="70"/>
    <x v="2"/>
    <x v="3"/>
    <x v="1"/>
    <x v="0"/>
    <x v="8"/>
    <x v="3"/>
    <x v="9"/>
    <x v="2"/>
  </r>
  <r>
    <s v="TX501804"/>
    <x v="9"/>
    <x v="1"/>
    <n v="62.6"/>
    <x v="1415"/>
    <x v="65"/>
    <x v="70"/>
    <x v="1"/>
    <x v="2"/>
    <x v="2"/>
    <x v="0"/>
    <x v="9"/>
    <x v="3"/>
    <x v="9"/>
    <x v="1"/>
  </r>
  <r>
    <s v="TX501805"/>
    <x v="7"/>
    <x v="0"/>
    <n v="81.2"/>
    <x v="1101"/>
    <x v="65"/>
    <x v="64"/>
    <x v="1"/>
    <x v="4"/>
    <x v="4"/>
    <x v="0"/>
    <x v="9"/>
    <x v="4"/>
    <x v="9"/>
    <x v="1"/>
  </r>
  <r>
    <s v="TX501806"/>
    <x v="0"/>
    <x v="7"/>
    <n v="12.7"/>
    <x v="520"/>
    <x v="65"/>
    <x v="70"/>
    <x v="2"/>
    <x v="0"/>
    <x v="2"/>
    <x v="0"/>
    <x v="9"/>
    <x v="3"/>
    <x v="9"/>
    <x v="2"/>
  </r>
  <r>
    <s v="TX501807"/>
    <x v="7"/>
    <x v="12"/>
    <n v="77.7"/>
    <x v="1418"/>
    <x v="66"/>
    <x v="74"/>
    <x v="1"/>
    <x v="1"/>
    <x v="0"/>
    <x v="0"/>
    <x v="11"/>
    <x v="5"/>
    <x v="9"/>
    <x v="1"/>
  </r>
  <r>
    <s v="TX501808"/>
    <x v="5"/>
    <x v="1"/>
    <n v="37.299999999999997"/>
    <x v="110"/>
    <x v="66"/>
    <x v="60"/>
    <x v="2"/>
    <x v="0"/>
    <x v="2"/>
    <x v="0"/>
    <x v="18"/>
    <x v="3"/>
    <x v="9"/>
    <x v="2"/>
  </r>
  <r>
    <s v="TX501809"/>
    <x v="10"/>
    <x v="12"/>
    <n v="35.6"/>
    <x v="1419"/>
    <x v="66"/>
    <x v="65"/>
    <x v="2"/>
    <x v="1"/>
    <x v="1"/>
    <x v="0"/>
    <x v="19"/>
    <x v="1"/>
    <x v="9"/>
    <x v="2"/>
  </r>
  <r>
    <s v="TX501810"/>
    <x v="2"/>
    <x v="2"/>
    <n v="95"/>
    <x v="1420"/>
    <x v="66"/>
    <x v="74"/>
    <x v="2"/>
    <x v="2"/>
    <x v="2"/>
    <x v="0"/>
    <x v="56"/>
    <x v="5"/>
    <x v="9"/>
    <x v="2"/>
  </r>
  <r>
    <s v="TX501811"/>
    <x v="2"/>
    <x v="12"/>
    <n v="172.1"/>
    <x v="1421"/>
    <x v="66"/>
    <x v="74"/>
    <x v="3"/>
    <x v="2"/>
    <x v="2"/>
    <x v="0"/>
    <x v="21"/>
    <x v="5"/>
    <x v="9"/>
    <x v="3"/>
  </r>
  <r>
    <s v="TX501812"/>
    <x v="2"/>
    <x v="1"/>
    <n v="233"/>
    <x v="1147"/>
    <x v="66"/>
    <x v="71"/>
    <x v="2"/>
    <x v="1"/>
    <x v="0"/>
    <x v="0"/>
    <x v="21"/>
    <x v="2"/>
    <x v="9"/>
    <x v="2"/>
  </r>
  <r>
    <s v="TX501813"/>
    <x v="0"/>
    <x v="0"/>
    <n v="43.5"/>
    <x v="1422"/>
    <x v="66"/>
    <x v="60"/>
    <x v="2"/>
    <x v="2"/>
    <x v="2"/>
    <x v="0"/>
    <x v="21"/>
    <x v="3"/>
    <x v="9"/>
    <x v="2"/>
  </r>
  <r>
    <s v="TX501814"/>
    <x v="9"/>
    <x v="1"/>
    <n v="47.8"/>
    <x v="139"/>
    <x v="66"/>
    <x v="71"/>
    <x v="1"/>
    <x v="4"/>
    <x v="2"/>
    <x v="0"/>
    <x v="1"/>
    <x v="2"/>
    <x v="9"/>
    <x v="1"/>
  </r>
  <r>
    <s v="TX501815"/>
    <x v="12"/>
    <x v="1"/>
    <n v="65.8"/>
    <x v="1423"/>
    <x v="66"/>
    <x v="65"/>
    <x v="2"/>
    <x v="0"/>
    <x v="3"/>
    <x v="0"/>
    <x v="33"/>
    <x v="1"/>
    <x v="9"/>
    <x v="2"/>
  </r>
  <r>
    <s v="TX501816"/>
    <x v="15"/>
    <x v="5"/>
    <n v="38.700000000000003"/>
    <x v="1424"/>
    <x v="66"/>
    <x v="70"/>
    <x v="1"/>
    <x v="0"/>
    <x v="0"/>
    <x v="0"/>
    <x v="22"/>
    <x v="7"/>
    <x v="9"/>
    <x v="1"/>
  </r>
  <r>
    <s v="TX501817"/>
    <x v="3"/>
    <x v="12"/>
    <n v="55.7"/>
    <x v="839"/>
    <x v="66"/>
    <x v="65"/>
    <x v="3"/>
    <x v="0"/>
    <x v="1"/>
    <x v="0"/>
    <x v="22"/>
    <x v="1"/>
    <x v="9"/>
    <x v="3"/>
  </r>
  <r>
    <s v="TX501818"/>
    <x v="7"/>
    <x v="1"/>
    <n v="102.4"/>
    <x v="403"/>
    <x v="66"/>
    <x v="70"/>
    <x v="2"/>
    <x v="1"/>
    <x v="0"/>
    <x v="0"/>
    <x v="3"/>
    <x v="7"/>
    <x v="9"/>
    <x v="2"/>
  </r>
  <r>
    <s v="TX501819"/>
    <x v="1"/>
    <x v="0"/>
    <n v="92"/>
    <x v="988"/>
    <x v="66"/>
    <x v="74"/>
    <x v="0"/>
    <x v="2"/>
    <x v="0"/>
    <x v="0"/>
    <x v="3"/>
    <x v="5"/>
    <x v="9"/>
    <x v="0"/>
  </r>
  <r>
    <s v="TX501820"/>
    <x v="6"/>
    <x v="12"/>
    <n v="75.900000000000006"/>
    <x v="80"/>
    <x v="66"/>
    <x v="65"/>
    <x v="2"/>
    <x v="1"/>
    <x v="0"/>
    <x v="0"/>
    <x v="3"/>
    <x v="1"/>
    <x v="9"/>
    <x v="2"/>
  </r>
  <r>
    <s v="TX501821"/>
    <x v="1"/>
    <x v="12"/>
    <n v="36.200000000000003"/>
    <x v="353"/>
    <x v="66"/>
    <x v="60"/>
    <x v="2"/>
    <x v="1"/>
    <x v="0"/>
    <x v="0"/>
    <x v="3"/>
    <x v="3"/>
    <x v="9"/>
    <x v="2"/>
  </r>
  <r>
    <s v="TX501822"/>
    <x v="6"/>
    <x v="45"/>
    <n v="83.5"/>
    <x v="1425"/>
    <x v="66"/>
    <x v="65"/>
    <x v="0"/>
    <x v="3"/>
    <x v="0"/>
    <x v="0"/>
    <x v="3"/>
    <x v="1"/>
    <x v="9"/>
    <x v="0"/>
  </r>
  <r>
    <s v="TX501823"/>
    <x v="19"/>
    <x v="4"/>
    <n v="52.4"/>
    <x v="1092"/>
    <x v="66"/>
    <x v="70"/>
    <x v="1"/>
    <x v="2"/>
    <x v="0"/>
    <x v="0"/>
    <x v="3"/>
    <x v="7"/>
    <x v="9"/>
    <x v="1"/>
  </r>
  <r>
    <s v="TX501824"/>
    <x v="12"/>
    <x v="2"/>
    <n v="69.5"/>
    <x v="1416"/>
    <x v="66"/>
    <x v="60"/>
    <x v="3"/>
    <x v="4"/>
    <x v="0"/>
    <x v="0"/>
    <x v="3"/>
    <x v="3"/>
    <x v="9"/>
    <x v="3"/>
  </r>
  <r>
    <s v="TX501825"/>
    <x v="0"/>
    <x v="0"/>
    <n v="15.5"/>
    <x v="1426"/>
    <x v="66"/>
    <x v="65"/>
    <x v="1"/>
    <x v="0"/>
    <x v="0"/>
    <x v="0"/>
    <x v="3"/>
    <x v="1"/>
    <x v="9"/>
    <x v="1"/>
  </r>
  <r>
    <s v="TX501826"/>
    <x v="4"/>
    <x v="12"/>
    <n v="35.200000000000003"/>
    <x v="1427"/>
    <x v="66"/>
    <x v="60"/>
    <x v="2"/>
    <x v="2"/>
    <x v="2"/>
    <x v="0"/>
    <x v="3"/>
    <x v="3"/>
    <x v="9"/>
    <x v="2"/>
  </r>
  <r>
    <s v="TX501827"/>
    <x v="8"/>
    <x v="13"/>
    <n v="34.6"/>
    <x v="1428"/>
    <x v="66"/>
    <x v="60"/>
    <x v="0"/>
    <x v="0"/>
    <x v="1"/>
    <x v="0"/>
    <x v="3"/>
    <x v="3"/>
    <x v="9"/>
    <x v="0"/>
  </r>
  <r>
    <s v="TX501828"/>
    <x v="4"/>
    <x v="0"/>
    <n v="21.3"/>
    <x v="1429"/>
    <x v="67"/>
    <x v="65"/>
    <x v="1"/>
    <x v="2"/>
    <x v="1"/>
    <x v="0"/>
    <x v="3"/>
    <x v="3"/>
    <x v="10"/>
    <x v="1"/>
  </r>
  <r>
    <s v="TX501829"/>
    <x v="6"/>
    <x v="1"/>
    <n v="136.5"/>
    <x v="1430"/>
    <x v="67"/>
    <x v="72"/>
    <x v="2"/>
    <x v="0"/>
    <x v="0"/>
    <x v="0"/>
    <x v="37"/>
    <x v="4"/>
    <x v="10"/>
    <x v="2"/>
  </r>
  <r>
    <s v="TX501830"/>
    <x v="9"/>
    <x v="3"/>
    <n v="30.7"/>
    <x v="1431"/>
    <x v="67"/>
    <x v="65"/>
    <x v="1"/>
    <x v="2"/>
    <x v="2"/>
    <x v="0"/>
    <x v="25"/>
    <x v="3"/>
    <x v="10"/>
    <x v="1"/>
  </r>
  <r>
    <s v="TX501831"/>
    <x v="1"/>
    <x v="1"/>
    <n v="61.6"/>
    <x v="1432"/>
    <x v="67"/>
    <x v="65"/>
    <x v="2"/>
    <x v="2"/>
    <x v="2"/>
    <x v="0"/>
    <x v="23"/>
    <x v="3"/>
    <x v="10"/>
    <x v="2"/>
  </r>
  <r>
    <s v="TX501832"/>
    <x v="6"/>
    <x v="12"/>
    <n v="54.3"/>
    <x v="1433"/>
    <x v="67"/>
    <x v="71"/>
    <x v="0"/>
    <x v="4"/>
    <x v="0"/>
    <x v="0"/>
    <x v="7"/>
    <x v="1"/>
    <x v="10"/>
    <x v="0"/>
  </r>
  <r>
    <s v="TX501833"/>
    <x v="1"/>
    <x v="1"/>
    <n v="44.1"/>
    <x v="1047"/>
    <x v="67"/>
    <x v="75"/>
    <x v="2"/>
    <x v="0"/>
    <x v="2"/>
    <x v="0"/>
    <x v="8"/>
    <x v="13"/>
    <x v="10"/>
    <x v="2"/>
  </r>
  <r>
    <s v="TX501834"/>
    <x v="8"/>
    <x v="12"/>
    <n v="43.5"/>
    <x v="1434"/>
    <x v="67"/>
    <x v="72"/>
    <x v="1"/>
    <x v="3"/>
    <x v="0"/>
    <x v="0"/>
    <x v="8"/>
    <x v="4"/>
    <x v="10"/>
    <x v="1"/>
  </r>
  <r>
    <s v="TX501835"/>
    <x v="8"/>
    <x v="2"/>
    <n v="48.2"/>
    <x v="1435"/>
    <x v="67"/>
    <x v="64"/>
    <x v="1"/>
    <x v="3"/>
    <x v="1"/>
    <x v="0"/>
    <x v="8"/>
    <x v="5"/>
    <x v="10"/>
    <x v="1"/>
  </r>
  <r>
    <s v="TX501836"/>
    <x v="19"/>
    <x v="0"/>
    <n v="13.7"/>
    <x v="1436"/>
    <x v="67"/>
    <x v="65"/>
    <x v="2"/>
    <x v="2"/>
    <x v="2"/>
    <x v="0"/>
    <x v="8"/>
    <x v="3"/>
    <x v="10"/>
    <x v="2"/>
  </r>
  <r>
    <s v="TX501837"/>
    <x v="2"/>
    <x v="1"/>
    <n v="110.5"/>
    <x v="1437"/>
    <x v="67"/>
    <x v="65"/>
    <x v="2"/>
    <x v="0"/>
    <x v="1"/>
    <x v="0"/>
    <x v="8"/>
    <x v="3"/>
    <x v="10"/>
    <x v="2"/>
  </r>
  <r>
    <s v="TX501838"/>
    <x v="8"/>
    <x v="2"/>
    <n v="26"/>
    <x v="292"/>
    <x v="67"/>
    <x v="67"/>
    <x v="2"/>
    <x v="1"/>
    <x v="1"/>
    <x v="0"/>
    <x v="8"/>
    <x v="0"/>
    <x v="10"/>
    <x v="2"/>
  </r>
  <r>
    <s v="TX501839"/>
    <x v="2"/>
    <x v="7"/>
    <n v="140.69999999999999"/>
    <x v="1438"/>
    <x v="67"/>
    <x v="72"/>
    <x v="1"/>
    <x v="3"/>
    <x v="1"/>
    <x v="0"/>
    <x v="8"/>
    <x v="4"/>
    <x v="10"/>
    <x v="1"/>
  </r>
  <r>
    <s v="TX501840"/>
    <x v="17"/>
    <x v="1"/>
    <n v="41.7"/>
    <x v="925"/>
    <x v="67"/>
    <x v="76"/>
    <x v="2"/>
    <x v="0"/>
    <x v="4"/>
    <x v="0"/>
    <x v="8"/>
    <x v="9"/>
    <x v="10"/>
    <x v="2"/>
  </r>
  <r>
    <s v="TX501841"/>
    <x v="2"/>
    <x v="1"/>
    <n v="135.1"/>
    <x v="1439"/>
    <x v="67"/>
    <x v="65"/>
    <x v="1"/>
    <x v="0"/>
    <x v="2"/>
    <x v="0"/>
    <x v="17"/>
    <x v="3"/>
    <x v="10"/>
    <x v="1"/>
  </r>
  <r>
    <s v="TX501842"/>
    <x v="12"/>
    <x v="32"/>
    <n v="95.5"/>
    <x v="1440"/>
    <x v="67"/>
    <x v="65"/>
    <x v="2"/>
    <x v="4"/>
    <x v="4"/>
    <x v="0"/>
    <x v="26"/>
    <x v="3"/>
    <x v="10"/>
    <x v="2"/>
  </r>
  <r>
    <s v="TX501843"/>
    <x v="15"/>
    <x v="0"/>
    <n v="25.5"/>
    <x v="1441"/>
    <x v="67"/>
    <x v="74"/>
    <x v="0"/>
    <x v="2"/>
    <x v="2"/>
    <x v="0"/>
    <x v="11"/>
    <x v="2"/>
    <x v="10"/>
    <x v="0"/>
  </r>
  <r>
    <s v="TX501844"/>
    <x v="1"/>
    <x v="0"/>
    <n v="42.6"/>
    <x v="440"/>
    <x v="67"/>
    <x v="64"/>
    <x v="2"/>
    <x v="0"/>
    <x v="0"/>
    <x v="0"/>
    <x v="11"/>
    <x v="5"/>
    <x v="10"/>
    <x v="2"/>
  </r>
  <r>
    <s v="TX501845"/>
    <x v="8"/>
    <x v="20"/>
    <n v="32.4"/>
    <x v="1442"/>
    <x v="67"/>
    <x v="65"/>
    <x v="1"/>
    <x v="1"/>
    <x v="1"/>
    <x v="0"/>
    <x v="11"/>
    <x v="3"/>
    <x v="10"/>
    <x v="1"/>
  </r>
  <r>
    <s v="TX501846"/>
    <x v="4"/>
    <x v="12"/>
    <n v="20.2"/>
    <x v="1443"/>
    <x v="67"/>
    <x v="65"/>
    <x v="3"/>
    <x v="2"/>
    <x v="0"/>
    <x v="0"/>
    <x v="11"/>
    <x v="3"/>
    <x v="10"/>
    <x v="3"/>
  </r>
  <r>
    <s v="TX501847"/>
    <x v="16"/>
    <x v="2"/>
    <n v="52.5"/>
    <x v="905"/>
    <x v="67"/>
    <x v="67"/>
    <x v="2"/>
    <x v="4"/>
    <x v="0"/>
    <x v="0"/>
    <x v="18"/>
    <x v="0"/>
    <x v="10"/>
    <x v="2"/>
  </r>
  <r>
    <s v="TX501848"/>
    <x v="2"/>
    <x v="9"/>
    <n v="59.9"/>
    <x v="1444"/>
    <x v="67"/>
    <x v="71"/>
    <x v="2"/>
    <x v="2"/>
    <x v="0"/>
    <x v="0"/>
    <x v="19"/>
    <x v="1"/>
    <x v="10"/>
    <x v="2"/>
  </r>
  <r>
    <s v="TX501849"/>
    <x v="4"/>
    <x v="1"/>
    <n v="53.2"/>
    <x v="793"/>
    <x v="67"/>
    <x v="65"/>
    <x v="2"/>
    <x v="1"/>
    <x v="3"/>
    <x v="0"/>
    <x v="20"/>
    <x v="3"/>
    <x v="10"/>
    <x v="2"/>
  </r>
  <r>
    <s v="TX501850"/>
    <x v="2"/>
    <x v="1"/>
    <n v="60"/>
    <x v="160"/>
    <x v="67"/>
    <x v="72"/>
    <x v="1"/>
    <x v="1"/>
    <x v="2"/>
    <x v="0"/>
    <x v="20"/>
    <x v="4"/>
    <x v="10"/>
    <x v="1"/>
  </r>
  <r>
    <s v="TX501851"/>
    <x v="8"/>
    <x v="2"/>
    <n v="29.3"/>
    <x v="1205"/>
    <x v="67"/>
    <x v="65"/>
    <x v="2"/>
    <x v="4"/>
    <x v="0"/>
    <x v="0"/>
    <x v="13"/>
    <x v="3"/>
    <x v="10"/>
    <x v="2"/>
  </r>
  <r>
    <s v="TX501852"/>
    <x v="12"/>
    <x v="1"/>
    <n v="55.4"/>
    <x v="806"/>
    <x v="67"/>
    <x v="65"/>
    <x v="2"/>
    <x v="0"/>
    <x v="2"/>
    <x v="0"/>
    <x v="21"/>
    <x v="3"/>
    <x v="10"/>
    <x v="2"/>
  </r>
  <r>
    <s v="TX501853"/>
    <x v="0"/>
    <x v="9"/>
    <n v="20.100000000000001"/>
    <x v="427"/>
    <x v="67"/>
    <x v="71"/>
    <x v="2"/>
    <x v="1"/>
    <x v="2"/>
    <x v="0"/>
    <x v="21"/>
    <x v="1"/>
    <x v="10"/>
    <x v="2"/>
  </r>
  <r>
    <s v="TX501854"/>
    <x v="14"/>
    <x v="9"/>
    <n v="24"/>
    <x v="160"/>
    <x v="67"/>
    <x v="74"/>
    <x v="1"/>
    <x v="2"/>
    <x v="0"/>
    <x v="0"/>
    <x v="1"/>
    <x v="2"/>
    <x v="10"/>
    <x v="1"/>
  </r>
  <r>
    <s v="TX501855"/>
    <x v="8"/>
    <x v="1"/>
    <n v="30.6"/>
    <x v="1"/>
    <x v="68"/>
    <x v="74"/>
    <x v="2"/>
    <x v="0"/>
    <x v="0"/>
    <x v="0"/>
    <x v="1"/>
    <x v="1"/>
    <x v="10"/>
    <x v="2"/>
  </r>
  <r>
    <s v="TX501856"/>
    <x v="10"/>
    <x v="9"/>
    <n v="33"/>
    <x v="1445"/>
    <x v="68"/>
    <x v="71"/>
    <x v="1"/>
    <x v="1"/>
    <x v="1"/>
    <x v="0"/>
    <x v="27"/>
    <x v="3"/>
    <x v="10"/>
    <x v="1"/>
  </r>
  <r>
    <s v="TX501857"/>
    <x v="17"/>
    <x v="11"/>
    <n v="42.1"/>
    <x v="1258"/>
    <x v="68"/>
    <x v="69"/>
    <x v="2"/>
    <x v="2"/>
    <x v="0"/>
    <x v="0"/>
    <x v="44"/>
    <x v="4"/>
    <x v="10"/>
    <x v="2"/>
  </r>
  <r>
    <s v="TX501858"/>
    <x v="6"/>
    <x v="3"/>
    <n v="77.7"/>
    <x v="1446"/>
    <x v="68"/>
    <x v="72"/>
    <x v="2"/>
    <x v="1"/>
    <x v="2"/>
    <x v="0"/>
    <x v="50"/>
    <x v="0"/>
    <x v="10"/>
    <x v="2"/>
  </r>
  <r>
    <s v="TX501859"/>
    <x v="17"/>
    <x v="13"/>
    <n v="22.7"/>
    <x v="1134"/>
    <x v="68"/>
    <x v="64"/>
    <x v="2"/>
    <x v="2"/>
    <x v="0"/>
    <x v="0"/>
    <x v="3"/>
    <x v="2"/>
    <x v="10"/>
    <x v="2"/>
  </r>
  <r>
    <s v="TX501860"/>
    <x v="2"/>
    <x v="1"/>
    <n v="133"/>
    <x v="751"/>
    <x v="68"/>
    <x v="65"/>
    <x v="1"/>
    <x v="2"/>
    <x v="2"/>
    <x v="0"/>
    <x v="3"/>
    <x v="7"/>
    <x v="10"/>
    <x v="1"/>
  </r>
  <r>
    <s v="TX501861"/>
    <x v="0"/>
    <x v="1"/>
    <n v="23.3"/>
    <x v="1447"/>
    <x v="68"/>
    <x v="71"/>
    <x v="1"/>
    <x v="1"/>
    <x v="2"/>
    <x v="0"/>
    <x v="3"/>
    <x v="3"/>
    <x v="10"/>
    <x v="1"/>
  </r>
  <r>
    <s v="TX501862"/>
    <x v="8"/>
    <x v="2"/>
    <n v="20.7"/>
    <x v="1448"/>
    <x v="68"/>
    <x v="74"/>
    <x v="3"/>
    <x v="0"/>
    <x v="2"/>
    <x v="0"/>
    <x v="3"/>
    <x v="1"/>
    <x v="10"/>
    <x v="3"/>
  </r>
  <r>
    <s v="TX501863"/>
    <x v="12"/>
    <x v="1"/>
    <n v="47"/>
    <x v="255"/>
    <x v="68"/>
    <x v="71"/>
    <x v="1"/>
    <x v="1"/>
    <x v="2"/>
    <x v="0"/>
    <x v="3"/>
    <x v="3"/>
    <x v="10"/>
    <x v="1"/>
  </r>
  <r>
    <s v="TX501864"/>
    <x v="12"/>
    <x v="2"/>
    <n v="38.200000000000003"/>
    <x v="1449"/>
    <x v="68"/>
    <x v="74"/>
    <x v="2"/>
    <x v="2"/>
    <x v="4"/>
    <x v="0"/>
    <x v="3"/>
    <x v="1"/>
    <x v="10"/>
    <x v="2"/>
  </r>
  <r>
    <s v="TX501865"/>
    <x v="9"/>
    <x v="0"/>
    <n v="39.1"/>
    <x v="923"/>
    <x v="68"/>
    <x v="74"/>
    <x v="2"/>
    <x v="0"/>
    <x v="0"/>
    <x v="0"/>
    <x v="3"/>
    <x v="1"/>
    <x v="10"/>
    <x v="2"/>
  </r>
  <r>
    <s v="TX501866"/>
    <x v="7"/>
    <x v="30"/>
    <n v="55.6"/>
    <x v="1450"/>
    <x v="68"/>
    <x v="74"/>
    <x v="1"/>
    <x v="0"/>
    <x v="2"/>
    <x v="0"/>
    <x v="3"/>
    <x v="1"/>
    <x v="10"/>
    <x v="1"/>
  </r>
  <r>
    <s v="TX501867"/>
    <x v="15"/>
    <x v="0"/>
    <n v="43.1"/>
    <x v="39"/>
    <x v="68"/>
    <x v="65"/>
    <x v="3"/>
    <x v="1"/>
    <x v="2"/>
    <x v="0"/>
    <x v="3"/>
    <x v="7"/>
    <x v="10"/>
    <x v="3"/>
  </r>
  <r>
    <s v="TX501868"/>
    <x v="6"/>
    <x v="12"/>
    <n v="48.1"/>
    <x v="1451"/>
    <x v="68"/>
    <x v="71"/>
    <x v="2"/>
    <x v="4"/>
    <x v="2"/>
    <x v="0"/>
    <x v="3"/>
    <x v="3"/>
    <x v="10"/>
    <x v="2"/>
  </r>
  <r>
    <s v="TX501869"/>
    <x v="4"/>
    <x v="0"/>
    <n v="42"/>
    <x v="337"/>
    <x v="68"/>
    <x v="71"/>
    <x v="3"/>
    <x v="0"/>
    <x v="0"/>
    <x v="0"/>
    <x v="3"/>
    <x v="3"/>
    <x v="10"/>
    <x v="3"/>
  </r>
  <r>
    <s v="TX501870"/>
    <x v="8"/>
    <x v="9"/>
    <n v="18.3"/>
    <x v="1058"/>
    <x v="68"/>
    <x v="65"/>
    <x v="2"/>
    <x v="2"/>
    <x v="0"/>
    <x v="0"/>
    <x v="3"/>
    <x v="7"/>
    <x v="10"/>
    <x v="2"/>
  </r>
  <r>
    <s v="TX501871"/>
    <x v="10"/>
    <x v="12"/>
    <n v="45.3"/>
    <x v="1452"/>
    <x v="68"/>
    <x v="64"/>
    <x v="2"/>
    <x v="0"/>
    <x v="2"/>
    <x v="0"/>
    <x v="3"/>
    <x v="2"/>
    <x v="10"/>
    <x v="2"/>
  </r>
  <r>
    <s v="TX501872"/>
    <x v="0"/>
    <x v="1"/>
    <n v="27.6"/>
    <x v="291"/>
    <x v="68"/>
    <x v="74"/>
    <x v="1"/>
    <x v="0"/>
    <x v="2"/>
    <x v="0"/>
    <x v="37"/>
    <x v="1"/>
    <x v="10"/>
    <x v="1"/>
  </r>
  <r>
    <s v="TX501873"/>
    <x v="4"/>
    <x v="9"/>
    <n v="26.9"/>
    <x v="531"/>
    <x v="68"/>
    <x v="71"/>
    <x v="2"/>
    <x v="2"/>
    <x v="0"/>
    <x v="0"/>
    <x v="25"/>
    <x v="3"/>
    <x v="10"/>
    <x v="2"/>
  </r>
  <r>
    <s v="TX501874"/>
    <x v="2"/>
    <x v="11"/>
    <n v="82.4"/>
    <x v="1453"/>
    <x v="68"/>
    <x v="74"/>
    <x v="3"/>
    <x v="2"/>
    <x v="0"/>
    <x v="0"/>
    <x v="5"/>
    <x v="1"/>
    <x v="10"/>
    <x v="3"/>
  </r>
  <r>
    <s v="TX501875"/>
    <x v="6"/>
    <x v="0"/>
    <n v="103.7"/>
    <x v="1454"/>
    <x v="68"/>
    <x v="74"/>
    <x v="2"/>
    <x v="1"/>
    <x v="0"/>
    <x v="0"/>
    <x v="5"/>
    <x v="1"/>
    <x v="10"/>
    <x v="2"/>
  </r>
  <r>
    <s v="TX501876"/>
    <x v="2"/>
    <x v="1"/>
    <n v="58.8"/>
    <x v="833"/>
    <x v="68"/>
    <x v="72"/>
    <x v="2"/>
    <x v="1"/>
    <x v="2"/>
    <x v="0"/>
    <x v="6"/>
    <x v="0"/>
    <x v="10"/>
    <x v="2"/>
  </r>
  <r>
    <s v="TX501877"/>
    <x v="13"/>
    <x v="0"/>
    <n v="31.5"/>
    <x v="1455"/>
    <x v="68"/>
    <x v="71"/>
    <x v="2"/>
    <x v="1"/>
    <x v="1"/>
    <x v="0"/>
    <x v="6"/>
    <x v="3"/>
    <x v="10"/>
    <x v="2"/>
  </r>
  <r>
    <s v="TX501878"/>
    <x v="7"/>
    <x v="9"/>
    <n v="36.799999999999997"/>
    <x v="79"/>
    <x v="68"/>
    <x v="74"/>
    <x v="2"/>
    <x v="0"/>
    <x v="0"/>
    <x v="0"/>
    <x v="8"/>
    <x v="1"/>
    <x v="10"/>
    <x v="2"/>
  </r>
  <r>
    <s v="TX501879"/>
    <x v="3"/>
    <x v="0"/>
    <n v="84.4"/>
    <x v="533"/>
    <x v="68"/>
    <x v="71"/>
    <x v="2"/>
    <x v="0"/>
    <x v="0"/>
    <x v="0"/>
    <x v="8"/>
    <x v="3"/>
    <x v="10"/>
    <x v="2"/>
  </r>
  <r>
    <s v="TX501880"/>
    <x v="14"/>
    <x v="0"/>
    <n v="44.7"/>
    <x v="1456"/>
    <x v="68"/>
    <x v="71"/>
    <x v="1"/>
    <x v="0"/>
    <x v="1"/>
    <x v="0"/>
    <x v="8"/>
    <x v="3"/>
    <x v="10"/>
    <x v="1"/>
  </r>
  <r>
    <s v="TX501881"/>
    <x v="9"/>
    <x v="8"/>
    <n v="39.4"/>
    <x v="895"/>
    <x v="68"/>
    <x v="71"/>
    <x v="2"/>
    <x v="1"/>
    <x v="2"/>
    <x v="0"/>
    <x v="8"/>
    <x v="3"/>
    <x v="10"/>
    <x v="2"/>
  </r>
  <r>
    <s v="TX501882"/>
    <x v="11"/>
    <x v="12"/>
    <n v="34.9"/>
    <x v="1457"/>
    <x v="68"/>
    <x v="74"/>
    <x v="2"/>
    <x v="0"/>
    <x v="2"/>
    <x v="0"/>
    <x v="8"/>
    <x v="1"/>
    <x v="10"/>
    <x v="2"/>
  </r>
  <r>
    <s v="TX501883"/>
    <x v="1"/>
    <x v="2"/>
    <n v="62.3"/>
    <x v="1458"/>
    <x v="68"/>
    <x v="74"/>
    <x v="1"/>
    <x v="4"/>
    <x v="2"/>
    <x v="0"/>
    <x v="8"/>
    <x v="1"/>
    <x v="10"/>
    <x v="1"/>
  </r>
  <r>
    <s v="TX501884"/>
    <x v="8"/>
    <x v="12"/>
    <n v="21.1"/>
    <x v="533"/>
    <x v="68"/>
    <x v="64"/>
    <x v="1"/>
    <x v="3"/>
    <x v="0"/>
    <x v="0"/>
    <x v="8"/>
    <x v="2"/>
    <x v="10"/>
    <x v="1"/>
  </r>
  <r>
    <s v="TX501885"/>
    <x v="8"/>
    <x v="2"/>
    <n v="33.200000000000003"/>
    <x v="1459"/>
    <x v="68"/>
    <x v="77"/>
    <x v="0"/>
    <x v="0"/>
    <x v="4"/>
    <x v="0"/>
    <x v="8"/>
    <x v="12"/>
    <x v="10"/>
    <x v="0"/>
  </r>
  <r>
    <s v="TX501886"/>
    <x v="1"/>
    <x v="12"/>
    <n v="74.5"/>
    <x v="1460"/>
    <x v="68"/>
    <x v="71"/>
    <x v="1"/>
    <x v="4"/>
    <x v="0"/>
    <x v="0"/>
    <x v="8"/>
    <x v="3"/>
    <x v="10"/>
    <x v="1"/>
  </r>
  <r>
    <s v="TX501887"/>
    <x v="10"/>
    <x v="4"/>
    <n v="68.599999999999994"/>
    <x v="1461"/>
    <x v="68"/>
    <x v="64"/>
    <x v="2"/>
    <x v="0"/>
    <x v="2"/>
    <x v="0"/>
    <x v="8"/>
    <x v="2"/>
    <x v="10"/>
    <x v="2"/>
  </r>
  <r>
    <s v="TX501888"/>
    <x v="5"/>
    <x v="21"/>
    <n v="36.4"/>
    <x v="1462"/>
    <x v="68"/>
    <x v="74"/>
    <x v="2"/>
    <x v="0"/>
    <x v="1"/>
    <x v="0"/>
    <x v="9"/>
    <x v="1"/>
    <x v="10"/>
    <x v="2"/>
  </r>
  <r>
    <s v="TX501889"/>
    <x v="16"/>
    <x v="9"/>
    <n v="67.599999999999994"/>
    <x v="1463"/>
    <x v="69"/>
    <x v="67"/>
    <x v="2"/>
    <x v="4"/>
    <x v="1"/>
    <x v="0"/>
    <x v="9"/>
    <x v="2"/>
    <x v="10"/>
    <x v="2"/>
  </r>
  <r>
    <s v="TX501890"/>
    <x v="15"/>
    <x v="0"/>
    <n v="46.3"/>
    <x v="516"/>
    <x v="69"/>
    <x v="74"/>
    <x v="1"/>
    <x v="2"/>
    <x v="0"/>
    <x v="0"/>
    <x v="9"/>
    <x v="3"/>
    <x v="10"/>
    <x v="1"/>
  </r>
  <r>
    <s v="TX501891"/>
    <x v="1"/>
    <x v="2"/>
    <n v="124.2"/>
    <x v="1464"/>
    <x v="69"/>
    <x v="64"/>
    <x v="2"/>
    <x v="1"/>
    <x v="2"/>
    <x v="0"/>
    <x v="11"/>
    <x v="1"/>
    <x v="10"/>
    <x v="2"/>
  </r>
  <r>
    <s v="TX501892"/>
    <x v="10"/>
    <x v="1"/>
    <n v="37"/>
    <x v="372"/>
    <x v="69"/>
    <x v="76"/>
    <x v="1"/>
    <x v="0"/>
    <x v="0"/>
    <x v="0"/>
    <x v="11"/>
    <x v="4"/>
    <x v="10"/>
    <x v="1"/>
  </r>
  <r>
    <s v="TX501893"/>
    <x v="5"/>
    <x v="0"/>
    <n v="41.8"/>
    <x v="1465"/>
    <x v="69"/>
    <x v="74"/>
    <x v="1"/>
    <x v="2"/>
    <x v="0"/>
    <x v="0"/>
    <x v="31"/>
    <x v="3"/>
    <x v="10"/>
    <x v="1"/>
  </r>
  <r>
    <s v="TX501894"/>
    <x v="9"/>
    <x v="1"/>
    <n v="57.2"/>
    <x v="1466"/>
    <x v="69"/>
    <x v="64"/>
    <x v="1"/>
    <x v="2"/>
    <x v="1"/>
    <x v="0"/>
    <x v="20"/>
    <x v="1"/>
    <x v="10"/>
    <x v="1"/>
  </r>
  <r>
    <s v="TX501895"/>
    <x v="6"/>
    <x v="1"/>
    <n v="47.1"/>
    <x v="1467"/>
    <x v="69"/>
    <x v="64"/>
    <x v="2"/>
    <x v="0"/>
    <x v="4"/>
    <x v="0"/>
    <x v="20"/>
    <x v="1"/>
    <x v="10"/>
    <x v="2"/>
  </r>
  <r>
    <s v="TX501896"/>
    <x v="5"/>
    <x v="2"/>
    <n v="86.4"/>
    <x v="1468"/>
    <x v="69"/>
    <x v="74"/>
    <x v="1"/>
    <x v="2"/>
    <x v="1"/>
    <x v="0"/>
    <x v="52"/>
    <x v="3"/>
    <x v="10"/>
    <x v="1"/>
  </r>
  <r>
    <s v="TX501897"/>
    <x v="6"/>
    <x v="9"/>
    <n v="105"/>
    <x v="1469"/>
    <x v="69"/>
    <x v="67"/>
    <x v="1"/>
    <x v="0"/>
    <x v="0"/>
    <x v="0"/>
    <x v="13"/>
    <x v="2"/>
    <x v="10"/>
    <x v="1"/>
  </r>
  <r>
    <s v="TX501898"/>
    <x v="18"/>
    <x v="0"/>
    <n v="33"/>
    <x v="940"/>
    <x v="69"/>
    <x v="67"/>
    <x v="1"/>
    <x v="4"/>
    <x v="0"/>
    <x v="0"/>
    <x v="21"/>
    <x v="2"/>
    <x v="10"/>
    <x v="1"/>
  </r>
  <r>
    <s v="TX501899"/>
    <x v="6"/>
    <x v="9"/>
    <n v="106.6"/>
    <x v="1470"/>
    <x v="69"/>
    <x v="77"/>
    <x v="2"/>
    <x v="2"/>
    <x v="0"/>
    <x v="0"/>
    <x v="1"/>
    <x v="10"/>
    <x v="10"/>
    <x v="2"/>
  </r>
  <r>
    <s v="TX501900"/>
    <x v="10"/>
    <x v="46"/>
    <n v="26.8"/>
    <x v="1471"/>
    <x v="69"/>
    <x v="74"/>
    <x v="2"/>
    <x v="2"/>
    <x v="0"/>
    <x v="0"/>
    <x v="1"/>
    <x v="3"/>
    <x v="10"/>
    <x v="2"/>
  </r>
  <r>
    <s v="TX501901"/>
    <x v="17"/>
    <x v="9"/>
    <n v="25.8"/>
    <x v="309"/>
    <x v="69"/>
    <x v="71"/>
    <x v="2"/>
    <x v="1"/>
    <x v="2"/>
    <x v="0"/>
    <x v="3"/>
    <x v="7"/>
    <x v="10"/>
    <x v="2"/>
  </r>
  <r>
    <s v="TX501902"/>
    <x v="2"/>
    <x v="2"/>
    <n v="217"/>
    <x v="1472"/>
    <x v="69"/>
    <x v="74"/>
    <x v="2"/>
    <x v="1"/>
    <x v="1"/>
    <x v="0"/>
    <x v="3"/>
    <x v="3"/>
    <x v="10"/>
    <x v="2"/>
  </r>
  <r>
    <s v="TX501903"/>
    <x v="2"/>
    <x v="1"/>
    <n v="97.3"/>
    <x v="1473"/>
    <x v="69"/>
    <x v="74"/>
    <x v="1"/>
    <x v="2"/>
    <x v="4"/>
    <x v="0"/>
    <x v="3"/>
    <x v="3"/>
    <x v="10"/>
    <x v="1"/>
  </r>
  <r>
    <s v="TX501904"/>
    <x v="1"/>
    <x v="0"/>
    <n v="49.8"/>
    <x v="1474"/>
    <x v="69"/>
    <x v="74"/>
    <x v="2"/>
    <x v="0"/>
    <x v="0"/>
    <x v="0"/>
    <x v="3"/>
    <x v="3"/>
    <x v="10"/>
    <x v="2"/>
  </r>
  <r>
    <s v="TX501905"/>
    <x v="12"/>
    <x v="9"/>
    <n v="32.6"/>
    <x v="1475"/>
    <x v="69"/>
    <x v="74"/>
    <x v="2"/>
    <x v="0"/>
    <x v="0"/>
    <x v="0"/>
    <x v="3"/>
    <x v="3"/>
    <x v="10"/>
    <x v="2"/>
  </r>
  <r>
    <s v="TX501906"/>
    <x v="9"/>
    <x v="1"/>
    <n v="40.1"/>
    <x v="556"/>
    <x v="69"/>
    <x v="67"/>
    <x v="1"/>
    <x v="1"/>
    <x v="2"/>
    <x v="0"/>
    <x v="3"/>
    <x v="2"/>
    <x v="10"/>
    <x v="1"/>
  </r>
  <r>
    <s v="TX501907"/>
    <x v="10"/>
    <x v="1"/>
    <n v="49.4"/>
    <x v="197"/>
    <x v="69"/>
    <x v="64"/>
    <x v="1"/>
    <x v="1"/>
    <x v="0"/>
    <x v="0"/>
    <x v="3"/>
    <x v="1"/>
    <x v="10"/>
    <x v="1"/>
  </r>
  <r>
    <s v="TX501908"/>
    <x v="2"/>
    <x v="0"/>
    <n v="67.3"/>
    <x v="1476"/>
    <x v="69"/>
    <x v="74"/>
    <x v="2"/>
    <x v="0"/>
    <x v="2"/>
    <x v="0"/>
    <x v="3"/>
    <x v="3"/>
    <x v="10"/>
    <x v="2"/>
  </r>
  <r>
    <s v="TX501909"/>
    <x v="18"/>
    <x v="12"/>
    <n v="44.5"/>
    <x v="394"/>
    <x v="69"/>
    <x v="67"/>
    <x v="0"/>
    <x v="1"/>
    <x v="0"/>
    <x v="0"/>
    <x v="3"/>
    <x v="2"/>
    <x v="10"/>
    <x v="0"/>
  </r>
  <r>
    <s v="TX501910"/>
    <x v="6"/>
    <x v="5"/>
    <n v="111.1"/>
    <x v="1477"/>
    <x v="69"/>
    <x v="74"/>
    <x v="2"/>
    <x v="4"/>
    <x v="0"/>
    <x v="0"/>
    <x v="3"/>
    <x v="3"/>
    <x v="10"/>
    <x v="2"/>
  </r>
  <r>
    <s v="TX501911"/>
    <x v="8"/>
    <x v="2"/>
    <n v="19.7"/>
    <x v="1478"/>
    <x v="69"/>
    <x v="74"/>
    <x v="2"/>
    <x v="4"/>
    <x v="4"/>
    <x v="0"/>
    <x v="3"/>
    <x v="3"/>
    <x v="10"/>
    <x v="2"/>
  </r>
  <r>
    <s v="TX501912"/>
    <x v="1"/>
    <x v="0"/>
    <n v="40.299999999999997"/>
    <x v="518"/>
    <x v="69"/>
    <x v="74"/>
    <x v="3"/>
    <x v="1"/>
    <x v="0"/>
    <x v="0"/>
    <x v="3"/>
    <x v="3"/>
    <x v="10"/>
    <x v="3"/>
  </r>
  <r>
    <s v="TX501913"/>
    <x v="6"/>
    <x v="1"/>
    <n v="108.8"/>
    <x v="1479"/>
    <x v="69"/>
    <x v="69"/>
    <x v="1"/>
    <x v="0"/>
    <x v="2"/>
    <x v="0"/>
    <x v="6"/>
    <x v="0"/>
    <x v="10"/>
    <x v="1"/>
  </r>
  <r>
    <s v="TX501914"/>
    <x v="8"/>
    <x v="2"/>
    <n v="48.2"/>
    <x v="1435"/>
    <x v="69"/>
    <x v="69"/>
    <x v="2"/>
    <x v="4"/>
    <x v="0"/>
    <x v="0"/>
    <x v="7"/>
    <x v="0"/>
    <x v="10"/>
    <x v="2"/>
  </r>
  <r>
    <s v="TX501915"/>
    <x v="2"/>
    <x v="2"/>
    <n v="104.7"/>
    <x v="1480"/>
    <x v="69"/>
    <x v="64"/>
    <x v="2"/>
    <x v="0"/>
    <x v="1"/>
    <x v="0"/>
    <x v="7"/>
    <x v="1"/>
    <x v="10"/>
    <x v="2"/>
  </r>
  <r>
    <s v="TX501916"/>
    <x v="1"/>
    <x v="1"/>
    <n v="80.599999999999994"/>
    <x v="154"/>
    <x v="69"/>
    <x v="71"/>
    <x v="2"/>
    <x v="1"/>
    <x v="0"/>
    <x v="0"/>
    <x v="8"/>
    <x v="7"/>
    <x v="10"/>
    <x v="2"/>
  </r>
  <r>
    <s v="TX501917"/>
    <x v="6"/>
    <x v="0"/>
    <n v="65.5"/>
    <x v="1481"/>
    <x v="69"/>
    <x v="64"/>
    <x v="3"/>
    <x v="1"/>
    <x v="0"/>
    <x v="0"/>
    <x v="8"/>
    <x v="1"/>
    <x v="10"/>
    <x v="3"/>
  </r>
  <r>
    <s v="TX501918"/>
    <x v="9"/>
    <x v="2"/>
    <n v="61.4"/>
    <x v="1173"/>
    <x v="69"/>
    <x v="64"/>
    <x v="2"/>
    <x v="4"/>
    <x v="2"/>
    <x v="0"/>
    <x v="8"/>
    <x v="1"/>
    <x v="10"/>
    <x v="2"/>
  </r>
  <r>
    <s v="TX501919"/>
    <x v="0"/>
    <x v="0"/>
    <n v="12.5"/>
    <x v="1482"/>
    <x v="70"/>
    <x v="72"/>
    <x v="2"/>
    <x v="0"/>
    <x v="1"/>
    <x v="0"/>
    <x v="8"/>
    <x v="2"/>
    <x v="10"/>
    <x v="2"/>
  </r>
  <r>
    <s v="TX501920"/>
    <x v="4"/>
    <x v="12"/>
    <n v="35.1"/>
    <x v="381"/>
    <x v="70"/>
    <x v="64"/>
    <x v="1"/>
    <x v="2"/>
    <x v="1"/>
    <x v="0"/>
    <x v="17"/>
    <x v="3"/>
    <x v="10"/>
    <x v="1"/>
  </r>
  <r>
    <s v="TX501921"/>
    <x v="5"/>
    <x v="1"/>
    <n v="55.7"/>
    <x v="1483"/>
    <x v="70"/>
    <x v="64"/>
    <x v="1"/>
    <x v="0"/>
    <x v="1"/>
    <x v="0"/>
    <x v="26"/>
    <x v="3"/>
    <x v="10"/>
    <x v="1"/>
  </r>
  <r>
    <s v="TX501922"/>
    <x v="7"/>
    <x v="1"/>
    <n v="57.7"/>
    <x v="1484"/>
    <x v="70"/>
    <x v="67"/>
    <x v="1"/>
    <x v="4"/>
    <x v="1"/>
    <x v="0"/>
    <x v="9"/>
    <x v="1"/>
    <x v="10"/>
    <x v="1"/>
  </r>
  <r>
    <s v="TX501923"/>
    <x v="2"/>
    <x v="13"/>
    <n v="85.7"/>
    <x v="1485"/>
    <x v="70"/>
    <x v="64"/>
    <x v="1"/>
    <x v="3"/>
    <x v="2"/>
    <x v="0"/>
    <x v="9"/>
    <x v="3"/>
    <x v="10"/>
    <x v="1"/>
  </r>
  <r>
    <s v="TX501924"/>
    <x v="2"/>
    <x v="2"/>
    <n v="86.9"/>
    <x v="1486"/>
    <x v="70"/>
    <x v="67"/>
    <x v="2"/>
    <x v="1"/>
    <x v="0"/>
    <x v="0"/>
    <x v="11"/>
    <x v="1"/>
    <x v="10"/>
    <x v="2"/>
  </r>
  <r>
    <s v="TX501925"/>
    <x v="18"/>
    <x v="1"/>
    <n v="46.4"/>
    <x v="1487"/>
    <x v="70"/>
    <x v="72"/>
    <x v="2"/>
    <x v="4"/>
    <x v="0"/>
    <x v="0"/>
    <x v="11"/>
    <x v="2"/>
    <x v="10"/>
    <x v="2"/>
  </r>
  <r>
    <s v="TX501926"/>
    <x v="5"/>
    <x v="2"/>
    <n v="25.4"/>
    <x v="1488"/>
    <x v="70"/>
    <x v="74"/>
    <x v="2"/>
    <x v="2"/>
    <x v="2"/>
    <x v="0"/>
    <x v="18"/>
    <x v="7"/>
    <x v="10"/>
    <x v="2"/>
  </r>
  <r>
    <s v="TX501927"/>
    <x v="10"/>
    <x v="2"/>
    <n v="47.8"/>
    <x v="1489"/>
    <x v="70"/>
    <x v="74"/>
    <x v="0"/>
    <x v="2"/>
    <x v="2"/>
    <x v="0"/>
    <x v="19"/>
    <x v="7"/>
    <x v="10"/>
    <x v="0"/>
  </r>
  <r>
    <s v="TX501928"/>
    <x v="8"/>
    <x v="10"/>
    <n v="18.399999999999999"/>
    <x v="1490"/>
    <x v="70"/>
    <x v="67"/>
    <x v="3"/>
    <x v="2"/>
    <x v="0"/>
    <x v="0"/>
    <x v="20"/>
    <x v="1"/>
    <x v="10"/>
    <x v="3"/>
  </r>
  <r>
    <s v="TX501929"/>
    <x v="12"/>
    <x v="2"/>
    <n v="65.5"/>
    <x v="756"/>
    <x v="70"/>
    <x v="78"/>
    <x v="2"/>
    <x v="0"/>
    <x v="0"/>
    <x v="0"/>
    <x v="21"/>
    <x v="9"/>
    <x v="10"/>
    <x v="2"/>
  </r>
  <r>
    <s v="TX501930"/>
    <x v="10"/>
    <x v="1"/>
    <n v="50.6"/>
    <x v="855"/>
    <x v="70"/>
    <x v="72"/>
    <x v="1"/>
    <x v="2"/>
    <x v="4"/>
    <x v="0"/>
    <x v="21"/>
    <x v="2"/>
    <x v="10"/>
    <x v="1"/>
  </r>
  <r>
    <s v="TX501931"/>
    <x v="3"/>
    <x v="9"/>
    <n v="69"/>
    <x v="1491"/>
    <x v="70"/>
    <x v="69"/>
    <x v="1"/>
    <x v="3"/>
    <x v="0"/>
    <x v="0"/>
    <x v="21"/>
    <x v="5"/>
    <x v="10"/>
    <x v="1"/>
  </r>
  <r>
    <s v="TX501932"/>
    <x v="9"/>
    <x v="8"/>
    <n v="51.1"/>
    <x v="18"/>
    <x v="70"/>
    <x v="67"/>
    <x v="2"/>
    <x v="0"/>
    <x v="0"/>
    <x v="0"/>
    <x v="1"/>
    <x v="1"/>
    <x v="10"/>
    <x v="2"/>
  </r>
  <r>
    <s v="TX501933"/>
    <x v="9"/>
    <x v="0"/>
    <n v="36.1"/>
    <x v="168"/>
    <x v="70"/>
    <x v="64"/>
    <x v="2"/>
    <x v="0"/>
    <x v="2"/>
    <x v="0"/>
    <x v="34"/>
    <x v="3"/>
    <x v="10"/>
    <x v="2"/>
  </r>
  <r>
    <s v="TX501934"/>
    <x v="14"/>
    <x v="0"/>
    <n v="18.7"/>
    <x v="1492"/>
    <x v="70"/>
    <x v="64"/>
    <x v="1"/>
    <x v="0"/>
    <x v="0"/>
    <x v="0"/>
    <x v="3"/>
    <x v="3"/>
    <x v="10"/>
    <x v="1"/>
  </r>
  <r>
    <s v="TX501935"/>
    <x v="17"/>
    <x v="0"/>
    <n v="30.1"/>
    <x v="1493"/>
    <x v="70"/>
    <x v="72"/>
    <x v="2"/>
    <x v="3"/>
    <x v="1"/>
    <x v="0"/>
    <x v="3"/>
    <x v="2"/>
    <x v="10"/>
    <x v="2"/>
  </r>
  <r>
    <s v="TX501936"/>
    <x v="8"/>
    <x v="0"/>
    <n v="16.3"/>
    <x v="1494"/>
    <x v="70"/>
    <x v="64"/>
    <x v="1"/>
    <x v="3"/>
    <x v="0"/>
    <x v="0"/>
    <x v="3"/>
    <x v="3"/>
    <x v="10"/>
    <x v="1"/>
  </r>
  <r>
    <s v="TX501937"/>
    <x v="1"/>
    <x v="2"/>
    <n v="63.8"/>
    <x v="1348"/>
    <x v="70"/>
    <x v="76"/>
    <x v="2"/>
    <x v="2"/>
    <x v="1"/>
    <x v="0"/>
    <x v="3"/>
    <x v="0"/>
    <x v="10"/>
    <x v="2"/>
  </r>
  <r>
    <s v="TX501938"/>
    <x v="1"/>
    <x v="3"/>
    <n v="73.900000000000006"/>
    <x v="1495"/>
    <x v="70"/>
    <x v="74"/>
    <x v="2"/>
    <x v="0"/>
    <x v="1"/>
    <x v="0"/>
    <x v="3"/>
    <x v="7"/>
    <x v="10"/>
    <x v="2"/>
  </r>
  <r>
    <s v="TX501939"/>
    <x v="0"/>
    <x v="1"/>
    <n v="20.2"/>
    <x v="1400"/>
    <x v="70"/>
    <x v="64"/>
    <x v="1"/>
    <x v="0"/>
    <x v="1"/>
    <x v="0"/>
    <x v="3"/>
    <x v="3"/>
    <x v="10"/>
    <x v="1"/>
  </r>
  <r>
    <s v="TX501940"/>
    <x v="11"/>
    <x v="5"/>
    <n v="29.5"/>
    <x v="1496"/>
    <x v="70"/>
    <x v="64"/>
    <x v="1"/>
    <x v="0"/>
    <x v="0"/>
    <x v="0"/>
    <x v="3"/>
    <x v="3"/>
    <x v="10"/>
    <x v="1"/>
  </r>
  <r>
    <s v="TX501941"/>
    <x v="15"/>
    <x v="3"/>
    <n v="37.9"/>
    <x v="1497"/>
    <x v="70"/>
    <x v="64"/>
    <x v="1"/>
    <x v="1"/>
    <x v="0"/>
    <x v="0"/>
    <x v="3"/>
    <x v="3"/>
    <x v="10"/>
    <x v="1"/>
  </r>
  <r>
    <s v="TX501942"/>
    <x v="2"/>
    <x v="0"/>
    <n v="56.5"/>
    <x v="1498"/>
    <x v="70"/>
    <x v="64"/>
    <x v="2"/>
    <x v="2"/>
    <x v="1"/>
    <x v="0"/>
    <x v="3"/>
    <x v="3"/>
    <x v="10"/>
    <x v="2"/>
  </r>
  <r>
    <s v="TX501943"/>
    <x v="2"/>
    <x v="1"/>
    <n v="66.900000000000006"/>
    <x v="981"/>
    <x v="70"/>
    <x v="73"/>
    <x v="1"/>
    <x v="1"/>
    <x v="4"/>
    <x v="0"/>
    <x v="25"/>
    <x v="4"/>
    <x v="10"/>
    <x v="1"/>
  </r>
  <r>
    <s v="TX501944"/>
    <x v="2"/>
    <x v="9"/>
    <n v="51.9"/>
    <x v="1499"/>
    <x v="70"/>
    <x v="72"/>
    <x v="1"/>
    <x v="1"/>
    <x v="0"/>
    <x v="0"/>
    <x v="7"/>
    <x v="2"/>
    <x v="10"/>
    <x v="1"/>
  </r>
  <r>
    <s v="TX501945"/>
    <x v="2"/>
    <x v="1"/>
    <n v="75.599999999999994"/>
    <x v="277"/>
    <x v="70"/>
    <x v="72"/>
    <x v="1"/>
    <x v="1"/>
    <x v="0"/>
    <x v="0"/>
    <x v="8"/>
    <x v="2"/>
    <x v="10"/>
    <x v="1"/>
  </r>
  <r>
    <s v="TX501946"/>
    <x v="12"/>
    <x v="13"/>
    <n v="47.3"/>
    <x v="592"/>
    <x v="70"/>
    <x v="79"/>
    <x v="1"/>
    <x v="0"/>
    <x v="0"/>
    <x v="0"/>
    <x v="8"/>
    <x v="11"/>
    <x v="10"/>
    <x v="1"/>
  </r>
  <r>
    <s v="TX501947"/>
    <x v="4"/>
    <x v="0"/>
    <n v="20.6"/>
    <x v="1500"/>
    <x v="70"/>
    <x v="64"/>
    <x v="0"/>
    <x v="0"/>
    <x v="1"/>
    <x v="0"/>
    <x v="8"/>
    <x v="3"/>
    <x v="10"/>
    <x v="0"/>
  </r>
  <r>
    <s v="TX501948"/>
    <x v="6"/>
    <x v="2"/>
    <n v="49.7"/>
    <x v="1501"/>
    <x v="70"/>
    <x v="67"/>
    <x v="1"/>
    <x v="0"/>
    <x v="1"/>
    <x v="0"/>
    <x v="8"/>
    <x v="1"/>
    <x v="10"/>
    <x v="1"/>
  </r>
  <r>
    <s v="TX501949"/>
    <x v="3"/>
    <x v="0"/>
    <n v="37.9"/>
    <x v="853"/>
    <x v="70"/>
    <x v="67"/>
    <x v="2"/>
    <x v="0"/>
    <x v="0"/>
    <x v="0"/>
    <x v="8"/>
    <x v="1"/>
    <x v="10"/>
    <x v="2"/>
  </r>
  <r>
    <s v="TX501950"/>
    <x v="13"/>
    <x v="20"/>
    <n v="32"/>
    <x v="1502"/>
    <x v="70"/>
    <x v="67"/>
    <x v="2"/>
    <x v="4"/>
    <x v="0"/>
    <x v="0"/>
    <x v="11"/>
    <x v="1"/>
    <x v="10"/>
    <x v="2"/>
  </r>
  <r>
    <s v="TX501951"/>
    <x v="10"/>
    <x v="16"/>
    <n v="38.5"/>
    <x v="1503"/>
    <x v="71"/>
    <x v="67"/>
    <x v="1"/>
    <x v="0"/>
    <x v="2"/>
    <x v="0"/>
    <x v="11"/>
    <x v="3"/>
    <x v="10"/>
    <x v="1"/>
  </r>
  <r>
    <s v="TX501952"/>
    <x v="0"/>
    <x v="12"/>
    <n v="11.7"/>
    <x v="86"/>
    <x v="71"/>
    <x v="72"/>
    <x v="2"/>
    <x v="1"/>
    <x v="0"/>
    <x v="0"/>
    <x v="20"/>
    <x v="1"/>
    <x v="10"/>
    <x v="2"/>
  </r>
  <r>
    <s v="TX501953"/>
    <x v="3"/>
    <x v="13"/>
    <n v="83.8"/>
    <x v="1504"/>
    <x v="71"/>
    <x v="67"/>
    <x v="1"/>
    <x v="0"/>
    <x v="0"/>
    <x v="0"/>
    <x v="21"/>
    <x v="3"/>
    <x v="10"/>
    <x v="1"/>
  </r>
  <r>
    <s v="TX501954"/>
    <x v="0"/>
    <x v="3"/>
    <n v="14"/>
    <x v="11"/>
    <x v="71"/>
    <x v="69"/>
    <x v="1"/>
    <x v="0"/>
    <x v="1"/>
    <x v="0"/>
    <x v="22"/>
    <x v="2"/>
    <x v="10"/>
    <x v="1"/>
  </r>
  <r>
    <s v="TX501955"/>
    <x v="16"/>
    <x v="12"/>
    <n v="77.3"/>
    <x v="1505"/>
    <x v="71"/>
    <x v="72"/>
    <x v="2"/>
    <x v="4"/>
    <x v="2"/>
    <x v="0"/>
    <x v="3"/>
    <x v="1"/>
    <x v="10"/>
    <x v="2"/>
  </r>
  <r>
    <s v="TX501956"/>
    <x v="2"/>
    <x v="1"/>
    <n v="76.900000000000006"/>
    <x v="1506"/>
    <x v="71"/>
    <x v="76"/>
    <x v="2"/>
    <x v="0"/>
    <x v="1"/>
    <x v="0"/>
    <x v="3"/>
    <x v="5"/>
    <x v="10"/>
    <x v="2"/>
  </r>
  <r>
    <s v="TX501957"/>
    <x v="1"/>
    <x v="0"/>
    <n v="48"/>
    <x v="510"/>
    <x v="71"/>
    <x v="72"/>
    <x v="2"/>
    <x v="1"/>
    <x v="2"/>
    <x v="0"/>
    <x v="3"/>
    <x v="1"/>
    <x v="10"/>
    <x v="2"/>
  </r>
  <r>
    <s v="TX501958"/>
    <x v="2"/>
    <x v="0"/>
    <n v="94.5"/>
    <x v="234"/>
    <x v="71"/>
    <x v="69"/>
    <x v="1"/>
    <x v="1"/>
    <x v="1"/>
    <x v="0"/>
    <x v="3"/>
    <x v="2"/>
    <x v="10"/>
    <x v="1"/>
  </r>
  <r>
    <s v="TX501959"/>
    <x v="10"/>
    <x v="2"/>
    <n v="58.4"/>
    <x v="122"/>
    <x v="71"/>
    <x v="72"/>
    <x v="2"/>
    <x v="1"/>
    <x v="2"/>
    <x v="0"/>
    <x v="3"/>
    <x v="1"/>
    <x v="10"/>
    <x v="2"/>
  </r>
  <r>
    <s v="TX501960"/>
    <x v="7"/>
    <x v="15"/>
    <n v="42.2"/>
    <x v="1507"/>
    <x v="71"/>
    <x v="64"/>
    <x v="1"/>
    <x v="0"/>
    <x v="0"/>
    <x v="0"/>
    <x v="25"/>
    <x v="7"/>
    <x v="10"/>
    <x v="1"/>
  </r>
  <r>
    <s v="TX501961"/>
    <x v="6"/>
    <x v="1"/>
    <n v="152.19999999999999"/>
    <x v="1508"/>
    <x v="71"/>
    <x v="67"/>
    <x v="1"/>
    <x v="4"/>
    <x v="1"/>
    <x v="0"/>
    <x v="25"/>
    <x v="3"/>
    <x v="10"/>
    <x v="1"/>
  </r>
  <r>
    <s v="TX501962"/>
    <x v="6"/>
    <x v="25"/>
    <n v="72"/>
    <x v="1509"/>
    <x v="71"/>
    <x v="67"/>
    <x v="1"/>
    <x v="0"/>
    <x v="1"/>
    <x v="0"/>
    <x v="6"/>
    <x v="3"/>
    <x v="10"/>
    <x v="1"/>
  </r>
  <r>
    <s v="TX501963"/>
    <x v="1"/>
    <x v="44"/>
    <n v="70.900000000000006"/>
    <x v="1510"/>
    <x v="71"/>
    <x v="67"/>
    <x v="2"/>
    <x v="2"/>
    <x v="0"/>
    <x v="0"/>
    <x v="8"/>
    <x v="3"/>
    <x v="10"/>
    <x v="2"/>
  </r>
  <r>
    <s v="TX501964"/>
    <x v="2"/>
    <x v="1"/>
    <n v="53.7"/>
    <x v="1511"/>
    <x v="71"/>
    <x v="67"/>
    <x v="1"/>
    <x v="2"/>
    <x v="2"/>
    <x v="0"/>
    <x v="8"/>
    <x v="3"/>
    <x v="10"/>
    <x v="1"/>
  </r>
  <r>
    <s v="TX501965"/>
    <x v="9"/>
    <x v="12"/>
    <n v="42.9"/>
    <x v="1512"/>
    <x v="71"/>
    <x v="67"/>
    <x v="2"/>
    <x v="2"/>
    <x v="4"/>
    <x v="0"/>
    <x v="9"/>
    <x v="3"/>
    <x v="10"/>
    <x v="2"/>
  </r>
  <r>
    <s v="TX501966"/>
    <x v="2"/>
    <x v="3"/>
    <n v="107.5"/>
    <x v="1513"/>
    <x v="71"/>
    <x v="67"/>
    <x v="1"/>
    <x v="1"/>
    <x v="0"/>
    <x v="0"/>
    <x v="11"/>
    <x v="3"/>
    <x v="10"/>
    <x v="1"/>
  </r>
  <r>
    <s v="TX501967"/>
    <x v="17"/>
    <x v="27"/>
    <n v="21.5"/>
    <x v="1213"/>
    <x v="71"/>
    <x v="67"/>
    <x v="1"/>
    <x v="1"/>
    <x v="1"/>
    <x v="0"/>
    <x v="32"/>
    <x v="3"/>
    <x v="10"/>
    <x v="1"/>
  </r>
  <r>
    <s v="TX501968"/>
    <x v="3"/>
    <x v="9"/>
    <n v="85.3"/>
    <x v="1514"/>
    <x v="71"/>
    <x v="72"/>
    <x v="2"/>
    <x v="3"/>
    <x v="0"/>
    <x v="0"/>
    <x v="18"/>
    <x v="1"/>
    <x v="10"/>
    <x v="2"/>
  </r>
  <r>
    <s v="TX501969"/>
    <x v="7"/>
    <x v="9"/>
    <n v="80.8"/>
    <x v="1515"/>
    <x v="71"/>
    <x v="75"/>
    <x v="3"/>
    <x v="1"/>
    <x v="1"/>
    <x v="0"/>
    <x v="19"/>
    <x v="9"/>
    <x v="10"/>
    <x v="3"/>
  </r>
  <r>
    <s v="TX501970"/>
    <x v="2"/>
    <x v="2"/>
    <n v="123.1"/>
    <x v="1516"/>
    <x v="71"/>
    <x v="72"/>
    <x v="0"/>
    <x v="2"/>
    <x v="0"/>
    <x v="0"/>
    <x v="21"/>
    <x v="1"/>
    <x v="10"/>
    <x v="0"/>
  </r>
  <r>
    <s v="TX501971"/>
    <x v="8"/>
    <x v="1"/>
    <n v="36.9"/>
    <x v="1517"/>
    <x v="71"/>
    <x v="72"/>
    <x v="2"/>
    <x v="2"/>
    <x v="4"/>
    <x v="0"/>
    <x v="51"/>
    <x v="1"/>
    <x v="10"/>
    <x v="2"/>
  </r>
  <r>
    <s v="TX501972"/>
    <x v="11"/>
    <x v="9"/>
    <n v="40"/>
    <x v="308"/>
    <x v="71"/>
    <x v="67"/>
    <x v="1"/>
    <x v="0"/>
    <x v="0"/>
    <x v="0"/>
    <x v="1"/>
    <x v="3"/>
    <x v="10"/>
    <x v="1"/>
  </r>
  <r>
    <s v="TX501973"/>
    <x v="6"/>
    <x v="2"/>
    <n v="55.5"/>
    <x v="1256"/>
    <x v="71"/>
    <x v="67"/>
    <x v="1"/>
    <x v="4"/>
    <x v="2"/>
    <x v="0"/>
    <x v="1"/>
    <x v="3"/>
    <x v="10"/>
    <x v="1"/>
  </r>
  <r>
    <s v="TX501974"/>
    <x v="0"/>
    <x v="12"/>
    <n v="20.5"/>
    <x v="1518"/>
    <x v="71"/>
    <x v="76"/>
    <x v="2"/>
    <x v="4"/>
    <x v="0"/>
    <x v="0"/>
    <x v="1"/>
    <x v="5"/>
    <x v="10"/>
    <x v="2"/>
  </r>
  <r>
    <s v="TX501975"/>
    <x v="18"/>
    <x v="12"/>
    <n v="50.1"/>
    <x v="1519"/>
    <x v="71"/>
    <x v="67"/>
    <x v="2"/>
    <x v="4"/>
    <x v="0"/>
    <x v="0"/>
    <x v="1"/>
    <x v="3"/>
    <x v="10"/>
    <x v="2"/>
  </r>
  <r>
    <s v="TX501976"/>
    <x v="9"/>
    <x v="0"/>
    <n v="35.9"/>
    <x v="1520"/>
    <x v="71"/>
    <x v="72"/>
    <x v="1"/>
    <x v="1"/>
    <x v="2"/>
    <x v="0"/>
    <x v="1"/>
    <x v="1"/>
    <x v="10"/>
    <x v="1"/>
  </r>
  <r>
    <s v="TX501977"/>
    <x v="13"/>
    <x v="12"/>
    <n v="29.4"/>
    <x v="833"/>
    <x v="72"/>
    <x v="72"/>
    <x v="1"/>
    <x v="2"/>
    <x v="2"/>
    <x v="0"/>
    <x v="33"/>
    <x v="3"/>
    <x v="10"/>
    <x v="1"/>
  </r>
  <r>
    <s v="TX501978"/>
    <x v="8"/>
    <x v="9"/>
    <n v="29.1"/>
    <x v="973"/>
    <x v="72"/>
    <x v="80"/>
    <x v="3"/>
    <x v="2"/>
    <x v="1"/>
    <x v="0"/>
    <x v="33"/>
    <x v="9"/>
    <x v="10"/>
    <x v="3"/>
  </r>
  <r>
    <s v="TX501979"/>
    <x v="8"/>
    <x v="2"/>
    <n v="33.5"/>
    <x v="427"/>
    <x v="72"/>
    <x v="81"/>
    <x v="1"/>
    <x v="0"/>
    <x v="2"/>
    <x v="0"/>
    <x v="22"/>
    <x v="13"/>
    <x v="10"/>
    <x v="1"/>
  </r>
  <r>
    <s v="TX501980"/>
    <x v="4"/>
    <x v="7"/>
    <n v="36"/>
    <x v="1521"/>
    <x v="72"/>
    <x v="67"/>
    <x v="1"/>
    <x v="3"/>
    <x v="2"/>
    <x v="0"/>
    <x v="3"/>
    <x v="7"/>
    <x v="10"/>
    <x v="1"/>
  </r>
  <r>
    <s v="TX501981"/>
    <x v="16"/>
    <x v="2"/>
    <n v="57.3"/>
    <x v="1522"/>
    <x v="72"/>
    <x v="73"/>
    <x v="2"/>
    <x v="0"/>
    <x v="2"/>
    <x v="0"/>
    <x v="3"/>
    <x v="5"/>
    <x v="10"/>
    <x v="2"/>
  </r>
  <r>
    <s v="TX501982"/>
    <x v="1"/>
    <x v="0"/>
    <n v="81.400000000000006"/>
    <x v="1523"/>
    <x v="72"/>
    <x v="72"/>
    <x v="2"/>
    <x v="2"/>
    <x v="2"/>
    <x v="0"/>
    <x v="3"/>
    <x v="3"/>
    <x v="10"/>
    <x v="2"/>
  </r>
  <r>
    <s v="TX501983"/>
    <x v="10"/>
    <x v="1"/>
    <n v="35.299999999999997"/>
    <x v="527"/>
    <x v="72"/>
    <x v="73"/>
    <x v="1"/>
    <x v="0"/>
    <x v="2"/>
    <x v="0"/>
    <x v="3"/>
    <x v="5"/>
    <x v="10"/>
    <x v="1"/>
  </r>
  <r>
    <s v="TX501984"/>
    <x v="3"/>
    <x v="0"/>
    <n v="36.1"/>
    <x v="168"/>
    <x v="72"/>
    <x v="72"/>
    <x v="2"/>
    <x v="4"/>
    <x v="0"/>
    <x v="0"/>
    <x v="3"/>
    <x v="3"/>
    <x v="10"/>
    <x v="2"/>
  </r>
  <r>
    <s v="TX501985"/>
    <x v="1"/>
    <x v="1"/>
    <n v="36.700000000000003"/>
    <x v="1524"/>
    <x v="72"/>
    <x v="69"/>
    <x v="2"/>
    <x v="0"/>
    <x v="2"/>
    <x v="0"/>
    <x v="3"/>
    <x v="1"/>
    <x v="10"/>
    <x v="2"/>
  </r>
  <r>
    <s v="TX501986"/>
    <x v="10"/>
    <x v="0"/>
    <n v="20.9"/>
    <x v="798"/>
    <x v="72"/>
    <x v="69"/>
    <x v="2"/>
    <x v="0"/>
    <x v="4"/>
    <x v="0"/>
    <x v="3"/>
    <x v="1"/>
    <x v="10"/>
    <x v="2"/>
  </r>
  <r>
    <s v="TX501987"/>
    <x v="12"/>
    <x v="2"/>
    <n v="58.8"/>
    <x v="1525"/>
    <x v="72"/>
    <x v="73"/>
    <x v="1"/>
    <x v="0"/>
    <x v="2"/>
    <x v="0"/>
    <x v="25"/>
    <x v="5"/>
    <x v="10"/>
    <x v="1"/>
  </r>
  <r>
    <s v="TX501988"/>
    <x v="2"/>
    <x v="2"/>
    <n v="97.6"/>
    <x v="1526"/>
    <x v="73"/>
    <x v="76"/>
    <x v="0"/>
    <x v="0"/>
    <x v="0"/>
    <x v="0"/>
    <x v="6"/>
    <x v="1"/>
    <x v="10"/>
    <x v="0"/>
  </r>
  <r>
    <s v="TX501989"/>
    <x v="1"/>
    <x v="1"/>
    <n v="58.7"/>
    <x v="1527"/>
    <x v="73"/>
    <x v="73"/>
    <x v="2"/>
    <x v="0"/>
    <x v="1"/>
    <x v="0"/>
    <x v="6"/>
    <x v="2"/>
    <x v="10"/>
    <x v="2"/>
  </r>
  <r>
    <s v="TX501990"/>
    <x v="6"/>
    <x v="9"/>
    <n v="71.900000000000006"/>
    <x v="1528"/>
    <x v="73"/>
    <x v="69"/>
    <x v="0"/>
    <x v="0"/>
    <x v="1"/>
    <x v="0"/>
    <x v="6"/>
    <x v="3"/>
    <x v="10"/>
    <x v="0"/>
  </r>
  <r>
    <s v="TX501991"/>
    <x v="1"/>
    <x v="1"/>
    <n v="62.4"/>
    <x v="1109"/>
    <x v="73"/>
    <x v="76"/>
    <x v="0"/>
    <x v="0"/>
    <x v="1"/>
    <x v="0"/>
    <x v="8"/>
    <x v="1"/>
    <x v="10"/>
    <x v="0"/>
  </r>
  <r>
    <s v="TX501992"/>
    <x v="6"/>
    <x v="27"/>
    <n v="53.8"/>
    <x v="1529"/>
    <x v="73"/>
    <x v="69"/>
    <x v="2"/>
    <x v="1"/>
    <x v="0"/>
    <x v="0"/>
    <x v="8"/>
    <x v="3"/>
    <x v="10"/>
    <x v="2"/>
  </r>
  <r>
    <s v="TX501993"/>
    <x v="9"/>
    <x v="0"/>
    <n v="43.8"/>
    <x v="328"/>
    <x v="73"/>
    <x v="80"/>
    <x v="2"/>
    <x v="0"/>
    <x v="2"/>
    <x v="0"/>
    <x v="8"/>
    <x v="6"/>
    <x v="10"/>
    <x v="2"/>
  </r>
  <r>
    <s v="TX501994"/>
    <x v="5"/>
    <x v="2"/>
    <n v="53.6"/>
    <x v="1530"/>
    <x v="73"/>
    <x v="69"/>
    <x v="1"/>
    <x v="3"/>
    <x v="0"/>
    <x v="0"/>
    <x v="8"/>
    <x v="3"/>
    <x v="10"/>
    <x v="1"/>
  </r>
  <r>
    <s v="TX501995"/>
    <x v="12"/>
    <x v="1"/>
    <n v="84.3"/>
    <x v="1531"/>
    <x v="73"/>
    <x v="73"/>
    <x v="1"/>
    <x v="4"/>
    <x v="1"/>
    <x v="0"/>
    <x v="8"/>
    <x v="2"/>
    <x v="10"/>
    <x v="1"/>
  </r>
  <r>
    <s v="TX501996"/>
    <x v="6"/>
    <x v="11"/>
    <n v="117.9"/>
    <x v="1532"/>
    <x v="73"/>
    <x v="69"/>
    <x v="2"/>
    <x v="1"/>
    <x v="2"/>
    <x v="0"/>
    <x v="8"/>
    <x v="3"/>
    <x v="10"/>
    <x v="2"/>
  </r>
  <r>
    <s v="TX501997"/>
    <x v="4"/>
    <x v="8"/>
    <n v="30"/>
    <x v="1533"/>
    <x v="73"/>
    <x v="69"/>
    <x v="2"/>
    <x v="1"/>
    <x v="0"/>
    <x v="0"/>
    <x v="26"/>
    <x v="3"/>
    <x v="10"/>
    <x v="2"/>
  </r>
  <r>
    <s v="TX501998"/>
    <x v="14"/>
    <x v="2"/>
    <n v="37.299999999999997"/>
    <x v="1534"/>
    <x v="73"/>
    <x v="69"/>
    <x v="1"/>
    <x v="2"/>
    <x v="0"/>
    <x v="0"/>
    <x v="9"/>
    <x v="3"/>
    <x v="10"/>
    <x v="1"/>
  </r>
  <r>
    <s v="TX501999"/>
    <x v="4"/>
    <x v="11"/>
    <n v="25.1"/>
    <x v="1535"/>
    <x v="73"/>
    <x v="76"/>
    <x v="1"/>
    <x v="1"/>
    <x v="2"/>
    <x v="0"/>
    <x v="11"/>
    <x v="1"/>
    <x v="10"/>
    <x v="1"/>
  </r>
  <r>
    <s v="TX502000"/>
    <x v="8"/>
    <x v="5"/>
    <n v="36"/>
    <x v="501"/>
    <x v="73"/>
    <x v="82"/>
    <x v="1"/>
    <x v="1"/>
    <x v="0"/>
    <x v="0"/>
    <x v="18"/>
    <x v="14"/>
    <x v="10"/>
    <x v="1"/>
  </r>
  <r>
    <s v="TX502001"/>
    <x v="16"/>
    <x v="2"/>
    <n v="48.5"/>
    <x v="973"/>
    <x v="73"/>
    <x v="83"/>
    <x v="2"/>
    <x v="1"/>
    <x v="0"/>
    <x v="0"/>
    <x v="19"/>
    <x v="5"/>
    <x v="10"/>
    <x v="2"/>
  </r>
  <r>
    <s v="TX502002"/>
    <x v="17"/>
    <x v="13"/>
    <n v="21.1"/>
    <x v="1077"/>
    <x v="73"/>
    <x v="69"/>
    <x v="1"/>
    <x v="1"/>
    <x v="2"/>
    <x v="0"/>
    <x v="21"/>
    <x v="3"/>
    <x v="10"/>
    <x v="1"/>
  </r>
  <r>
    <s v="TX502003"/>
    <x v="15"/>
    <x v="21"/>
    <n v="43.2"/>
    <x v="1536"/>
    <x v="73"/>
    <x v="69"/>
    <x v="3"/>
    <x v="0"/>
    <x v="1"/>
    <x v="0"/>
    <x v="21"/>
    <x v="3"/>
    <x v="10"/>
    <x v="3"/>
  </r>
  <r>
    <s v="TX502004"/>
    <x v="9"/>
    <x v="1"/>
    <n v="21.1"/>
    <x v="1283"/>
    <x v="73"/>
    <x v="69"/>
    <x v="0"/>
    <x v="3"/>
    <x v="1"/>
    <x v="0"/>
    <x v="21"/>
    <x v="3"/>
    <x v="10"/>
    <x v="0"/>
  </r>
  <r>
    <s v="TX502005"/>
    <x v="6"/>
    <x v="12"/>
    <n v="41.3"/>
    <x v="1537"/>
    <x v="73"/>
    <x v="76"/>
    <x v="2"/>
    <x v="3"/>
    <x v="2"/>
    <x v="0"/>
    <x v="1"/>
    <x v="1"/>
    <x v="10"/>
    <x v="2"/>
  </r>
  <r>
    <s v="TX502006"/>
    <x v="8"/>
    <x v="1"/>
    <n v="15.3"/>
    <x v="1538"/>
    <x v="73"/>
    <x v="73"/>
    <x v="0"/>
    <x v="2"/>
    <x v="2"/>
    <x v="0"/>
    <x v="1"/>
    <x v="2"/>
    <x v="10"/>
    <x v="0"/>
  </r>
  <r>
    <s v="TX502007"/>
    <x v="1"/>
    <x v="0"/>
    <n v="54.6"/>
    <x v="1539"/>
    <x v="73"/>
    <x v="76"/>
    <x v="1"/>
    <x v="1"/>
    <x v="1"/>
    <x v="0"/>
    <x v="2"/>
    <x v="1"/>
    <x v="10"/>
    <x v="1"/>
  </r>
  <r>
    <s v="TX502008"/>
    <x v="8"/>
    <x v="0"/>
    <n v="15.9"/>
    <x v="1021"/>
    <x v="73"/>
    <x v="69"/>
    <x v="1"/>
    <x v="0"/>
    <x v="1"/>
    <x v="0"/>
    <x v="22"/>
    <x v="3"/>
    <x v="10"/>
    <x v="1"/>
  </r>
  <r>
    <s v="TX502009"/>
    <x v="9"/>
    <x v="0"/>
    <n v="50.2"/>
    <x v="486"/>
    <x v="73"/>
    <x v="76"/>
    <x v="2"/>
    <x v="3"/>
    <x v="2"/>
    <x v="0"/>
    <x v="34"/>
    <x v="1"/>
    <x v="10"/>
    <x v="2"/>
  </r>
  <r>
    <s v="TX502010"/>
    <x v="11"/>
    <x v="12"/>
    <n v="85.1"/>
    <x v="1540"/>
    <x v="73"/>
    <x v="69"/>
    <x v="2"/>
    <x v="3"/>
    <x v="4"/>
    <x v="0"/>
    <x v="34"/>
    <x v="3"/>
    <x v="10"/>
    <x v="2"/>
  </r>
  <r>
    <s v="TX502011"/>
    <x v="11"/>
    <x v="1"/>
    <n v="41.4"/>
    <x v="1182"/>
    <x v="73"/>
    <x v="69"/>
    <x v="2"/>
    <x v="0"/>
    <x v="2"/>
    <x v="0"/>
    <x v="3"/>
    <x v="3"/>
    <x v="10"/>
    <x v="2"/>
  </r>
  <r>
    <s v="TX502012"/>
    <x v="4"/>
    <x v="3"/>
    <n v="32.700000000000003"/>
    <x v="1541"/>
    <x v="73"/>
    <x v="69"/>
    <x v="2"/>
    <x v="2"/>
    <x v="1"/>
    <x v="0"/>
    <x v="3"/>
    <x v="3"/>
    <x v="10"/>
    <x v="2"/>
  </r>
  <r>
    <s v="TX502013"/>
    <x v="4"/>
    <x v="1"/>
    <n v="41.6"/>
    <x v="707"/>
    <x v="73"/>
    <x v="76"/>
    <x v="1"/>
    <x v="4"/>
    <x v="1"/>
    <x v="0"/>
    <x v="3"/>
    <x v="1"/>
    <x v="10"/>
    <x v="1"/>
  </r>
  <r>
    <s v="TX502014"/>
    <x v="5"/>
    <x v="12"/>
    <n v="64.8"/>
    <x v="629"/>
    <x v="73"/>
    <x v="69"/>
    <x v="0"/>
    <x v="2"/>
    <x v="0"/>
    <x v="0"/>
    <x v="3"/>
    <x v="3"/>
    <x v="10"/>
    <x v="0"/>
  </r>
  <r>
    <s v="TX502015"/>
    <x v="15"/>
    <x v="1"/>
    <n v="33.6"/>
    <x v="863"/>
    <x v="73"/>
    <x v="69"/>
    <x v="1"/>
    <x v="0"/>
    <x v="2"/>
    <x v="0"/>
    <x v="3"/>
    <x v="3"/>
    <x v="10"/>
    <x v="1"/>
  </r>
  <r>
    <s v="TX502016"/>
    <x v="6"/>
    <x v="2"/>
    <n v="100.7"/>
    <x v="1542"/>
    <x v="73"/>
    <x v="69"/>
    <x v="0"/>
    <x v="1"/>
    <x v="0"/>
    <x v="0"/>
    <x v="3"/>
    <x v="3"/>
    <x v="10"/>
    <x v="0"/>
  </r>
  <r>
    <s v="TX502017"/>
    <x v="4"/>
    <x v="1"/>
    <n v="49.3"/>
    <x v="1543"/>
    <x v="74"/>
    <x v="73"/>
    <x v="2"/>
    <x v="4"/>
    <x v="2"/>
    <x v="0"/>
    <x v="3"/>
    <x v="1"/>
    <x v="11"/>
    <x v="2"/>
  </r>
  <r>
    <s v="TX502018"/>
    <x v="2"/>
    <x v="13"/>
    <n v="97"/>
    <x v="1544"/>
    <x v="74"/>
    <x v="83"/>
    <x v="1"/>
    <x v="2"/>
    <x v="2"/>
    <x v="0"/>
    <x v="3"/>
    <x v="2"/>
    <x v="11"/>
    <x v="1"/>
  </r>
  <r>
    <s v="TX502019"/>
    <x v="0"/>
    <x v="13"/>
    <n v="25.2"/>
    <x v="277"/>
    <x v="74"/>
    <x v="83"/>
    <x v="2"/>
    <x v="4"/>
    <x v="2"/>
    <x v="0"/>
    <x v="3"/>
    <x v="2"/>
    <x v="11"/>
    <x v="2"/>
  </r>
  <r>
    <s v="TX502020"/>
    <x v="0"/>
    <x v="5"/>
    <n v="12.2"/>
    <x v="1545"/>
    <x v="74"/>
    <x v="76"/>
    <x v="0"/>
    <x v="0"/>
    <x v="1"/>
    <x v="0"/>
    <x v="3"/>
    <x v="3"/>
    <x v="11"/>
    <x v="0"/>
  </r>
  <r>
    <s v="TX502021"/>
    <x v="8"/>
    <x v="3"/>
    <n v="38.799999999999997"/>
    <x v="1546"/>
    <x v="74"/>
    <x v="73"/>
    <x v="2"/>
    <x v="1"/>
    <x v="1"/>
    <x v="0"/>
    <x v="23"/>
    <x v="1"/>
    <x v="11"/>
    <x v="2"/>
  </r>
  <r>
    <s v="TX502022"/>
    <x v="2"/>
    <x v="12"/>
    <n v="53.2"/>
    <x v="1547"/>
    <x v="74"/>
    <x v="76"/>
    <x v="1"/>
    <x v="0"/>
    <x v="2"/>
    <x v="0"/>
    <x v="8"/>
    <x v="3"/>
    <x v="11"/>
    <x v="1"/>
  </r>
  <r>
    <s v="TX502023"/>
    <x v="6"/>
    <x v="3"/>
    <n v="151"/>
    <x v="1548"/>
    <x v="74"/>
    <x v="76"/>
    <x v="3"/>
    <x v="1"/>
    <x v="1"/>
    <x v="0"/>
    <x v="8"/>
    <x v="3"/>
    <x v="11"/>
    <x v="3"/>
  </r>
  <r>
    <s v="TX502024"/>
    <x v="1"/>
    <x v="1"/>
    <n v="37.1"/>
    <x v="1314"/>
    <x v="74"/>
    <x v="76"/>
    <x v="2"/>
    <x v="4"/>
    <x v="0"/>
    <x v="0"/>
    <x v="8"/>
    <x v="3"/>
    <x v="11"/>
    <x v="2"/>
  </r>
  <r>
    <s v="TX502025"/>
    <x v="5"/>
    <x v="1"/>
    <n v="38.9"/>
    <x v="482"/>
    <x v="74"/>
    <x v="76"/>
    <x v="1"/>
    <x v="4"/>
    <x v="0"/>
    <x v="0"/>
    <x v="8"/>
    <x v="3"/>
    <x v="11"/>
    <x v="1"/>
  </r>
  <r>
    <s v="TX502026"/>
    <x v="10"/>
    <x v="1"/>
    <n v="35.200000000000003"/>
    <x v="1549"/>
    <x v="74"/>
    <x v="76"/>
    <x v="1"/>
    <x v="0"/>
    <x v="2"/>
    <x v="0"/>
    <x v="17"/>
    <x v="3"/>
    <x v="11"/>
    <x v="1"/>
  </r>
  <r>
    <s v="TX502027"/>
    <x v="0"/>
    <x v="1"/>
    <n v="22.3"/>
    <x v="225"/>
    <x v="74"/>
    <x v="73"/>
    <x v="2"/>
    <x v="1"/>
    <x v="0"/>
    <x v="0"/>
    <x v="9"/>
    <x v="1"/>
    <x v="11"/>
    <x v="2"/>
  </r>
  <r>
    <s v="TX502028"/>
    <x v="9"/>
    <x v="0"/>
    <n v="43.3"/>
    <x v="1286"/>
    <x v="74"/>
    <x v="83"/>
    <x v="2"/>
    <x v="0"/>
    <x v="2"/>
    <x v="0"/>
    <x v="11"/>
    <x v="2"/>
    <x v="11"/>
    <x v="2"/>
  </r>
  <r>
    <s v="TX502029"/>
    <x v="6"/>
    <x v="13"/>
    <n v="75.900000000000006"/>
    <x v="1550"/>
    <x v="74"/>
    <x v="80"/>
    <x v="1"/>
    <x v="0"/>
    <x v="0"/>
    <x v="0"/>
    <x v="11"/>
    <x v="4"/>
    <x v="11"/>
    <x v="1"/>
  </r>
  <r>
    <s v="TX502030"/>
    <x v="6"/>
    <x v="2"/>
    <n v="78.7"/>
    <x v="1551"/>
    <x v="74"/>
    <x v="78"/>
    <x v="2"/>
    <x v="2"/>
    <x v="1"/>
    <x v="0"/>
    <x v="11"/>
    <x v="5"/>
    <x v="11"/>
    <x v="2"/>
  </r>
  <r>
    <s v="TX502031"/>
    <x v="1"/>
    <x v="0"/>
    <n v="66.3"/>
    <x v="1124"/>
    <x v="74"/>
    <x v="78"/>
    <x v="2"/>
    <x v="0"/>
    <x v="2"/>
    <x v="0"/>
    <x v="19"/>
    <x v="5"/>
    <x v="11"/>
    <x v="2"/>
  </r>
  <r>
    <s v="TX502032"/>
    <x v="8"/>
    <x v="1"/>
    <n v="33.6"/>
    <x v="863"/>
    <x v="74"/>
    <x v="69"/>
    <x v="1"/>
    <x v="0"/>
    <x v="1"/>
    <x v="0"/>
    <x v="19"/>
    <x v="7"/>
    <x v="11"/>
    <x v="1"/>
  </r>
  <r>
    <s v="TX502033"/>
    <x v="2"/>
    <x v="3"/>
    <n v="61.4"/>
    <x v="1552"/>
    <x v="74"/>
    <x v="76"/>
    <x v="1"/>
    <x v="4"/>
    <x v="0"/>
    <x v="0"/>
    <x v="19"/>
    <x v="3"/>
    <x v="11"/>
    <x v="1"/>
  </r>
  <r>
    <s v="TX502034"/>
    <x v="8"/>
    <x v="1"/>
    <n v="17.5"/>
    <x v="1553"/>
    <x v="74"/>
    <x v="83"/>
    <x v="2"/>
    <x v="0"/>
    <x v="0"/>
    <x v="0"/>
    <x v="21"/>
    <x v="2"/>
    <x v="11"/>
    <x v="2"/>
  </r>
  <r>
    <s v="TX502035"/>
    <x v="8"/>
    <x v="1"/>
    <n v="32.5"/>
    <x v="891"/>
    <x v="74"/>
    <x v="83"/>
    <x v="2"/>
    <x v="1"/>
    <x v="0"/>
    <x v="0"/>
    <x v="21"/>
    <x v="2"/>
    <x v="11"/>
    <x v="2"/>
  </r>
  <r>
    <s v="TX502036"/>
    <x v="4"/>
    <x v="0"/>
    <n v="34.6"/>
    <x v="169"/>
    <x v="74"/>
    <x v="76"/>
    <x v="2"/>
    <x v="4"/>
    <x v="0"/>
    <x v="0"/>
    <x v="21"/>
    <x v="3"/>
    <x v="11"/>
    <x v="2"/>
  </r>
  <r>
    <s v="TX502037"/>
    <x v="2"/>
    <x v="0"/>
    <n v="75.900000000000006"/>
    <x v="1554"/>
    <x v="74"/>
    <x v="69"/>
    <x v="1"/>
    <x v="1"/>
    <x v="2"/>
    <x v="0"/>
    <x v="21"/>
    <x v="7"/>
    <x v="11"/>
    <x v="1"/>
  </r>
  <r>
    <s v="TX502038"/>
    <x v="1"/>
    <x v="2"/>
    <n v="42.1"/>
    <x v="1555"/>
    <x v="74"/>
    <x v="83"/>
    <x v="1"/>
    <x v="1"/>
    <x v="1"/>
    <x v="0"/>
    <x v="21"/>
    <x v="2"/>
    <x v="11"/>
    <x v="1"/>
  </r>
  <r>
    <s v="TX502039"/>
    <x v="7"/>
    <x v="2"/>
    <n v="65.3"/>
    <x v="243"/>
    <x v="74"/>
    <x v="79"/>
    <x v="1"/>
    <x v="0"/>
    <x v="0"/>
    <x v="0"/>
    <x v="1"/>
    <x v="6"/>
    <x v="11"/>
    <x v="1"/>
  </r>
  <r>
    <s v="TX502040"/>
    <x v="15"/>
    <x v="0"/>
    <n v="20.6"/>
    <x v="1500"/>
    <x v="74"/>
    <x v="83"/>
    <x v="1"/>
    <x v="3"/>
    <x v="0"/>
    <x v="0"/>
    <x v="42"/>
    <x v="2"/>
    <x v="11"/>
    <x v="1"/>
  </r>
  <r>
    <s v="TX502041"/>
    <x v="8"/>
    <x v="3"/>
    <n v="16.5"/>
    <x v="100"/>
    <x v="74"/>
    <x v="76"/>
    <x v="1"/>
    <x v="1"/>
    <x v="1"/>
    <x v="0"/>
    <x v="2"/>
    <x v="3"/>
    <x v="11"/>
    <x v="1"/>
  </r>
  <r>
    <s v="TX502042"/>
    <x v="16"/>
    <x v="7"/>
    <n v="36.200000000000003"/>
    <x v="1556"/>
    <x v="74"/>
    <x v="73"/>
    <x v="1"/>
    <x v="0"/>
    <x v="2"/>
    <x v="0"/>
    <x v="2"/>
    <x v="1"/>
    <x v="11"/>
    <x v="1"/>
  </r>
  <r>
    <s v="TX502043"/>
    <x v="6"/>
    <x v="0"/>
    <n v="53.2"/>
    <x v="1557"/>
    <x v="74"/>
    <x v="76"/>
    <x v="2"/>
    <x v="0"/>
    <x v="1"/>
    <x v="0"/>
    <x v="22"/>
    <x v="3"/>
    <x v="11"/>
    <x v="2"/>
  </r>
  <r>
    <s v="TX502044"/>
    <x v="2"/>
    <x v="21"/>
    <n v="176"/>
    <x v="1558"/>
    <x v="74"/>
    <x v="76"/>
    <x v="2"/>
    <x v="0"/>
    <x v="1"/>
    <x v="0"/>
    <x v="3"/>
    <x v="3"/>
    <x v="11"/>
    <x v="2"/>
  </r>
  <r>
    <s v="TX502045"/>
    <x v="1"/>
    <x v="0"/>
    <n v="52.4"/>
    <x v="1559"/>
    <x v="74"/>
    <x v="76"/>
    <x v="1"/>
    <x v="1"/>
    <x v="0"/>
    <x v="0"/>
    <x v="3"/>
    <x v="3"/>
    <x v="11"/>
    <x v="1"/>
  </r>
  <r>
    <s v="TX502046"/>
    <x v="10"/>
    <x v="2"/>
    <n v="48.2"/>
    <x v="1435"/>
    <x v="74"/>
    <x v="76"/>
    <x v="2"/>
    <x v="1"/>
    <x v="2"/>
    <x v="0"/>
    <x v="3"/>
    <x v="3"/>
    <x v="11"/>
    <x v="2"/>
  </r>
  <r>
    <s v="TX502047"/>
    <x v="15"/>
    <x v="0"/>
    <n v="51.6"/>
    <x v="937"/>
    <x v="74"/>
    <x v="78"/>
    <x v="2"/>
    <x v="2"/>
    <x v="1"/>
    <x v="0"/>
    <x v="3"/>
    <x v="5"/>
    <x v="11"/>
    <x v="2"/>
  </r>
  <r>
    <s v="TX502048"/>
    <x v="0"/>
    <x v="12"/>
    <n v="33.700000000000003"/>
    <x v="1093"/>
    <x v="75"/>
    <x v="73"/>
    <x v="1"/>
    <x v="0"/>
    <x v="0"/>
    <x v="0"/>
    <x v="3"/>
    <x v="3"/>
    <x v="11"/>
    <x v="1"/>
  </r>
  <r>
    <s v="TX502049"/>
    <x v="4"/>
    <x v="7"/>
    <n v="36.299999999999997"/>
    <x v="1560"/>
    <x v="75"/>
    <x v="83"/>
    <x v="2"/>
    <x v="4"/>
    <x v="1"/>
    <x v="0"/>
    <x v="3"/>
    <x v="1"/>
    <x v="11"/>
    <x v="2"/>
  </r>
  <r>
    <s v="TX502050"/>
    <x v="8"/>
    <x v="0"/>
    <n v="23.4"/>
    <x v="1561"/>
    <x v="75"/>
    <x v="80"/>
    <x v="2"/>
    <x v="1"/>
    <x v="2"/>
    <x v="0"/>
    <x v="3"/>
    <x v="0"/>
    <x v="11"/>
    <x v="2"/>
  </r>
  <r>
    <s v="TX502051"/>
    <x v="15"/>
    <x v="8"/>
    <n v="56.6"/>
    <x v="1562"/>
    <x v="75"/>
    <x v="83"/>
    <x v="2"/>
    <x v="1"/>
    <x v="0"/>
    <x v="0"/>
    <x v="3"/>
    <x v="1"/>
    <x v="11"/>
    <x v="2"/>
  </r>
  <r>
    <s v="TX502052"/>
    <x v="15"/>
    <x v="1"/>
    <n v="26.8"/>
    <x v="1563"/>
    <x v="75"/>
    <x v="73"/>
    <x v="1"/>
    <x v="0"/>
    <x v="0"/>
    <x v="0"/>
    <x v="4"/>
    <x v="3"/>
    <x v="11"/>
    <x v="1"/>
  </r>
  <r>
    <s v="TX502053"/>
    <x v="0"/>
    <x v="2"/>
    <n v="11.3"/>
    <x v="1564"/>
    <x v="75"/>
    <x v="83"/>
    <x v="1"/>
    <x v="2"/>
    <x v="0"/>
    <x v="0"/>
    <x v="25"/>
    <x v="1"/>
    <x v="11"/>
    <x v="1"/>
  </r>
  <r>
    <s v="TX502054"/>
    <x v="6"/>
    <x v="2"/>
    <n v="60.1"/>
    <x v="1565"/>
    <x v="75"/>
    <x v="78"/>
    <x v="2"/>
    <x v="0"/>
    <x v="0"/>
    <x v="0"/>
    <x v="7"/>
    <x v="2"/>
    <x v="11"/>
    <x v="2"/>
  </r>
  <r>
    <s v="TX502055"/>
    <x v="0"/>
    <x v="5"/>
    <n v="27.7"/>
    <x v="1566"/>
    <x v="75"/>
    <x v="80"/>
    <x v="2"/>
    <x v="0"/>
    <x v="0"/>
    <x v="0"/>
    <x v="8"/>
    <x v="0"/>
    <x v="11"/>
    <x v="2"/>
  </r>
  <r>
    <s v="TX502056"/>
    <x v="15"/>
    <x v="0"/>
    <n v="71.400000000000006"/>
    <x v="660"/>
    <x v="75"/>
    <x v="78"/>
    <x v="1"/>
    <x v="0"/>
    <x v="2"/>
    <x v="0"/>
    <x v="8"/>
    <x v="2"/>
    <x v="11"/>
    <x v="1"/>
  </r>
  <r>
    <s v="TX502057"/>
    <x v="2"/>
    <x v="1"/>
    <n v="66.7"/>
    <x v="1567"/>
    <x v="75"/>
    <x v="73"/>
    <x v="2"/>
    <x v="0"/>
    <x v="2"/>
    <x v="0"/>
    <x v="8"/>
    <x v="3"/>
    <x v="11"/>
    <x v="2"/>
  </r>
  <r>
    <s v="TX502058"/>
    <x v="13"/>
    <x v="9"/>
    <n v="39.1"/>
    <x v="1568"/>
    <x v="75"/>
    <x v="73"/>
    <x v="2"/>
    <x v="0"/>
    <x v="0"/>
    <x v="0"/>
    <x v="8"/>
    <x v="3"/>
    <x v="11"/>
    <x v="2"/>
  </r>
  <r>
    <s v="TX502059"/>
    <x v="8"/>
    <x v="12"/>
    <n v="24.9"/>
    <x v="1569"/>
    <x v="75"/>
    <x v="80"/>
    <x v="1"/>
    <x v="1"/>
    <x v="2"/>
    <x v="0"/>
    <x v="8"/>
    <x v="0"/>
    <x v="11"/>
    <x v="1"/>
  </r>
  <r>
    <s v="TX502060"/>
    <x v="5"/>
    <x v="9"/>
    <n v="29.2"/>
    <x v="1570"/>
    <x v="75"/>
    <x v="73"/>
    <x v="1"/>
    <x v="0"/>
    <x v="2"/>
    <x v="0"/>
    <x v="17"/>
    <x v="3"/>
    <x v="11"/>
    <x v="1"/>
  </r>
  <r>
    <s v="TX502061"/>
    <x v="13"/>
    <x v="21"/>
    <n v="28.3"/>
    <x v="1571"/>
    <x v="75"/>
    <x v="83"/>
    <x v="2"/>
    <x v="1"/>
    <x v="0"/>
    <x v="0"/>
    <x v="11"/>
    <x v="1"/>
    <x v="11"/>
    <x v="2"/>
  </r>
  <r>
    <s v="TX502062"/>
    <x v="9"/>
    <x v="2"/>
    <n v="37.799999999999997"/>
    <x v="1413"/>
    <x v="75"/>
    <x v="73"/>
    <x v="2"/>
    <x v="0"/>
    <x v="1"/>
    <x v="0"/>
    <x v="11"/>
    <x v="3"/>
    <x v="11"/>
    <x v="2"/>
  </r>
  <r>
    <s v="TX502063"/>
    <x v="14"/>
    <x v="3"/>
    <n v="28.1"/>
    <x v="1572"/>
    <x v="75"/>
    <x v="79"/>
    <x v="2"/>
    <x v="2"/>
    <x v="0"/>
    <x v="0"/>
    <x v="11"/>
    <x v="4"/>
    <x v="11"/>
    <x v="2"/>
  </r>
  <r>
    <s v="TX502064"/>
    <x v="1"/>
    <x v="2"/>
    <n v="59.7"/>
    <x v="1573"/>
    <x v="75"/>
    <x v="83"/>
    <x v="2"/>
    <x v="2"/>
    <x v="0"/>
    <x v="0"/>
    <x v="11"/>
    <x v="1"/>
    <x v="11"/>
    <x v="2"/>
  </r>
  <r>
    <s v="TX502065"/>
    <x v="16"/>
    <x v="0"/>
    <n v="71.900000000000006"/>
    <x v="1574"/>
    <x v="75"/>
    <x v="73"/>
    <x v="1"/>
    <x v="1"/>
    <x v="1"/>
    <x v="0"/>
    <x v="11"/>
    <x v="3"/>
    <x v="11"/>
    <x v="1"/>
  </r>
  <r>
    <s v="TX502066"/>
    <x v="1"/>
    <x v="1"/>
    <n v="56.9"/>
    <x v="1575"/>
    <x v="75"/>
    <x v="73"/>
    <x v="1"/>
    <x v="2"/>
    <x v="0"/>
    <x v="0"/>
    <x v="13"/>
    <x v="3"/>
    <x v="11"/>
    <x v="1"/>
  </r>
  <r>
    <s v="TX502067"/>
    <x v="8"/>
    <x v="1"/>
    <n v="15.8"/>
    <x v="35"/>
    <x v="75"/>
    <x v="78"/>
    <x v="2"/>
    <x v="2"/>
    <x v="1"/>
    <x v="0"/>
    <x v="1"/>
    <x v="2"/>
    <x v="11"/>
    <x v="2"/>
  </r>
  <r>
    <s v="TX502068"/>
    <x v="11"/>
    <x v="12"/>
    <n v="61.7"/>
    <x v="1576"/>
    <x v="75"/>
    <x v="83"/>
    <x v="2"/>
    <x v="2"/>
    <x v="0"/>
    <x v="0"/>
    <x v="22"/>
    <x v="1"/>
    <x v="11"/>
    <x v="2"/>
  </r>
  <r>
    <s v="TX502069"/>
    <x v="2"/>
    <x v="7"/>
    <n v="105.2"/>
    <x v="1577"/>
    <x v="75"/>
    <x v="83"/>
    <x v="1"/>
    <x v="1"/>
    <x v="4"/>
    <x v="0"/>
    <x v="3"/>
    <x v="1"/>
    <x v="11"/>
    <x v="1"/>
  </r>
  <r>
    <s v="TX502070"/>
    <x v="0"/>
    <x v="1"/>
    <n v="17"/>
    <x v="1222"/>
    <x v="75"/>
    <x v="83"/>
    <x v="2"/>
    <x v="2"/>
    <x v="0"/>
    <x v="0"/>
    <x v="3"/>
    <x v="1"/>
    <x v="11"/>
    <x v="2"/>
  </r>
  <r>
    <s v="TX502071"/>
    <x v="6"/>
    <x v="2"/>
    <n v="84.1"/>
    <x v="1578"/>
    <x v="75"/>
    <x v="73"/>
    <x v="1"/>
    <x v="2"/>
    <x v="0"/>
    <x v="0"/>
    <x v="3"/>
    <x v="3"/>
    <x v="11"/>
    <x v="1"/>
  </r>
  <r>
    <s v="TX502072"/>
    <x v="3"/>
    <x v="12"/>
    <n v="59.5"/>
    <x v="1248"/>
    <x v="75"/>
    <x v="80"/>
    <x v="1"/>
    <x v="0"/>
    <x v="2"/>
    <x v="0"/>
    <x v="3"/>
    <x v="0"/>
    <x v="11"/>
    <x v="1"/>
  </r>
  <r>
    <s v="TX502073"/>
    <x v="8"/>
    <x v="1"/>
    <n v="57.5"/>
    <x v="1579"/>
    <x v="75"/>
    <x v="83"/>
    <x v="1"/>
    <x v="1"/>
    <x v="2"/>
    <x v="0"/>
    <x v="3"/>
    <x v="1"/>
    <x v="11"/>
    <x v="1"/>
  </r>
  <r>
    <s v="TX502074"/>
    <x v="8"/>
    <x v="0"/>
    <n v="34.299999999999997"/>
    <x v="1580"/>
    <x v="75"/>
    <x v="73"/>
    <x v="2"/>
    <x v="4"/>
    <x v="2"/>
    <x v="0"/>
    <x v="3"/>
    <x v="3"/>
    <x v="11"/>
    <x v="2"/>
  </r>
  <r>
    <s v="TX502075"/>
    <x v="5"/>
    <x v="1"/>
    <n v="27.8"/>
    <x v="1581"/>
    <x v="76"/>
    <x v="78"/>
    <x v="2"/>
    <x v="0"/>
    <x v="0"/>
    <x v="0"/>
    <x v="3"/>
    <x v="1"/>
    <x v="11"/>
    <x v="2"/>
  </r>
  <r>
    <s v="TX502076"/>
    <x v="12"/>
    <x v="1"/>
    <n v="85"/>
    <x v="393"/>
    <x v="76"/>
    <x v="73"/>
    <x v="1"/>
    <x v="2"/>
    <x v="2"/>
    <x v="0"/>
    <x v="3"/>
    <x v="7"/>
    <x v="11"/>
    <x v="1"/>
  </r>
  <r>
    <s v="TX502077"/>
    <x v="6"/>
    <x v="1"/>
    <n v="95"/>
    <x v="1582"/>
    <x v="76"/>
    <x v="78"/>
    <x v="2"/>
    <x v="0"/>
    <x v="0"/>
    <x v="0"/>
    <x v="3"/>
    <x v="1"/>
    <x v="11"/>
    <x v="2"/>
  </r>
  <r>
    <s v="TX502078"/>
    <x v="16"/>
    <x v="1"/>
    <n v="32"/>
    <x v="34"/>
    <x v="76"/>
    <x v="78"/>
    <x v="1"/>
    <x v="0"/>
    <x v="1"/>
    <x v="0"/>
    <x v="3"/>
    <x v="1"/>
    <x v="11"/>
    <x v="1"/>
  </r>
  <r>
    <s v="TX502079"/>
    <x v="2"/>
    <x v="1"/>
    <n v="65.2"/>
    <x v="1583"/>
    <x v="76"/>
    <x v="83"/>
    <x v="2"/>
    <x v="1"/>
    <x v="0"/>
    <x v="0"/>
    <x v="3"/>
    <x v="3"/>
    <x v="11"/>
    <x v="2"/>
  </r>
  <r>
    <s v="TX502080"/>
    <x v="17"/>
    <x v="12"/>
    <n v="22"/>
    <x v="1155"/>
    <x v="76"/>
    <x v="83"/>
    <x v="1"/>
    <x v="1"/>
    <x v="2"/>
    <x v="0"/>
    <x v="3"/>
    <x v="3"/>
    <x v="11"/>
    <x v="1"/>
  </r>
  <r>
    <s v="TX502081"/>
    <x v="15"/>
    <x v="2"/>
    <n v="69.400000000000006"/>
    <x v="140"/>
    <x v="76"/>
    <x v="75"/>
    <x v="1"/>
    <x v="1"/>
    <x v="2"/>
    <x v="0"/>
    <x v="3"/>
    <x v="2"/>
    <x v="11"/>
    <x v="1"/>
  </r>
  <r>
    <s v="TX502082"/>
    <x v="10"/>
    <x v="13"/>
    <n v="31.5"/>
    <x v="620"/>
    <x v="76"/>
    <x v="78"/>
    <x v="2"/>
    <x v="0"/>
    <x v="2"/>
    <x v="0"/>
    <x v="3"/>
    <x v="1"/>
    <x v="11"/>
    <x v="2"/>
  </r>
  <r>
    <s v="TX502083"/>
    <x v="6"/>
    <x v="0"/>
    <n v="45.8"/>
    <x v="494"/>
    <x v="76"/>
    <x v="80"/>
    <x v="3"/>
    <x v="0"/>
    <x v="0"/>
    <x v="0"/>
    <x v="3"/>
    <x v="5"/>
    <x v="11"/>
    <x v="3"/>
  </r>
  <r>
    <s v="TX502084"/>
    <x v="19"/>
    <x v="12"/>
    <n v="12.8"/>
    <x v="180"/>
    <x v="76"/>
    <x v="82"/>
    <x v="2"/>
    <x v="1"/>
    <x v="1"/>
    <x v="0"/>
    <x v="5"/>
    <x v="6"/>
    <x v="11"/>
    <x v="2"/>
  </r>
  <r>
    <s v="TX502085"/>
    <x v="5"/>
    <x v="2"/>
    <n v="115.3"/>
    <x v="1584"/>
    <x v="76"/>
    <x v="83"/>
    <x v="2"/>
    <x v="2"/>
    <x v="2"/>
    <x v="0"/>
    <x v="6"/>
    <x v="3"/>
    <x v="11"/>
    <x v="2"/>
  </r>
  <r>
    <s v="TX502086"/>
    <x v="5"/>
    <x v="1"/>
    <n v="85"/>
    <x v="393"/>
    <x v="76"/>
    <x v="78"/>
    <x v="2"/>
    <x v="1"/>
    <x v="0"/>
    <x v="0"/>
    <x v="7"/>
    <x v="1"/>
    <x v="11"/>
    <x v="2"/>
  </r>
  <r>
    <s v="TX502087"/>
    <x v="8"/>
    <x v="2"/>
    <n v="56.6"/>
    <x v="1026"/>
    <x v="76"/>
    <x v="83"/>
    <x v="2"/>
    <x v="1"/>
    <x v="2"/>
    <x v="0"/>
    <x v="7"/>
    <x v="3"/>
    <x v="11"/>
    <x v="2"/>
  </r>
  <r>
    <s v="TX502088"/>
    <x v="15"/>
    <x v="6"/>
    <n v="46.3"/>
    <x v="1585"/>
    <x v="76"/>
    <x v="75"/>
    <x v="1"/>
    <x v="0"/>
    <x v="0"/>
    <x v="0"/>
    <x v="7"/>
    <x v="2"/>
    <x v="11"/>
    <x v="1"/>
  </r>
  <r>
    <s v="TX502089"/>
    <x v="14"/>
    <x v="12"/>
    <n v="23"/>
    <x v="988"/>
    <x v="76"/>
    <x v="80"/>
    <x v="1"/>
    <x v="3"/>
    <x v="2"/>
    <x v="0"/>
    <x v="7"/>
    <x v="5"/>
    <x v="11"/>
    <x v="1"/>
  </r>
  <r>
    <s v="TX502090"/>
    <x v="8"/>
    <x v="13"/>
    <n v="42.1"/>
    <x v="1586"/>
    <x v="76"/>
    <x v="78"/>
    <x v="1"/>
    <x v="4"/>
    <x v="0"/>
    <x v="0"/>
    <x v="8"/>
    <x v="1"/>
    <x v="11"/>
    <x v="1"/>
  </r>
  <r>
    <s v="TX502091"/>
    <x v="5"/>
    <x v="3"/>
    <n v="57.4"/>
    <x v="1587"/>
    <x v="76"/>
    <x v="80"/>
    <x v="2"/>
    <x v="1"/>
    <x v="4"/>
    <x v="0"/>
    <x v="8"/>
    <x v="5"/>
    <x v="11"/>
    <x v="2"/>
  </r>
  <r>
    <s v="TX502092"/>
    <x v="0"/>
    <x v="13"/>
    <n v="13.2"/>
    <x v="1113"/>
    <x v="76"/>
    <x v="80"/>
    <x v="1"/>
    <x v="2"/>
    <x v="0"/>
    <x v="0"/>
    <x v="8"/>
    <x v="5"/>
    <x v="11"/>
    <x v="1"/>
  </r>
  <r>
    <s v="TX502093"/>
    <x v="6"/>
    <x v="2"/>
    <n v="52.3"/>
    <x v="1588"/>
    <x v="76"/>
    <x v="83"/>
    <x v="1"/>
    <x v="1"/>
    <x v="0"/>
    <x v="0"/>
    <x v="8"/>
    <x v="3"/>
    <x v="11"/>
    <x v="1"/>
  </r>
  <r>
    <s v="TX502094"/>
    <x v="8"/>
    <x v="1"/>
    <n v="15.7"/>
    <x v="1323"/>
    <x v="76"/>
    <x v="75"/>
    <x v="1"/>
    <x v="1"/>
    <x v="2"/>
    <x v="0"/>
    <x v="8"/>
    <x v="2"/>
    <x v="11"/>
    <x v="1"/>
  </r>
  <r>
    <s v="TX502095"/>
    <x v="7"/>
    <x v="2"/>
    <n v="35"/>
    <x v="211"/>
    <x v="76"/>
    <x v="75"/>
    <x v="2"/>
    <x v="1"/>
    <x v="2"/>
    <x v="0"/>
    <x v="9"/>
    <x v="2"/>
    <x v="11"/>
    <x v="2"/>
  </r>
  <r>
    <s v="TX502096"/>
    <x v="4"/>
    <x v="2"/>
    <n v="26.6"/>
    <x v="1589"/>
    <x v="76"/>
    <x v="73"/>
    <x v="1"/>
    <x v="1"/>
    <x v="2"/>
    <x v="0"/>
    <x v="11"/>
    <x v="7"/>
    <x v="11"/>
    <x v="1"/>
  </r>
  <r>
    <s v="TX502097"/>
    <x v="4"/>
    <x v="8"/>
    <n v="47.9"/>
    <x v="1590"/>
    <x v="77"/>
    <x v="78"/>
    <x v="2"/>
    <x v="3"/>
    <x v="2"/>
    <x v="0"/>
    <x v="20"/>
    <x v="3"/>
    <x v="11"/>
    <x v="2"/>
  </r>
  <r>
    <s v="TX502098"/>
    <x v="5"/>
    <x v="0"/>
    <n v="80.099999999999994"/>
    <x v="1133"/>
    <x v="77"/>
    <x v="78"/>
    <x v="1"/>
    <x v="2"/>
    <x v="0"/>
    <x v="0"/>
    <x v="21"/>
    <x v="3"/>
    <x v="11"/>
    <x v="1"/>
  </r>
  <r>
    <s v="TX502099"/>
    <x v="6"/>
    <x v="9"/>
    <n v="50.4"/>
    <x v="816"/>
    <x v="77"/>
    <x v="78"/>
    <x v="1"/>
    <x v="1"/>
    <x v="2"/>
    <x v="0"/>
    <x v="21"/>
    <x v="3"/>
    <x v="11"/>
    <x v="1"/>
  </r>
  <r>
    <s v="TX502100"/>
    <x v="10"/>
    <x v="3"/>
    <n v="43.3"/>
    <x v="1591"/>
    <x v="77"/>
    <x v="78"/>
    <x v="1"/>
    <x v="2"/>
    <x v="0"/>
    <x v="0"/>
    <x v="21"/>
    <x v="3"/>
    <x v="11"/>
    <x v="1"/>
  </r>
  <r>
    <s v="TX502101"/>
    <x v="10"/>
    <x v="12"/>
    <n v="57.5"/>
    <x v="984"/>
    <x v="77"/>
    <x v="78"/>
    <x v="2"/>
    <x v="1"/>
    <x v="2"/>
    <x v="0"/>
    <x v="1"/>
    <x v="3"/>
    <x v="11"/>
    <x v="2"/>
  </r>
  <r>
    <s v="TX502102"/>
    <x v="9"/>
    <x v="15"/>
    <n v="24.8"/>
    <x v="1592"/>
    <x v="77"/>
    <x v="78"/>
    <x v="1"/>
    <x v="0"/>
    <x v="0"/>
    <x v="0"/>
    <x v="57"/>
    <x v="3"/>
    <x v="11"/>
    <x v="1"/>
  </r>
  <r>
    <s v="TX502103"/>
    <x v="2"/>
    <x v="11"/>
    <n v="85.7"/>
    <x v="1593"/>
    <x v="77"/>
    <x v="78"/>
    <x v="2"/>
    <x v="0"/>
    <x v="0"/>
    <x v="0"/>
    <x v="42"/>
    <x v="3"/>
    <x v="11"/>
    <x v="2"/>
  </r>
  <r>
    <s v="TX502104"/>
    <x v="7"/>
    <x v="0"/>
    <n v="47.1"/>
    <x v="392"/>
    <x v="77"/>
    <x v="75"/>
    <x v="2"/>
    <x v="0"/>
    <x v="0"/>
    <x v="0"/>
    <x v="2"/>
    <x v="1"/>
    <x v="11"/>
    <x v="2"/>
  </r>
  <r>
    <s v="TX502105"/>
    <x v="5"/>
    <x v="7"/>
    <n v="83.2"/>
    <x v="1594"/>
    <x v="77"/>
    <x v="79"/>
    <x v="2"/>
    <x v="0"/>
    <x v="0"/>
    <x v="0"/>
    <x v="33"/>
    <x v="5"/>
    <x v="11"/>
    <x v="2"/>
  </r>
  <r>
    <s v="TX502106"/>
    <x v="2"/>
    <x v="2"/>
    <n v="157"/>
    <x v="1595"/>
    <x v="77"/>
    <x v="75"/>
    <x v="2"/>
    <x v="0"/>
    <x v="2"/>
    <x v="0"/>
    <x v="22"/>
    <x v="1"/>
    <x v="11"/>
    <x v="2"/>
  </r>
  <r>
    <s v="TX502107"/>
    <x v="16"/>
    <x v="12"/>
    <n v="33.700000000000003"/>
    <x v="1093"/>
    <x v="77"/>
    <x v="78"/>
    <x v="1"/>
    <x v="2"/>
    <x v="2"/>
    <x v="0"/>
    <x v="22"/>
    <x v="3"/>
    <x v="11"/>
    <x v="1"/>
  </r>
  <r>
    <s v="TX502108"/>
    <x v="2"/>
    <x v="2"/>
    <n v="60.8"/>
    <x v="1596"/>
    <x v="77"/>
    <x v="79"/>
    <x v="2"/>
    <x v="1"/>
    <x v="1"/>
    <x v="0"/>
    <x v="3"/>
    <x v="5"/>
    <x v="11"/>
    <x v="2"/>
  </r>
  <r>
    <s v="TX502109"/>
    <x v="7"/>
    <x v="0"/>
    <n v="57.6"/>
    <x v="636"/>
    <x v="77"/>
    <x v="78"/>
    <x v="1"/>
    <x v="1"/>
    <x v="4"/>
    <x v="0"/>
    <x v="3"/>
    <x v="3"/>
    <x v="11"/>
    <x v="1"/>
  </r>
  <r>
    <s v="TX502110"/>
    <x v="10"/>
    <x v="0"/>
    <n v="32"/>
    <x v="109"/>
    <x v="77"/>
    <x v="75"/>
    <x v="1"/>
    <x v="0"/>
    <x v="0"/>
    <x v="0"/>
    <x v="3"/>
    <x v="1"/>
    <x v="11"/>
    <x v="1"/>
  </r>
  <r>
    <s v="TX502111"/>
    <x v="10"/>
    <x v="12"/>
    <n v="23.5"/>
    <x v="255"/>
    <x v="77"/>
    <x v="78"/>
    <x v="2"/>
    <x v="0"/>
    <x v="2"/>
    <x v="0"/>
    <x v="3"/>
    <x v="3"/>
    <x v="11"/>
    <x v="2"/>
  </r>
  <r>
    <s v="TX502112"/>
    <x v="12"/>
    <x v="2"/>
    <n v="44.8"/>
    <x v="1597"/>
    <x v="77"/>
    <x v="78"/>
    <x v="3"/>
    <x v="4"/>
    <x v="0"/>
    <x v="0"/>
    <x v="3"/>
    <x v="3"/>
    <x v="11"/>
    <x v="3"/>
  </r>
  <r>
    <s v="TX502113"/>
    <x v="0"/>
    <x v="8"/>
    <n v="11.7"/>
    <x v="64"/>
    <x v="77"/>
    <x v="78"/>
    <x v="1"/>
    <x v="2"/>
    <x v="2"/>
    <x v="0"/>
    <x v="3"/>
    <x v="3"/>
    <x v="11"/>
    <x v="1"/>
  </r>
  <r>
    <s v="TX502114"/>
    <x v="7"/>
    <x v="1"/>
    <n v="38.799999999999997"/>
    <x v="1598"/>
    <x v="77"/>
    <x v="80"/>
    <x v="2"/>
    <x v="2"/>
    <x v="0"/>
    <x v="0"/>
    <x v="3"/>
    <x v="2"/>
    <x v="11"/>
    <x v="2"/>
  </r>
  <r>
    <s v="TX502115"/>
    <x v="5"/>
    <x v="21"/>
    <n v="86.9"/>
    <x v="1599"/>
    <x v="77"/>
    <x v="77"/>
    <x v="2"/>
    <x v="1"/>
    <x v="0"/>
    <x v="0"/>
    <x v="3"/>
    <x v="0"/>
    <x v="11"/>
    <x v="2"/>
  </r>
  <r>
    <s v="TX502116"/>
    <x v="8"/>
    <x v="0"/>
    <n v="18.3"/>
    <x v="1600"/>
    <x v="77"/>
    <x v="78"/>
    <x v="2"/>
    <x v="0"/>
    <x v="0"/>
    <x v="0"/>
    <x v="3"/>
    <x v="3"/>
    <x v="11"/>
    <x v="2"/>
  </r>
  <r>
    <s v="TX502117"/>
    <x v="5"/>
    <x v="0"/>
    <n v="47.5"/>
    <x v="1601"/>
    <x v="77"/>
    <x v="79"/>
    <x v="1"/>
    <x v="4"/>
    <x v="2"/>
    <x v="0"/>
    <x v="3"/>
    <x v="5"/>
    <x v="11"/>
    <x v="1"/>
  </r>
  <r>
    <s v="TX502118"/>
    <x v="1"/>
    <x v="1"/>
    <n v="78.599999999999994"/>
    <x v="507"/>
    <x v="77"/>
    <x v="78"/>
    <x v="1"/>
    <x v="2"/>
    <x v="2"/>
    <x v="0"/>
    <x v="3"/>
    <x v="3"/>
    <x v="11"/>
    <x v="1"/>
  </r>
  <r>
    <s v="TX502119"/>
    <x v="6"/>
    <x v="12"/>
    <n v="87.3"/>
    <x v="1602"/>
    <x v="77"/>
    <x v="78"/>
    <x v="1"/>
    <x v="0"/>
    <x v="0"/>
    <x v="0"/>
    <x v="3"/>
    <x v="3"/>
    <x v="11"/>
    <x v="1"/>
  </r>
  <r>
    <s v="TX502120"/>
    <x v="9"/>
    <x v="1"/>
    <n v="63.2"/>
    <x v="628"/>
    <x v="77"/>
    <x v="83"/>
    <x v="1"/>
    <x v="4"/>
    <x v="1"/>
    <x v="0"/>
    <x v="3"/>
    <x v="7"/>
    <x v="11"/>
    <x v="1"/>
  </r>
  <r>
    <s v="TX502121"/>
    <x v="5"/>
    <x v="9"/>
    <n v="33.700000000000003"/>
    <x v="1603"/>
    <x v="77"/>
    <x v="78"/>
    <x v="2"/>
    <x v="0"/>
    <x v="0"/>
    <x v="0"/>
    <x v="3"/>
    <x v="3"/>
    <x v="11"/>
    <x v="2"/>
  </r>
  <r>
    <s v="TX502122"/>
    <x v="2"/>
    <x v="2"/>
    <n v="107.4"/>
    <x v="1604"/>
    <x v="77"/>
    <x v="84"/>
    <x v="2"/>
    <x v="1"/>
    <x v="2"/>
    <x v="0"/>
    <x v="3"/>
    <x v="10"/>
    <x v="11"/>
    <x v="2"/>
  </r>
  <r>
    <s v="TX502123"/>
    <x v="4"/>
    <x v="12"/>
    <n v="22.2"/>
    <x v="1605"/>
    <x v="77"/>
    <x v="78"/>
    <x v="0"/>
    <x v="1"/>
    <x v="2"/>
    <x v="0"/>
    <x v="24"/>
    <x v="3"/>
    <x v="11"/>
    <x v="0"/>
  </r>
  <r>
    <s v="TX502124"/>
    <x v="18"/>
    <x v="2"/>
    <n v="52.8"/>
    <x v="1329"/>
    <x v="77"/>
    <x v="78"/>
    <x v="1"/>
    <x v="3"/>
    <x v="2"/>
    <x v="0"/>
    <x v="24"/>
    <x v="3"/>
    <x v="11"/>
    <x v="1"/>
  </r>
  <r>
    <s v="TX502125"/>
    <x v="8"/>
    <x v="2"/>
    <n v="41.5"/>
    <x v="376"/>
    <x v="77"/>
    <x v="80"/>
    <x v="2"/>
    <x v="0"/>
    <x v="0"/>
    <x v="0"/>
    <x v="25"/>
    <x v="2"/>
    <x v="11"/>
    <x v="2"/>
  </r>
  <r>
    <s v="TX502126"/>
    <x v="12"/>
    <x v="8"/>
    <n v="103.5"/>
    <x v="1606"/>
    <x v="77"/>
    <x v="80"/>
    <x v="2"/>
    <x v="0"/>
    <x v="2"/>
    <x v="0"/>
    <x v="23"/>
    <x v="2"/>
    <x v="11"/>
    <x v="2"/>
  </r>
  <r>
    <s v="TX502127"/>
    <x v="4"/>
    <x v="21"/>
    <n v="37.5"/>
    <x v="1469"/>
    <x v="77"/>
    <x v="83"/>
    <x v="2"/>
    <x v="1"/>
    <x v="2"/>
    <x v="0"/>
    <x v="6"/>
    <x v="7"/>
    <x v="11"/>
    <x v="2"/>
  </r>
  <r>
    <s v="TX502128"/>
    <x v="15"/>
    <x v="8"/>
    <n v="44.4"/>
    <x v="1607"/>
    <x v="77"/>
    <x v="82"/>
    <x v="2"/>
    <x v="3"/>
    <x v="2"/>
    <x v="0"/>
    <x v="7"/>
    <x v="4"/>
    <x v="11"/>
    <x v="2"/>
  </r>
  <r>
    <s v="TX502129"/>
    <x v="8"/>
    <x v="2"/>
    <n v="26.2"/>
    <x v="1608"/>
    <x v="77"/>
    <x v="78"/>
    <x v="1"/>
    <x v="0"/>
    <x v="0"/>
    <x v="0"/>
    <x v="8"/>
    <x v="3"/>
    <x v="11"/>
    <x v="1"/>
  </r>
  <r>
    <s v="TX502130"/>
    <x v="1"/>
    <x v="3"/>
    <n v="32.200000000000003"/>
    <x v="1009"/>
    <x v="77"/>
    <x v="78"/>
    <x v="2"/>
    <x v="1"/>
    <x v="2"/>
    <x v="0"/>
    <x v="8"/>
    <x v="3"/>
    <x v="11"/>
    <x v="2"/>
  </r>
  <r>
    <s v="TX502131"/>
    <x v="8"/>
    <x v="0"/>
    <n v="17.399999999999999"/>
    <x v="1609"/>
    <x v="77"/>
    <x v="79"/>
    <x v="0"/>
    <x v="2"/>
    <x v="1"/>
    <x v="0"/>
    <x v="8"/>
    <x v="5"/>
    <x v="11"/>
    <x v="0"/>
  </r>
  <r>
    <s v="TX502132"/>
    <x v="8"/>
    <x v="13"/>
    <n v="72.3"/>
    <x v="1610"/>
    <x v="77"/>
    <x v="80"/>
    <x v="2"/>
    <x v="0"/>
    <x v="0"/>
    <x v="0"/>
    <x v="8"/>
    <x v="2"/>
    <x v="11"/>
    <x v="2"/>
  </r>
  <r>
    <s v="TX502133"/>
    <x v="8"/>
    <x v="5"/>
    <n v="24.3"/>
    <x v="1611"/>
    <x v="77"/>
    <x v="78"/>
    <x v="1"/>
    <x v="0"/>
    <x v="0"/>
    <x v="0"/>
    <x v="8"/>
    <x v="3"/>
    <x v="11"/>
    <x v="1"/>
  </r>
  <r>
    <s v="TX502134"/>
    <x v="13"/>
    <x v="2"/>
    <n v="49.1"/>
    <x v="824"/>
    <x v="77"/>
    <x v="82"/>
    <x v="1"/>
    <x v="2"/>
    <x v="4"/>
    <x v="0"/>
    <x v="8"/>
    <x v="4"/>
    <x v="11"/>
    <x v="1"/>
  </r>
  <r>
    <s v="TX502135"/>
    <x v="2"/>
    <x v="7"/>
    <n v="234.7"/>
    <x v="1612"/>
    <x v="77"/>
    <x v="78"/>
    <x v="1"/>
    <x v="3"/>
    <x v="1"/>
    <x v="0"/>
    <x v="8"/>
    <x v="3"/>
    <x v="11"/>
    <x v="1"/>
  </r>
  <r>
    <s v="TX502136"/>
    <x v="3"/>
    <x v="9"/>
    <n v="76.099999999999994"/>
    <x v="1613"/>
    <x v="77"/>
    <x v="75"/>
    <x v="1"/>
    <x v="1"/>
    <x v="1"/>
    <x v="0"/>
    <x v="17"/>
    <x v="1"/>
    <x v="11"/>
    <x v="1"/>
  </r>
  <r>
    <s v="TX502137"/>
    <x v="1"/>
    <x v="2"/>
    <n v="93.9"/>
    <x v="1614"/>
    <x v="77"/>
    <x v="78"/>
    <x v="1"/>
    <x v="1"/>
    <x v="4"/>
    <x v="0"/>
    <x v="11"/>
    <x v="3"/>
    <x v="11"/>
    <x v="1"/>
  </r>
  <r>
    <s v="TX502138"/>
    <x v="2"/>
    <x v="12"/>
    <n v="187"/>
    <x v="1615"/>
    <x v="78"/>
    <x v="79"/>
    <x v="1"/>
    <x v="0"/>
    <x v="0"/>
    <x v="0"/>
    <x v="11"/>
    <x v="2"/>
    <x v="11"/>
    <x v="1"/>
  </r>
  <r>
    <s v="TX502139"/>
    <x v="8"/>
    <x v="1"/>
    <n v="18"/>
    <x v="53"/>
    <x v="78"/>
    <x v="75"/>
    <x v="2"/>
    <x v="1"/>
    <x v="2"/>
    <x v="0"/>
    <x v="53"/>
    <x v="3"/>
    <x v="11"/>
    <x v="2"/>
  </r>
  <r>
    <s v="TX502140"/>
    <x v="4"/>
    <x v="0"/>
    <n v="24.4"/>
    <x v="1616"/>
    <x v="78"/>
    <x v="75"/>
    <x v="2"/>
    <x v="4"/>
    <x v="2"/>
    <x v="0"/>
    <x v="21"/>
    <x v="3"/>
    <x v="11"/>
    <x v="2"/>
  </r>
  <r>
    <s v="TX502141"/>
    <x v="10"/>
    <x v="1"/>
    <n v="38.799999999999997"/>
    <x v="1598"/>
    <x v="78"/>
    <x v="75"/>
    <x v="1"/>
    <x v="4"/>
    <x v="1"/>
    <x v="0"/>
    <x v="3"/>
    <x v="3"/>
    <x v="11"/>
    <x v="1"/>
  </r>
  <r>
    <s v="TX502142"/>
    <x v="3"/>
    <x v="0"/>
    <n v="59.7"/>
    <x v="1201"/>
    <x v="78"/>
    <x v="79"/>
    <x v="1"/>
    <x v="3"/>
    <x v="0"/>
    <x v="0"/>
    <x v="3"/>
    <x v="2"/>
    <x v="11"/>
    <x v="1"/>
  </r>
  <r>
    <s v="TX502143"/>
    <x v="7"/>
    <x v="0"/>
    <n v="31.2"/>
    <x v="406"/>
    <x v="78"/>
    <x v="75"/>
    <x v="1"/>
    <x v="1"/>
    <x v="2"/>
    <x v="0"/>
    <x v="3"/>
    <x v="3"/>
    <x v="11"/>
    <x v="1"/>
  </r>
  <r>
    <s v="TX502144"/>
    <x v="0"/>
    <x v="0"/>
    <n v="16.8"/>
    <x v="749"/>
    <x v="78"/>
    <x v="75"/>
    <x v="2"/>
    <x v="2"/>
    <x v="1"/>
    <x v="0"/>
    <x v="3"/>
    <x v="3"/>
    <x v="11"/>
    <x v="2"/>
  </r>
  <r>
    <s v="TX502145"/>
    <x v="8"/>
    <x v="0"/>
    <n v="46"/>
    <x v="716"/>
    <x v="78"/>
    <x v="75"/>
    <x v="1"/>
    <x v="0"/>
    <x v="0"/>
    <x v="0"/>
    <x v="3"/>
    <x v="3"/>
    <x v="11"/>
    <x v="1"/>
  </r>
  <r>
    <s v="TX502146"/>
    <x v="9"/>
    <x v="8"/>
    <n v="42.2"/>
    <x v="1617"/>
    <x v="78"/>
    <x v="79"/>
    <x v="2"/>
    <x v="3"/>
    <x v="2"/>
    <x v="0"/>
    <x v="3"/>
    <x v="2"/>
    <x v="11"/>
    <x v="2"/>
  </r>
  <r>
    <s v="TX502147"/>
    <x v="1"/>
    <x v="2"/>
    <n v="71.5"/>
    <x v="523"/>
    <x v="78"/>
    <x v="85"/>
    <x v="2"/>
    <x v="0"/>
    <x v="0"/>
    <x v="0"/>
    <x v="3"/>
    <x v="12"/>
    <x v="11"/>
    <x v="2"/>
  </r>
  <r>
    <s v="TX502148"/>
    <x v="1"/>
    <x v="1"/>
    <n v="76.599999999999994"/>
    <x v="1618"/>
    <x v="78"/>
    <x v="78"/>
    <x v="1"/>
    <x v="0"/>
    <x v="2"/>
    <x v="0"/>
    <x v="3"/>
    <x v="7"/>
    <x v="11"/>
    <x v="1"/>
  </r>
  <r>
    <s v="TX502149"/>
    <x v="12"/>
    <x v="1"/>
    <n v="87.3"/>
    <x v="1619"/>
    <x v="78"/>
    <x v="86"/>
    <x v="2"/>
    <x v="3"/>
    <x v="2"/>
    <x v="0"/>
    <x v="3"/>
    <x v="9"/>
    <x v="11"/>
    <x v="2"/>
  </r>
  <r>
    <s v="TX502150"/>
    <x v="1"/>
    <x v="0"/>
    <n v="63"/>
    <x v="1620"/>
    <x v="78"/>
    <x v="79"/>
    <x v="1"/>
    <x v="3"/>
    <x v="0"/>
    <x v="0"/>
    <x v="3"/>
    <x v="2"/>
    <x v="11"/>
    <x v="1"/>
  </r>
  <r>
    <s v="TX502151"/>
    <x v="8"/>
    <x v="1"/>
    <n v="41.7"/>
    <x v="925"/>
    <x v="78"/>
    <x v="75"/>
    <x v="2"/>
    <x v="4"/>
    <x v="1"/>
    <x v="0"/>
    <x v="43"/>
    <x v="3"/>
    <x v="11"/>
    <x v="2"/>
  </r>
  <r>
    <s v="TX502152"/>
    <x v="6"/>
    <x v="1"/>
    <n v="76.099999999999994"/>
    <x v="1621"/>
    <x v="78"/>
    <x v="78"/>
    <x v="2"/>
    <x v="4"/>
    <x v="2"/>
    <x v="0"/>
    <x v="16"/>
    <x v="7"/>
    <x v="11"/>
    <x v="2"/>
  </r>
  <r>
    <s v="TX502153"/>
    <x v="13"/>
    <x v="1"/>
    <n v="28.5"/>
    <x v="933"/>
    <x v="78"/>
    <x v="75"/>
    <x v="2"/>
    <x v="0"/>
    <x v="2"/>
    <x v="0"/>
    <x v="4"/>
    <x v="3"/>
    <x v="11"/>
    <x v="2"/>
  </r>
  <r>
    <s v="TX502154"/>
    <x v="0"/>
    <x v="12"/>
    <n v="32.1"/>
    <x v="58"/>
    <x v="78"/>
    <x v="75"/>
    <x v="2"/>
    <x v="1"/>
    <x v="2"/>
    <x v="0"/>
    <x v="25"/>
    <x v="3"/>
    <x v="11"/>
    <x v="2"/>
  </r>
  <r>
    <s v="TX502155"/>
    <x v="4"/>
    <x v="2"/>
    <n v="39"/>
    <x v="1622"/>
    <x v="78"/>
    <x v="79"/>
    <x v="1"/>
    <x v="1"/>
    <x v="2"/>
    <x v="0"/>
    <x v="25"/>
    <x v="2"/>
    <x v="11"/>
    <x v="1"/>
  </r>
  <r>
    <s v="TX502156"/>
    <x v="6"/>
    <x v="0"/>
    <n v="78.5"/>
    <x v="1623"/>
    <x v="78"/>
    <x v="75"/>
    <x v="1"/>
    <x v="1"/>
    <x v="0"/>
    <x v="0"/>
    <x v="6"/>
    <x v="3"/>
    <x v="11"/>
    <x v="1"/>
  </r>
  <r>
    <s v="TX502157"/>
    <x v="4"/>
    <x v="9"/>
    <n v="49.7"/>
    <x v="1624"/>
    <x v="78"/>
    <x v="80"/>
    <x v="2"/>
    <x v="0"/>
    <x v="0"/>
    <x v="0"/>
    <x v="6"/>
    <x v="1"/>
    <x v="11"/>
    <x v="2"/>
  </r>
  <r>
    <s v="TX502158"/>
    <x v="1"/>
    <x v="12"/>
    <n v="68.400000000000006"/>
    <x v="1625"/>
    <x v="78"/>
    <x v="75"/>
    <x v="2"/>
    <x v="2"/>
    <x v="2"/>
    <x v="0"/>
    <x v="7"/>
    <x v="3"/>
    <x v="11"/>
    <x v="2"/>
  </r>
  <r>
    <s v="TX502159"/>
    <x v="3"/>
    <x v="1"/>
    <n v="72.900000000000006"/>
    <x v="1626"/>
    <x v="78"/>
    <x v="79"/>
    <x v="0"/>
    <x v="0"/>
    <x v="2"/>
    <x v="0"/>
    <x v="7"/>
    <x v="2"/>
    <x v="11"/>
    <x v="0"/>
  </r>
  <r>
    <s v="TX502160"/>
    <x v="5"/>
    <x v="15"/>
    <n v="30.3"/>
    <x v="1627"/>
    <x v="78"/>
    <x v="75"/>
    <x v="1"/>
    <x v="4"/>
    <x v="0"/>
    <x v="0"/>
    <x v="7"/>
    <x v="3"/>
    <x v="11"/>
    <x v="1"/>
  </r>
  <r>
    <s v="TX502161"/>
    <x v="6"/>
    <x v="5"/>
    <n v="57.9"/>
    <x v="1628"/>
    <x v="78"/>
    <x v="75"/>
    <x v="2"/>
    <x v="0"/>
    <x v="0"/>
    <x v="0"/>
    <x v="8"/>
    <x v="3"/>
    <x v="11"/>
    <x v="2"/>
  </r>
  <r>
    <s v="TX502162"/>
    <x v="1"/>
    <x v="0"/>
    <n v="96.7"/>
    <x v="1629"/>
    <x v="78"/>
    <x v="75"/>
    <x v="1"/>
    <x v="0"/>
    <x v="0"/>
    <x v="0"/>
    <x v="8"/>
    <x v="3"/>
    <x v="11"/>
    <x v="1"/>
  </r>
  <r>
    <s v="TX502163"/>
    <x v="8"/>
    <x v="4"/>
    <n v="27.6"/>
    <x v="1630"/>
    <x v="78"/>
    <x v="80"/>
    <x v="1"/>
    <x v="2"/>
    <x v="2"/>
    <x v="0"/>
    <x v="8"/>
    <x v="1"/>
    <x v="11"/>
    <x v="1"/>
  </r>
  <r>
    <s v="TX502164"/>
    <x v="6"/>
    <x v="12"/>
    <n v="64.7"/>
    <x v="536"/>
    <x v="78"/>
    <x v="78"/>
    <x v="1"/>
    <x v="3"/>
    <x v="2"/>
    <x v="0"/>
    <x v="8"/>
    <x v="7"/>
    <x v="11"/>
    <x v="1"/>
  </r>
  <r>
    <s v="TX502165"/>
    <x v="10"/>
    <x v="13"/>
    <n v="30.5"/>
    <x v="1143"/>
    <x v="78"/>
    <x v="75"/>
    <x v="1"/>
    <x v="4"/>
    <x v="0"/>
    <x v="0"/>
    <x v="8"/>
    <x v="3"/>
    <x v="11"/>
    <x v="1"/>
  </r>
  <r>
    <s v="TX502166"/>
    <x v="6"/>
    <x v="47"/>
    <n v="106"/>
    <x v="1631"/>
    <x v="79"/>
    <x v="79"/>
    <x v="1"/>
    <x v="4"/>
    <x v="2"/>
    <x v="0"/>
    <x v="8"/>
    <x v="1"/>
    <x v="11"/>
    <x v="1"/>
  </r>
  <r>
    <s v="TX502167"/>
    <x v="12"/>
    <x v="9"/>
    <n v="76.8"/>
    <x v="1632"/>
    <x v="79"/>
    <x v="87"/>
    <x v="0"/>
    <x v="1"/>
    <x v="1"/>
    <x v="0"/>
    <x v="18"/>
    <x v="4"/>
    <x v="11"/>
    <x v="0"/>
  </r>
  <r>
    <s v="TX502168"/>
    <x v="6"/>
    <x v="1"/>
    <n v="80.400000000000006"/>
    <x v="1530"/>
    <x v="79"/>
    <x v="80"/>
    <x v="2"/>
    <x v="2"/>
    <x v="0"/>
    <x v="0"/>
    <x v="13"/>
    <x v="3"/>
    <x v="11"/>
    <x v="2"/>
  </r>
  <r>
    <s v="TX502169"/>
    <x v="6"/>
    <x v="12"/>
    <n v="69.099999999999994"/>
    <x v="1633"/>
    <x v="79"/>
    <x v="80"/>
    <x v="1"/>
    <x v="1"/>
    <x v="2"/>
    <x v="0"/>
    <x v="21"/>
    <x v="3"/>
    <x v="11"/>
    <x v="1"/>
  </r>
  <r>
    <s v="TX502170"/>
    <x v="18"/>
    <x v="1"/>
    <n v="76.400000000000006"/>
    <x v="1634"/>
    <x v="79"/>
    <x v="75"/>
    <x v="1"/>
    <x v="3"/>
    <x v="0"/>
    <x v="0"/>
    <x v="21"/>
    <x v="7"/>
    <x v="11"/>
    <x v="1"/>
  </r>
  <r>
    <s v="TX502171"/>
    <x v="2"/>
    <x v="1"/>
    <n v="61.3"/>
    <x v="384"/>
    <x v="79"/>
    <x v="80"/>
    <x v="2"/>
    <x v="1"/>
    <x v="1"/>
    <x v="0"/>
    <x v="21"/>
    <x v="3"/>
    <x v="11"/>
    <x v="2"/>
  </r>
  <r>
    <s v="TX502172"/>
    <x v="7"/>
    <x v="0"/>
    <n v="58"/>
    <x v="1635"/>
    <x v="79"/>
    <x v="80"/>
    <x v="1"/>
    <x v="3"/>
    <x v="1"/>
    <x v="0"/>
    <x v="1"/>
    <x v="3"/>
    <x v="11"/>
    <x v="1"/>
  </r>
  <r>
    <s v="TX502173"/>
    <x v="2"/>
    <x v="8"/>
    <n v="102.3"/>
    <x v="1636"/>
    <x v="79"/>
    <x v="79"/>
    <x v="1"/>
    <x v="2"/>
    <x v="0"/>
    <x v="0"/>
    <x v="42"/>
    <x v="1"/>
    <x v="11"/>
    <x v="1"/>
  </r>
  <r>
    <s v="TX502174"/>
    <x v="19"/>
    <x v="1"/>
    <n v="13.8"/>
    <x v="1637"/>
    <x v="79"/>
    <x v="80"/>
    <x v="2"/>
    <x v="4"/>
    <x v="2"/>
    <x v="0"/>
    <x v="2"/>
    <x v="3"/>
    <x v="11"/>
    <x v="2"/>
  </r>
  <r>
    <s v="TX502175"/>
    <x v="8"/>
    <x v="2"/>
    <n v="33.299999999999997"/>
    <x v="1638"/>
    <x v="79"/>
    <x v="77"/>
    <x v="2"/>
    <x v="2"/>
    <x v="0"/>
    <x v="0"/>
    <x v="22"/>
    <x v="2"/>
    <x v="11"/>
    <x v="2"/>
  </r>
  <r>
    <s v="TX502176"/>
    <x v="10"/>
    <x v="0"/>
    <n v="27.4"/>
    <x v="1639"/>
    <x v="79"/>
    <x v="77"/>
    <x v="1"/>
    <x v="0"/>
    <x v="2"/>
    <x v="0"/>
    <x v="22"/>
    <x v="2"/>
    <x v="11"/>
    <x v="1"/>
  </r>
  <r>
    <s v="TX502177"/>
    <x v="14"/>
    <x v="1"/>
    <n v="25.6"/>
    <x v="180"/>
    <x v="79"/>
    <x v="80"/>
    <x v="2"/>
    <x v="1"/>
    <x v="1"/>
    <x v="0"/>
    <x v="3"/>
    <x v="3"/>
    <x v="11"/>
    <x v="2"/>
  </r>
  <r>
    <s v="TX502178"/>
    <x v="13"/>
    <x v="0"/>
    <n v="58.4"/>
    <x v="305"/>
    <x v="79"/>
    <x v="80"/>
    <x v="2"/>
    <x v="2"/>
    <x v="2"/>
    <x v="0"/>
    <x v="3"/>
    <x v="3"/>
    <x v="11"/>
    <x v="2"/>
  </r>
  <r>
    <s v="TX502179"/>
    <x v="11"/>
    <x v="17"/>
    <n v="27"/>
    <x v="906"/>
    <x v="79"/>
    <x v="80"/>
    <x v="2"/>
    <x v="4"/>
    <x v="0"/>
    <x v="0"/>
    <x v="3"/>
    <x v="3"/>
    <x v="11"/>
    <x v="2"/>
  </r>
  <r>
    <s v="TX502180"/>
    <x v="0"/>
    <x v="12"/>
    <n v="14.2"/>
    <x v="1640"/>
    <x v="79"/>
    <x v="80"/>
    <x v="1"/>
    <x v="0"/>
    <x v="2"/>
    <x v="0"/>
    <x v="3"/>
    <x v="3"/>
    <x v="11"/>
    <x v="1"/>
  </r>
  <r>
    <s v="TX502181"/>
    <x v="7"/>
    <x v="1"/>
    <n v="68"/>
    <x v="1641"/>
    <x v="79"/>
    <x v="88"/>
    <x v="1"/>
    <x v="2"/>
    <x v="1"/>
    <x v="0"/>
    <x v="3"/>
    <x v="14"/>
    <x v="11"/>
    <x v="1"/>
  </r>
  <r>
    <s v="TX502182"/>
    <x v="8"/>
    <x v="0"/>
    <n v="30.7"/>
    <x v="1642"/>
    <x v="79"/>
    <x v="80"/>
    <x v="1"/>
    <x v="0"/>
    <x v="0"/>
    <x v="0"/>
    <x v="3"/>
    <x v="3"/>
    <x v="11"/>
    <x v="1"/>
  </r>
  <r>
    <s v="TX502183"/>
    <x v="17"/>
    <x v="15"/>
    <n v="51.6"/>
    <x v="1643"/>
    <x v="79"/>
    <x v="77"/>
    <x v="3"/>
    <x v="1"/>
    <x v="2"/>
    <x v="0"/>
    <x v="3"/>
    <x v="2"/>
    <x v="11"/>
    <x v="3"/>
  </r>
  <r>
    <s v="TX502184"/>
    <x v="8"/>
    <x v="2"/>
    <n v="20.6"/>
    <x v="957"/>
    <x v="79"/>
    <x v="82"/>
    <x v="2"/>
    <x v="4"/>
    <x v="2"/>
    <x v="0"/>
    <x v="3"/>
    <x v="5"/>
    <x v="11"/>
    <x v="2"/>
  </r>
  <r>
    <s v="TX502185"/>
    <x v="8"/>
    <x v="0"/>
    <n v="24.8"/>
    <x v="1644"/>
    <x v="79"/>
    <x v="80"/>
    <x v="1"/>
    <x v="4"/>
    <x v="0"/>
    <x v="0"/>
    <x v="3"/>
    <x v="3"/>
    <x v="11"/>
    <x v="1"/>
  </r>
  <r>
    <s v="TX502186"/>
    <x v="0"/>
    <x v="3"/>
    <n v="11.2"/>
    <x v="1645"/>
    <x v="79"/>
    <x v="77"/>
    <x v="1"/>
    <x v="1"/>
    <x v="0"/>
    <x v="0"/>
    <x v="3"/>
    <x v="2"/>
    <x v="11"/>
    <x v="1"/>
  </r>
  <r>
    <s v="TX502187"/>
    <x v="11"/>
    <x v="1"/>
    <n v="51.2"/>
    <x v="298"/>
    <x v="79"/>
    <x v="80"/>
    <x v="2"/>
    <x v="1"/>
    <x v="2"/>
    <x v="0"/>
    <x v="3"/>
    <x v="3"/>
    <x v="11"/>
    <x v="2"/>
  </r>
  <r>
    <s v="TX502188"/>
    <x v="7"/>
    <x v="13"/>
    <n v="90.5"/>
    <x v="1646"/>
    <x v="79"/>
    <x v="80"/>
    <x v="2"/>
    <x v="1"/>
    <x v="4"/>
    <x v="0"/>
    <x v="3"/>
    <x v="3"/>
    <x v="11"/>
    <x v="2"/>
  </r>
  <r>
    <s v="TX502189"/>
    <x v="1"/>
    <x v="1"/>
    <n v="42.4"/>
    <x v="1647"/>
    <x v="79"/>
    <x v="80"/>
    <x v="1"/>
    <x v="1"/>
    <x v="2"/>
    <x v="0"/>
    <x v="4"/>
    <x v="3"/>
    <x v="11"/>
    <x v="1"/>
  </r>
  <r>
    <s v="TX502190"/>
    <x v="1"/>
    <x v="1"/>
    <n v="38.200000000000003"/>
    <x v="1648"/>
    <x v="79"/>
    <x v="80"/>
    <x v="1"/>
    <x v="0"/>
    <x v="0"/>
    <x v="0"/>
    <x v="5"/>
    <x v="3"/>
    <x v="11"/>
    <x v="1"/>
  </r>
  <r>
    <s v="TX502191"/>
    <x v="2"/>
    <x v="11"/>
    <n v="121.3"/>
    <x v="1649"/>
    <x v="79"/>
    <x v="81"/>
    <x v="1"/>
    <x v="0"/>
    <x v="0"/>
    <x v="0"/>
    <x v="6"/>
    <x v="0"/>
    <x v="11"/>
    <x v="1"/>
  </r>
  <r>
    <s v="TX502192"/>
    <x v="6"/>
    <x v="1"/>
    <n v="46.9"/>
    <x v="1650"/>
    <x v="79"/>
    <x v="86"/>
    <x v="1"/>
    <x v="0"/>
    <x v="0"/>
    <x v="0"/>
    <x v="8"/>
    <x v="6"/>
    <x v="11"/>
    <x v="1"/>
  </r>
  <r>
    <s v="TX502193"/>
    <x v="10"/>
    <x v="0"/>
    <n v="55.3"/>
    <x v="6"/>
    <x v="79"/>
    <x v="79"/>
    <x v="1"/>
    <x v="0"/>
    <x v="0"/>
    <x v="0"/>
    <x v="8"/>
    <x v="1"/>
    <x v="11"/>
    <x v="1"/>
  </r>
  <r>
    <s v="TX502194"/>
    <x v="2"/>
    <x v="2"/>
    <n v="70.599999999999994"/>
    <x v="1651"/>
    <x v="80"/>
    <x v="80"/>
    <x v="2"/>
    <x v="0"/>
    <x v="1"/>
    <x v="0"/>
    <x v="8"/>
    <x v="7"/>
    <x v="11"/>
    <x v="2"/>
  </r>
  <r>
    <s v="TX502195"/>
    <x v="14"/>
    <x v="12"/>
    <n v="26.1"/>
    <x v="1652"/>
    <x v="80"/>
    <x v="77"/>
    <x v="1"/>
    <x v="0"/>
    <x v="0"/>
    <x v="0"/>
    <x v="8"/>
    <x v="1"/>
    <x v="11"/>
    <x v="1"/>
  </r>
  <r>
    <s v="TX502196"/>
    <x v="9"/>
    <x v="5"/>
    <n v="34.5"/>
    <x v="1653"/>
    <x v="80"/>
    <x v="81"/>
    <x v="1"/>
    <x v="2"/>
    <x v="0"/>
    <x v="0"/>
    <x v="17"/>
    <x v="5"/>
    <x v="11"/>
    <x v="1"/>
  </r>
  <r>
    <s v="TX502197"/>
    <x v="1"/>
    <x v="1"/>
    <n v="64.2"/>
    <x v="58"/>
    <x v="80"/>
    <x v="79"/>
    <x v="2"/>
    <x v="0"/>
    <x v="1"/>
    <x v="0"/>
    <x v="17"/>
    <x v="3"/>
    <x v="11"/>
    <x v="2"/>
  </r>
  <r>
    <s v="TX502198"/>
    <x v="2"/>
    <x v="12"/>
    <n v="145.69999999999999"/>
    <x v="1654"/>
    <x v="80"/>
    <x v="79"/>
    <x v="2"/>
    <x v="0"/>
    <x v="4"/>
    <x v="0"/>
    <x v="17"/>
    <x v="3"/>
    <x v="11"/>
    <x v="2"/>
  </r>
  <r>
    <s v="TX502199"/>
    <x v="12"/>
    <x v="1"/>
    <n v="78.5"/>
    <x v="1655"/>
    <x v="80"/>
    <x v="79"/>
    <x v="1"/>
    <x v="2"/>
    <x v="0"/>
    <x v="0"/>
    <x v="26"/>
    <x v="3"/>
    <x v="11"/>
    <x v="1"/>
  </r>
  <r>
    <s v="TX502200"/>
    <x v="1"/>
    <x v="0"/>
    <n v="34.200000000000003"/>
    <x v="1656"/>
    <x v="80"/>
    <x v="77"/>
    <x v="1"/>
    <x v="0"/>
    <x v="0"/>
    <x v="0"/>
    <x v="9"/>
    <x v="1"/>
    <x v="11"/>
    <x v="1"/>
  </r>
  <r>
    <s v="TX502201"/>
    <x v="19"/>
    <x v="0"/>
    <n v="26.2"/>
    <x v="1102"/>
    <x v="80"/>
    <x v="79"/>
    <x v="1"/>
    <x v="2"/>
    <x v="0"/>
    <x v="0"/>
    <x v="9"/>
    <x v="3"/>
    <x v="11"/>
    <x v="1"/>
  </r>
  <r>
    <s v="TX502202"/>
    <x v="6"/>
    <x v="12"/>
    <n v="53.2"/>
    <x v="1547"/>
    <x v="80"/>
    <x v="79"/>
    <x v="1"/>
    <x v="1"/>
    <x v="1"/>
    <x v="0"/>
    <x v="11"/>
    <x v="3"/>
    <x v="11"/>
    <x v="1"/>
  </r>
  <r>
    <s v="TX502203"/>
    <x v="1"/>
    <x v="0"/>
    <n v="35.4"/>
    <x v="1657"/>
    <x v="80"/>
    <x v="81"/>
    <x v="1"/>
    <x v="1"/>
    <x v="4"/>
    <x v="0"/>
    <x v="18"/>
    <x v="5"/>
    <x v="11"/>
    <x v="1"/>
  </r>
  <r>
    <s v="TX502204"/>
    <x v="14"/>
    <x v="1"/>
    <n v="21.3"/>
    <x v="440"/>
    <x v="80"/>
    <x v="79"/>
    <x v="1"/>
    <x v="2"/>
    <x v="0"/>
    <x v="0"/>
    <x v="20"/>
    <x v="3"/>
    <x v="11"/>
    <x v="1"/>
  </r>
  <r>
    <s v="TX502205"/>
    <x v="8"/>
    <x v="12"/>
    <n v="32.9"/>
    <x v="1423"/>
    <x v="80"/>
    <x v="82"/>
    <x v="2"/>
    <x v="4"/>
    <x v="2"/>
    <x v="0"/>
    <x v="21"/>
    <x v="2"/>
    <x v="11"/>
    <x v="2"/>
  </r>
  <r>
    <s v="TX502206"/>
    <x v="5"/>
    <x v="20"/>
    <n v="85.5"/>
    <x v="1658"/>
    <x v="80"/>
    <x v="77"/>
    <x v="2"/>
    <x v="3"/>
    <x v="1"/>
    <x v="0"/>
    <x v="21"/>
    <x v="1"/>
    <x v="11"/>
    <x v="2"/>
  </r>
  <r>
    <s v="TX502207"/>
    <x v="4"/>
    <x v="0"/>
    <n v="26.8"/>
    <x v="63"/>
    <x v="80"/>
    <x v="79"/>
    <x v="2"/>
    <x v="0"/>
    <x v="1"/>
    <x v="0"/>
    <x v="2"/>
    <x v="3"/>
    <x v="11"/>
    <x v="2"/>
  </r>
  <r>
    <s v="TX502208"/>
    <x v="9"/>
    <x v="18"/>
    <n v="31.7"/>
    <x v="1659"/>
    <x v="80"/>
    <x v="80"/>
    <x v="2"/>
    <x v="3"/>
    <x v="0"/>
    <x v="0"/>
    <x v="2"/>
    <x v="7"/>
    <x v="11"/>
    <x v="2"/>
  </r>
  <r>
    <s v="TX502209"/>
    <x v="1"/>
    <x v="1"/>
    <n v="78.3"/>
    <x v="1660"/>
    <x v="80"/>
    <x v="77"/>
    <x v="2"/>
    <x v="1"/>
    <x v="1"/>
    <x v="0"/>
    <x v="3"/>
    <x v="1"/>
    <x v="11"/>
    <x v="2"/>
  </r>
  <r>
    <s v="TX502210"/>
    <x v="6"/>
    <x v="0"/>
    <n v="43.9"/>
    <x v="1661"/>
    <x v="80"/>
    <x v="79"/>
    <x v="1"/>
    <x v="0"/>
    <x v="0"/>
    <x v="0"/>
    <x v="3"/>
    <x v="3"/>
    <x v="11"/>
    <x v="1"/>
  </r>
  <r>
    <s v="TX502211"/>
    <x v="18"/>
    <x v="2"/>
    <n v="84"/>
    <x v="816"/>
    <x v="80"/>
    <x v="77"/>
    <x v="0"/>
    <x v="3"/>
    <x v="2"/>
    <x v="0"/>
    <x v="3"/>
    <x v="1"/>
    <x v="11"/>
    <x v="0"/>
  </r>
  <r>
    <s v="TX502212"/>
    <x v="0"/>
    <x v="2"/>
    <n v="11.4"/>
    <x v="1656"/>
    <x v="80"/>
    <x v="79"/>
    <x v="1"/>
    <x v="4"/>
    <x v="0"/>
    <x v="0"/>
    <x v="3"/>
    <x v="3"/>
    <x v="11"/>
    <x v="1"/>
  </r>
  <r>
    <s v="TX502213"/>
    <x v="12"/>
    <x v="8"/>
    <n v="47.5"/>
    <x v="1662"/>
    <x v="80"/>
    <x v="89"/>
    <x v="2"/>
    <x v="0"/>
    <x v="0"/>
    <x v="0"/>
    <x v="3"/>
    <x v="9"/>
    <x v="11"/>
    <x v="2"/>
  </r>
  <r>
    <s v="TX502214"/>
    <x v="9"/>
    <x v="5"/>
    <n v="50.5"/>
    <x v="1663"/>
    <x v="80"/>
    <x v="77"/>
    <x v="1"/>
    <x v="2"/>
    <x v="0"/>
    <x v="0"/>
    <x v="3"/>
    <x v="1"/>
    <x v="11"/>
    <x v="1"/>
  </r>
  <r>
    <s v="TX502215"/>
    <x v="15"/>
    <x v="0"/>
    <n v="36.299999999999997"/>
    <x v="1277"/>
    <x v="80"/>
    <x v="82"/>
    <x v="3"/>
    <x v="0"/>
    <x v="1"/>
    <x v="0"/>
    <x v="8"/>
    <x v="2"/>
    <x v="11"/>
    <x v="3"/>
  </r>
  <r>
    <s v="TX502216"/>
    <x v="8"/>
    <x v="1"/>
    <n v="35.4"/>
    <x v="1664"/>
    <x v="80"/>
    <x v="79"/>
    <x v="2"/>
    <x v="0"/>
    <x v="0"/>
    <x v="0"/>
    <x v="17"/>
    <x v="3"/>
    <x v="11"/>
    <x v="2"/>
  </r>
  <r>
    <s v="TX502217"/>
    <x v="1"/>
    <x v="2"/>
    <n v="45.9"/>
    <x v="223"/>
    <x v="81"/>
    <x v="77"/>
    <x v="1"/>
    <x v="3"/>
    <x v="0"/>
    <x v="0"/>
    <x v="9"/>
    <x v="3"/>
    <x v="12"/>
    <x v="1"/>
  </r>
  <r>
    <s v="TX502218"/>
    <x v="6"/>
    <x v="7"/>
    <n v="41.2"/>
    <x v="1665"/>
    <x v="81"/>
    <x v="87"/>
    <x v="1"/>
    <x v="0"/>
    <x v="0"/>
    <x v="0"/>
    <x v="11"/>
    <x v="5"/>
    <x v="12"/>
    <x v="1"/>
  </r>
  <r>
    <s v="TX502219"/>
    <x v="17"/>
    <x v="1"/>
    <n v="45.1"/>
    <x v="244"/>
    <x v="81"/>
    <x v="77"/>
    <x v="1"/>
    <x v="1"/>
    <x v="1"/>
    <x v="0"/>
    <x v="21"/>
    <x v="3"/>
    <x v="12"/>
    <x v="1"/>
  </r>
  <r>
    <s v="TX502220"/>
    <x v="6"/>
    <x v="7"/>
    <n v="63.6"/>
    <x v="1666"/>
    <x v="81"/>
    <x v="79"/>
    <x v="1"/>
    <x v="2"/>
    <x v="0"/>
    <x v="0"/>
    <x v="1"/>
    <x v="7"/>
    <x v="12"/>
    <x v="1"/>
  </r>
  <r>
    <s v="TX502221"/>
    <x v="8"/>
    <x v="0"/>
    <n v="70.5"/>
    <x v="1012"/>
    <x v="81"/>
    <x v="77"/>
    <x v="1"/>
    <x v="0"/>
    <x v="0"/>
    <x v="0"/>
    <x v="3"/>
    <x v="3"/>
    <x v="12"/>
    <x v="1"/>
  </r>
  <r>
    <s v="TX502222"/>
    <x v="6"/>
    <x v="0"/>
    <n v="41.3"/>
    <x v="1667"/>
    <x v="81"/>
    <x v="79"/>
    <x v="1"/>
    <x v="4"/>
    <x v="0"/>
    <x v="0"/>
    <x v="3"/>
    <x v="7"/>
    <x v="12"/>
    <x v="1"/>
  </r>
  <r>
    <s v="TX502223"/>
    <x v="4"/>
    <x v="0"/>
    <n v="35.299999999999997"/>
    <x v="1668"/>
    <x v="81"/>
    <x v="81"/>
    <x v="2"/>
    <x v="4"/>
    <x v="2"/>
    <x v="0"/>
    <x v="3"/>
    <x v="2"/>
    <x v="12"/>
    <x v="2"/>
  </r>
  <r>
    <s v="TX502224"/>
    <x v="8"/>
    <x v="9"/>
    <n v="34.700000000000003"/>
    <x v="1669"/>
    <x v="81"/>
    <x v="77"/>
    <x v="2"/>
    <x v="0"/>
    <x v="2"/>
    <x v="0"/>
    <x v="3"/>
    <x v="3"/>
    <x v="12"/>
    <x v="2"/>
  </r>
  <r>
    <s v="TX502225"/>
    <x v="8"/>
    <x v="2"/>
    <n v="26.1"/>
    <x v="1670"/>
    <x v="81"/>
    <x v="77"/>
    <x v="2"/>
    <x v="0"/>
    <x v="0"/>
    <x v="0"/>
    <x v="3"/>
    <x v="3"/>
    <x v="12"/>
    <x v="2"/>
  </r>
  <r>
    <s v="TX502226"/>
    <x v="9"/>
    <x v="9"/>
    <n v="22.6"/>
    <x v="548"/>
    <x v="81"/>
    <x v="79"/>
    <x v="2"/>
    <x v="1"/>
    <x v="2"/>
    <x v="0"/>
    <x v="3"/>
    <x v="7"/>
    <x v="12"/>
    <x v="2"/>
  </r>
  <r>
    <s v="TX502227"/>
    <x v="2"/>
    <x v="1"/>
    <n v="154.4"/>
    <x v="1671"/>
    <x v="81"/>
    <x v="81"/>
    <x v="1"/>
    <x v="1"/>
    <x v="1"/>
    <x v="0"/>
    <x v="3"/>
    <x v="2"/>
    <x v="12"/>
    <x v="1"/>
  </r>
  <r>
    <s v="TX502228"/>
    <x v="8"/>
    <x v="1"/>
    <n v="18.399999999999999"/>
    <x v="791"/>
    <x v="81"/>
    <x v="77"/>
    <x v="1"/>
    <x v="0"/>
    <x v="0"/>
    <x v="0"/>
    <x v="3"/>
    <x v="3"/>
    <x v="12"/>
    <x v="1"/>
  </r>
  <r>
    <s v="TX502229"/>
    <x v="14"/>
    <x v="0"/>
    <n v="25"/>
    <x v="1672"/>
    <x v="81"/>
    <x v="81"/>
    <x v="2"/>
    <x v="0"/>
    <x v="0"/>
    <x v="0"/>
    <x v="3"/>
    <x v="2"/>
    <x v="12"/>
    <x v="2"/>
  </r>
  <r>
    <s v="TX502230"/>
    <x v="2"/>
    <x v="13"/>
    <n v="105.6"/>
    <x v="1673"/>
    <x v="81"/>
    <x v="79"/>
    <x v="2"/>
    <x v="0"/>
    <x v="0"/>
    <x v="0"/>
    <x v="3"/>
    <x v="7"/>
    <x v="12"/>
    <x v="2"/>
  </r>
  <r>
    <s v="TX502231"/>
    <x v="18"/>
    <x v="8"/>
    <n v="59.6"/>
    <x v="1674"/>
    <x v="81"/>
    <x v="79"/>
    <x v="2"/>
    <x v="0"/>
    <x v="2"/>
    <x v="0"/>
    <x v="23"/>
    <x v="7"/>
    <x v="12"/>
    <x v="2"/>
  </r>
  <r>
    <s v="TX502232"/>
    <x v="15"/>
    <x v="2"/>
    <n v="75.400000000000006"/>
    <x v="1675"/>
    <x v="81"/>
    <x v="86"/>
    <x v="1"/>
    <x v="0"/>
    <x v="1"/>
    <x v="0"/>
    <x v="7"/>
    <x v="0"/>
    <x v="12"/>
    <x v="1"/>
  </r>
  <r>
    <s v="TX502233"/>
    <x v="7"/>
    <x v="0"/>
    <n v="104.4"/>
    <x v="1652"/>
    <x v="81"/>
    <x v="77"/>
    <x v="2"/>
    <x v="0"/>
    <x v="0"/>
    <x v="0"/>
    <x v="8"/>
    <x v="3"/>
    <x v="12"/>
    <x v="2"/>
  </r>
  <r>
    <s v="TX502234"/>
    <x v="2"/>
    <x v="7"/>
    <n v="208.2"/>
    <x v="1676"/>
    <x v="81"/>
    <x v="77"/>
    <x v="1"/>
    <x v="0"/>
    <x v="2"/>
    <x v="0"/>
    <x v="8"/>
    <x v="3"/>
    <x v="12"/>
    <x v="1"/>
  </r>
  <r>
    <s v="TX502235"/>
    <x v="6"/>
    <x v="1"/>
    <n v="45"/>
    <x v="645"/>
    <x v="81"/>
    <x v="81"/>
    <x v="2"/>
    <x v="0"/>
    <x v="0"/>
    <x v="0"/>
    <x v="10"/>
    <x v="2"/>
    <x v="12"/>
    <x v="2"/>
  </r>
  <r>
    <s v="TX502236"/>
    <x v="15"/>
    <x v="1"/>
    <n v="20.3"/>
    <x v="1352"/>
    <x v="82"/>
    <x v="81"/>
    <x v="0"/>
    <x v="1"/>
    <x v="0"/>
    <x v="0"/>
    <x v="11"/>
    <x v="1"/>
    <x v="12"/>
    <x v="0"/>
  </r>
  <r>
    <s v="TX502237"/>
    <x v="2"/>
    <x v="2"/>
    <n v="94.4"/>
    <x v="1677"/>
    <x v="82"/>
    <x v="82"/>
    <x v="2"/>
    <x v="0"/>
    <x v="2"/>
    <x v="0"/>
    <x v="11"/>
    <x v="3"/>
    <x v="12"/>
    <x v="2"/>
  </r>
  <r>
    <s v="TX502238"/>
    <x v="9"/>
    <x v="0"/>
    <n v="49"/>
    <x v="268"/>
    <x v="82"/>
    <x v="81"/>
    <x v="2"/>
    <x v="0"/>
    <x v="2"/>
    <x v="0"/>
    <x v="20"/>
    <x v="1"/>
    <x v="12"/>
    <x v="2"/>
  </r>
  <r>
    <s v="TX502239"/>
    <x v="4"/>
    <x v="1"/>
    <n v="27.2"/>
    <x v="630"/>
    <x v="82"/>
    <x v="81"/>
    <x v="1"/>
    <x v="0"/>
    <x v="2"/>
    <x v="0"/>
    <x v="1"/>
    <x v="1"/>
    <x v="12"/>
    <x v="1"/>
  </r>
  <r>
    <s v="TX502240"/>
    <x v="2"/>
    <x v="13"/>
    <n v="72.599999999999994"/>
    <x v="349"/>
    <x v="82"/>
    <x v="82"/>
    <x v="2"/>
    <x v="0"/>
    <x v="2"/>
    <x v="0"/>
    <x v="2"/>
    <x v="3"/>
    <x v="12"/>
    <x v="2"/>
  </r>
  <r>
    <s v="TX502241"/>
    <x v="15"/>
    <x v="12"/>
    <n v="62.4"/>
    <x v="1267"/>
    <x v="82"/>
    <x v="82"/>
    <x v="2"/>
    <x v="0"/>
    <x v="0"/>
    <x v="0"/>
    <x v="3"/>
    <x v="3"/>
    <x v="12"/>
    <x v="2"/>
  </r>
  <r>
    <s v="TX502242"/>
    <x v="8"/>
    <x v="2"/>
    <n v="19.100000000000001"/>
    <x v="1281"/>
    <x v="82"/>
    <x v="81"/>
    <x v="1"/>
    <x v="0"/>
    <x v="1"/>
    <x v="0"/>
    <x v="3"/>
    <x v="1"/>
    <x v="12"/>
    <x v="1"/>
  </r>
  <r>
    <s v="TX502243"/>
    <x v="10"/>
    <x v="0"/>
    <n v="29.6"/>
    <x v="1678"/>
    <x v="82"/>
    <x v="86"/>
    <x v="1"/>
    <x v="0"/>
    <x v="4"/>
    <x v="0"/>
    <x v="3"/>
    <x v="5"/>
    <x v="12"/>
    <x v="1"/>
  </r>
  <r>
    <s v="TX502244"/>
    <x v="8"/>
    <x v="1"/>
    <n v="18.899999999999999"/>
    <x v="463"/>
    <x v="82"/>
    <x v="81"/>
    <x v="2"/>
    <x v="4"/>
    <x v="2"/>
    <x v="0"/>
    <x v="3"/>
    <x v="1"/>
    <x v="12"/>
    <x v="2"/>
  </r>
  <r>
    <s v="TX502245"/>
    <x v="10"/>
    <x v="9"/>
    <n v="41.4"/>
    <x v="461"/>
    <x v="82"/>
    <x v="82"/>
    <x v="1"/>
    <x v="3"/>
    <x v="0"/>
    <x v="0"/>
    <x v="3"/>
    <x v="3"/>
    <x v="12"/>
    <x v="1"/>
  </r>
  <r>
    <s v="TX502246"/>
    <x v="2"/>
    <x v="0"/>
    <n v="118.4"/>
    <x v="1250"/>
    <x v="82"/>
    <x v="82"/>
    <x v="2"/>
    <x v="0"/>
    <x v="2"/>
    <x v="0"/>
    <x v="3"/>
    <x v="3"/>
    <x v="12"/>
    <x v="2"/>
  </r>
  <r>
    <s v="TX502247"/>
    <x v="2"/>
    <x v="1"/>
    <n v="125.3"/>
    <x v="1679"/>
    <x v="82"/>
    <x v="87"/>
    <x v="2"/>
    <x v="0"/>
    <x v="2"/>
    <x v="0"/>
    <x v="3"/>
    <x v="2"/>
    <x v="12"/>
    <x v="2"/>
  </r>
  <r>
    <s v="TX502248"/>
    <x v="3"/>
    <x v="1"/>
    <n v="85.8"/>
    <x v="1512"/>
    <x v="82"/>
    <x v="82"/>
    <x v="2"/>
    <x v="1"/>
    <x v="4"/>
    <x v="0"/>
    <x v="3"/>
    <x v="3"/>
    <x v="12"/>
    <x v="2"/>
  </r>
  <r>
    <s v="TX502249"/>
    <x v="6"/>
    <x v="0"/>
    <n v="44.2"/>
    <x v="573"/>
    <x v="82"/>
    <x v="87"/>
    <x v="1"/>
    <x v="1"/>
    <x v="0"/>
    <x v="0"/>
    <x v="3"/>
    <x v="2"/>
    <x v="12"/>
    <x v="1"/>
  </r>
  <r>
    <s v="TX502250"/>
    <x v="5"/>
    <x v="12"/>
    <n v="74.099999999999994"/>
    <x v="764"/>
    <x v="82"/>
    <x v="81"/>
    <x v="2"/>
    <x v="0"/>
    <x v="0"/>
    <x v="0"/>
    <x v="3"/>
    <x v="1"/>
    <x v="12"/>
    <x v="2"/>
  </r>
  <r>
    <s v="TX502251"/>
    <x v="8"/>
    <x v="0"/>
    <n v="33.799999999999997"/>
    <x v="1680"/>
    <x v="82"/>
    <x v="82"/>
    <x v="2"/>
    <x v="2"/>
    <x v="2"/>
    <x v="0"/>
    <x v="24"/>
    <x v="3"/>
    <x v="12"/>
    <x v="2"/>
  </r>
  <r>
    <s v="TX502252"/>
    <x v="1"/>
    <x v="1"/>
    <n v="39.1"/>
    <x v="1148"/>
    <x v="82"/>
    <x v="82"/>
    <x v="1"/>
    <x v="0"/>
    <x v="1"/>
    <x v="0"/>
    <x v="24"/>
    <x v="3"/>
    <x v="12"/>
    <x v="1"/>
  </r>
  <r>
    <s v="TX502253"/>
    <x v="0"/>
    <x v="0"/>
    <n v="37.200000000000003"/>
    <x v="804"/>
    <x v="82"/>
    <x v="82"/>
    <x v="1"/>
    <x v="0"/>
    <x v="1"/>
    <x v="0"/>
    <x v="16"/>
    <x v="3"/>
    <x v="12"/>
    <x v="1"/>
  </r>
  <r>
    <s v="TX502254"/>
    <x v="15"/>
    <x v="2"/>
    <n v="33.9"/>
    <x v="1681"/>
    <x v="82"/>
    <x v="81"/>
    <x v="1"/>
    <x v="2"/>
    <x v="0"/>
    <x v="0"/>
    <x v="6"/>
    <x v="1"/>
    <x v="12"/>
    <x v="1"/>
  </r>
  <r>
    <s v="TX502255"/>
    <x v="7"/>
    <x v="20"/>
    <n v="73.3"/>
    <x v="1682"/>
    <x v="82"/>
    <x v="87"/>
    <x v="2"/>
    <x v="2"/>
    <x v="1"/>
    <x v="0"/>
    <x v="8"/>
    <x v="2"/>
    <x v="12"/>
    <x v="2"/>
  </r>
  <r>
    <s v="TX502256"/>
    <x v="8"/>
    <x v="12"/>
    <n v="35"/>
    <x v="1683"/>
    <x v="82"/>
    <x v="81"/>
    <x v="2"/>
    <x v="1"/>
    <x v="0"/>
    <x v="0"/>
    <x v="8"/>
    <x v="1"/>
    <x v="12"/>
    <x v="2"/>
  </r>
  <r>
    <s v="TX502257"/>
    <x v="0"/>
    <x v="2"/>
    <n v="22.2"/>
    <x v="815"/>
    <x v="82"/>
    <x v="82"/>
    <x v="1"/>
    <x v="1"/>
    <x v="0"/>
    <x v="0"/>
    <x v="17"/>
    <x v="3"/>
    <x v="12"/>
    <x v="1"/>
  </r>
  <r>
    <s v="TX502258"/>
    <x v="10"/>
    <x v="0"/>
    <n v="32.4"/>
    <x v="1684"/>
    <x v="82"/>
    <x v="82"/>
    <x v="2"/>
    <x v="0"/>
    <x v="0"/>
    <x v="0"/>
    <x v="11"/>
    <x v="3"/>
    <x v="12"/>
    <x v="2"/>
  </r>
  <r>
    <s v="TX502259"/>
    <x v="5"/>
    <x v="2"/>
    <n v="88.4"/>
    <x v="1685"/>
    <x v="83"/>
    <x v="87"/>
    <x v="2"/>
    <x v="1"/>
    <x v="1"/>
    <x v="0"/>
    <x v="11"/>
    <x v="1"/>
    <x v="12"/>
    <x v="2"/>
  </r>
  <r>
    <s v="TX502260"/>
    <x v="5"/>
    <x v="27"/>
    <n v="30.5"/>
    <x v="865"/>
    <x v="83"/>
    <x v="81"/>
    <x v="2"/>
    <x v="2"/>
    <x v="0"/>
    <x v="0"/>
    <x v="11"/>
    <x v="3"/>
    <x v="12"/>
    <x v="2"/>
  </r>
  <r>
    <s v="TX502261"/>
    <x v="1"/>
    <x v="13"/>
    <n v="38.1"/>
    <x v="1686"/>
    <x v="83"/>
    <x v="87"/>
    <x v="2"/>
    <x v="0"/>
    <x v="1"/>
    <x v="0"/>
    <x v="11"/>
    <x v="1"/>
    <x v="12"/>
    <x v="2"/>
  </r>
  <r>
    <s v="TX502262"/>
    <x v="10"/>
    <x v="9"/>
    <n v="37.6"/>
    <x v="885"/>
    <x v="83"/>
    <x v="90"/>
    <x v="1"/>
    <x v="0"/>
    <x v="0"/>
    <x v="0"/>
    <x v="11"/>
    <x v="5"/>
    <x v="12"/>
    <x v="1"/>
  </r>
  <r>
    <s v="TX502263"/>
    <x v="15"/>
    <x v="1"/>
    <n v="31.4"/>
    <x v="143"/>
    <x v="83"/>
    <x v="81"/>
    <x v="1"/>
    <x v="0"/>
    <x v="2"/>
    <x v="0"/>
    <x v="11"/>
    <x v="3"/>
    <x v="12"/>
    <x v="1"/>
  </r>
  <r>
    <s v="TX502264"/>
    <x v="6"/>
    <x v="1"/>
    <n v="61.5"/>
    <x v="1287"/>
    <x v="83"/>
    <x v="81"/>
    <x v="1"/>
    <x v="3"/>
    <x v="0"/>
    <x v="0"/>
    <x v="31"/>
    <x v="3"/>
    <x v="12"/>
    <x v="1"/>
  </r>
  <r>
    <s v="TX502265"/>
    <x v="6"/>
    <x v="0"/>
    <n v="72.599999999999994"/>
    <x v="1325"/>
    <x v="83"/>
    <x v="81"/>
    <x v="1"/>
    <x v="0"/>
    <x v="1"/>
    <x v="0"/>
    <x v="21"/>
    <x v="3"/>
    <x v="12"/>
    <x v="1"/>
  </r>
  <r>
    <s v="TX502266"/>
    <x v="9"/>
    <x v="2"/>
    <n v="26.9"/>
    <x v="1687"/>
    <x v="83"/>
    <x v="89"/>
    <x v="3"/>
    <x v="4"/>
    <x v="1"/>
    <x v="0"/>
    <x v="46"/>
    <x v="0"/>
    <x v="12"/>
    <x v="3"/>
  </r>
  <r>
    <s v="TX502267"/>
    <x v="17"/>
    <x v="4"/>
    <n v="29.4"/>
    <x v="1688"/>
    <x v="83"/>
    <x v="81"/>
    <x v="2"/>
    <x v="1"/>
    <x v="0"/>
    <x v="0"/>
    <x v="51"/>
    <x v="3"/>
    <x v="12"/>
    <x v="2"/>
  </r>
  <r>
    <s v="TX502268"/>
    <x v="17"/>
    <x v="1"/>
    <n v="42.1"/>
    <x v="903"/>
    <x v="83"/>
    <x v="81"/>
    <x v="2"/>
    <x v="3"/>
    <x v="1"/>
    <x v="0"/>
    <x v="1"/>
    <x v="3"/>
    <x v="12"/>
    <x v="2"/>
  </r>
  <r>
    <s v="TX502269"/>
    <x v="5"/>
    <x v="0"/>
    <n v="40.5"/>
    <x v="1117"/>
    <x v="83"/>
    <x v="81"/>
    <x v="2"/>
    <x v="2"/>
    <x v="1"/>
    <x v="0"/>
    <x v="1"/>
    <x v="3"/>
    <x v="12"/>
    <x v="2"/>
  </r>
  <r>
    <s v="TX502270"/>
    <x v="2"/>
    <x v="12"/>
    <n v="182.3"/>
    <x v="1689"/>
    <x v="83"/>
    <x v="81"/>
    <x v="2"/>
    <x v="1"/>
    <x v="0"/>
    <x v="0"/>
    <x v="1"/>
    <x v="3"/>
    <x v="12"/>
    <x v="2"/>
  </r>
  <r>
    <s v="TX502271"/>
    <x v="2"/>
    <x v="9"/>
    <n v="157"/>
    <x v="1690"/>
    <x v="83"/>
    <x v="86"/>
    <x v="2"/>
    <x v="1"/>
    <x v="2"/>
    <x v="0"/>
    <x v="2"/>
    <x v="2"/>
    <x v="12"/>
    <x v="2"/>
  </r>
  <r>
    <s v="TX502272"/>
    <x v="17"/>
    <x v="9"/>
    <n v="45.2"/>
    <x v="326"/>
    <x v="83"/>
    <x v="86"/>
    <x v="2"/>
    <x v="1"/>
    <x v="0"/>
    <x v="0"/>
    <x v="22"/>
    <x v="2"/>
    <x v="12"/>
    <x v="2"/>
  </r>
  <r>
    <s v="TX502273"/>
    <x v="15"/>
    <x v="12"/>
    <n v="27.4"/>
    <x v="1239"/>
    <x v="83"/>
    <x v="87"/>
    <x v="2"/>
    <x v="0"/>
    <x v="0"/>
    <x v="0"/>
    <x v="3"/>
    <x v="1"/>
    <x v="12"/>
    <x v="2"/>
  </r>
  <r>
    <s v="TX502274"/>
    <x v="5"/>
    <x v="9"/>
    <n v="34.1"/>
    <x v="1691"/>
    <x v="83"/>
    <x v="87"/>
    <x v="1"/>
    <x v="0"/>
    <x v="2"/>
    <x v="0"/>
    <x v="3"/>
    <x v="1"/>
    <x v="12"/>
    <x v="1"/>
  </r>
  <r>
    <s v="TX502275"/>
    <x v="0"/>
    <x v="1"/>
    <n v="26"/>
    <x v="1692"/>
    <x v="83"/>
    <x v="87"/>
    <x v="1"/>
    <x v="2"/>
    <x v="1"/>
    <x v="0"/>
    <x v="3"/>
    <x v="1"/>
    <x v="12"/>
    <x v="1"/>
  </r>
  <r>
    <s v="TX502276"/>
    <x v="8"/>
    <x v="3"/>
    <n v="19.399999999999999"/>
    <x v="1693"/>
    <x v="83"/>
    <x v="87"/>
    <x v="0"/>
    <x v="1"/>
    <x v="1"/>
    <x v="0"/>
    <x v="3"/>
    <x v="1"/>
    <x v="12"/>
    <x v="0"/>
  </r>
  <r>
    <s v="TX502277"/>
    <x v="16"/>
    <x v="2"/>
    <n v="30.3"/>
    <x v="407"/>
    <x v="83"/>
    <x v="86"/>
    <x v="2"/>
    <x v="1"/>
    <x v="2"/>
    <x v="0"/>
    <x v="3"/>
    <x v="2"/>
    <x v="12"/>
    <x v="2"/>
  </r>
  <r>
    <s v="TX502278"/>
    <x v="2"/>
    <x v="2"/>
    <n v="101.4"/>
    <x v="1694"/>
    <x v="83"/>
    <x v="81"/>
    <x v="1"/>
    <x v="0"/>
    <x v="0"/>
    <x v="0"/>
    <x v="3"/>
    <x v="3"/>
    <x v="12"/>
    <x v="1"/>
  </r>
  <r>
    <s v="TX502279"/>
    <x v="3"/>
    <x v="9"/>
    <n v="55.5"/>
    <x v="819"/>
    <x v="83"/>
    <x v="86"/>
    <x v="1"/>
    <x v="1"/>
    <x v="0"/>
    <x v="0"/>
    <x v="24"/>
    <x v="2"/>
    <x v="12"/>
    <x v="1"/>
  </r>
  <r>
    <s v="TX502280"/>
    <x v="8"/>
    <x v="0"/>
    <n v="23.1"/>
    <x v="1695"/>
    <x v="83"/>
    <x v="81"/>
    <x v="1"/>
    <x v="0"/>
    <x v="0"/>
    <x v="0"/>
    <x v="25"/>
    <x v="3"/>
    <x v="12"/>
    <x v="1"/>
  </r>
  <r>
    <s v="TX502281"/>
    <x v="18"/>
    <x v="1"/>
    <n v="38.9"/>
    <x v="482"/>
    <x v="83"/>
    <x v="81"/>
    <x v="1"/>
    <x v="2"/>
    <x v="0"/>
    <x v="0"/>
    <x v="25"/>
    <x v="3"/>
    <x v="12"/>
    <x v="1"/>
  </r>
  <r>
    <s v="TX502282"/>
    <x v="6"/>
    <x v="11"/>
    <n v="116.3"/>
    <x v="1696"/>
    <x v="83"/>
    <x v="90"/>
    <x v="2"/>
    <x v="0"/>
    <x v="0"/>
    <x v="0"/>
    <x v="5"/>
    <x v="5"/>
    <x v="12"/>
    <x v="2"/>
  </r>
  <r>
    <s v="TX502283"/>
    <x v="16"/>
    <x v="11"/>
    <n v="64.099999999999994"/>
    <x v="1697"/>
    <x v="83"/>
    <x v="82"/>
    <x v="2"/>
    <x v="0"/>
    <x v="2"/>
    <x v="0"/>
    <x v="6"/>
    <x v="7"/>
    <x v="12"/>
    <x v="2"/>
  </r>
  <r>
    <s v="TX502284"/>
    <x v="2"/>
    <x v="13"/>
    <n v="109.2"/>
    <x v="1698"/>
    <x v="83"/>
    <x v="87"/>
    <x v="1"/>
    <x v="0"/>
    <x v="1"/>
    <x v="0"/>
    <x v="8"/>
    <x v="1"/>
    <x v="12"/>
    <x v="1"/>
  </r>
  <r>
    <s v="TX502285"/>
    <x v="10"/>
    <x v="9"/>
    <n v="23.2"/>
    <x v="1699"/>
    <x v="84"/>
    <x v="87"/>
    <x v="1"/>
    <x v="0"/>
    <x v="1"/>
    <x v="0"/>
    <x v="8"/>
    <x v="3"/>
    <x v="12"/>
    <x v="1"/>
  </r>
  <r>
    <s v="TX502286"/>
    <x v="18"/>
    <x v="13"/>
    <n v="81.2"/>
    <x v="1700"/>
    <x v="84"/>
    <x v="86"/>
    <x v="1"/>
    <x v="2"/>
    <x v="2"/>
    <x v="0"/>
    <x v="8"/>
    <x v="1"/>
    <x v="12"/>
    <x v="1"/>
  </r>
  <r>
    <s v="TX502287"/>
    <x v="1"/>
    <x v="21"/>
    <n v="35.700000000000003"/>
    <x v="1701"/>
    <x v="84"/>
    <x v="87"/>
    <x v="1"/>
    <x v="3"/>
    <x v="0"/>
    <x v="0"/>
    <x v="8"/>
    <x v="3"/>
    <x v="12"/>
    <x v="1"/>
  </r>
  <r>
    <s v="TX502288"/>
    <x v="7"/>
    <x v="1"/>
    <n v="44.5"/>
    <x v="1702"/>
    <x v="84"/>
    <x v="90"/>
    <x v="1"/>
    <x v="4"/>
    <x v="0"/>
    <x v="0"/>
    <x v="9"/>
    <x v="2"/>
    <x v="12"/>
    <x v="1"/>
  </r>
  <r>
    <s v="TX502289"/>
    <x v="1"/>
    <x v="9"/>
    <n v="32"/>
    <x v="444"/>
    <x v="84"/>
    <x v="86"/>
    <x v="3"/>
    <x v="1"/>
    <x v="1"/>
    <x v="0"/>
    <x v="9"/>
    <x v="1"/>
    <x v="12"/>
    <x v="3"/>
  </r>
  <r>
    <s v="TX502290"/>
    <x v="8"/>
    <x v="0"/>
    <n v="25.7"/>
    <x v="1703"/>
    <x v="84"/>
    <x v="87"/>
    <x v="1"/>
    <x v="0"/>
    <x v="0"/>
    <x v="0"/>
    <x v="10"/>
    <x v="3"/>
    <x v="12"/>
    <x v="1"/>
  </r>
  <r>
    <s v="TX502291"/>
    <x v="16"/>
    <x v="2"/>
    <n v="65.599999999999994"/>
    <x v="487"/>
    <x v="84"/>
    <x v="84"/>
    <x v="1"/>
    <x v="0"/>
    <x v="0"/>
    <x v="0"/>
    <x v="11"/>
    <x v="4"/>
    <x v="12"/>
    <x v="1"/>
  </r>
  <r>
    <s v="TX502292"/>
    <x v="1"/>
    <x v="12"/>
    <n v="52.1"/>
    <x v="1704"/>
    <x v="84"/>
    <x v="87"/>
    <x v="2"/>
    <x v="0"/>
    <x v="2"/>
    <x v="0"/>
    <x v="11"/>
    <x v="3"/>
    <x v="12"/>
    <x v="2"/>
  </r>
  <r>
    <s v="TX502293"/>
    <x v="8"/>
    <x v="0"/>
    <n v="31"/>
    <x v="1705"/>
    <x v="84"/>
    <x v="87"/>
    <x v="1"/>
    <x v="0"/>
    <x v="1"/>
    <x v="0"/>
    <x v="19"/>
    <x v="3"/>
    <x v="12"/>
    <x v="1"/>
  </r>
  <r>
    <s v="TX502294"/>
    <x v="8"/>
    <x v="0"/>
    <n v="32"/>
    <x v="109"/>
    <x v="84"/>
    <x v="86"/>
    <x v="3"/>
    <x v="3"/>
    <x v="1"/>
    <x v="0"/>
    <x v="31"/>
    <x v="1"/>
    <x v="12"/>
    <x v="3"/>
  </r>
  <r>
    <s v="TX502295"/>
    <x v="16"/>
    <x v="12"/>
    <n v="58.3"/>
    <x v="1706"/>
    <x v="84"/>
    <x v="89"/>
    <x v="1"/>
    <x v="1"/>
    <x v="4"/>
    <x v="0"/>
    <x v="20"/>
    <x v="5"/>
    <x v="12"/>
    <x v="1"/>
  </r>
  <r>
    <s v="TX502296"/>
    <x v="8"/>
    <x v="2"/>
    <n v="31"/>
    <x v="1707"/>
    <x v="84"/>
    <x v="86"/>
    <x v="2"/>
    <x v="2"/>
    <x v="4"/>
    <x v="0"/>
    <x v="13"/>
    <x v="1"/>
    <x v="12"/>
    <x v="2"/>
  </r>
  <r>
    <s v="TX502297"/>
    <x v="3"/>
    <x v="0"/>
    <n v="40.299999999999997"/>
    <x v="518"/>
    <x v="84"/>
    <x v="87"/>
    <x v="1"/>
    <x v="1"/>
    <x v="2"/>
    <x v="0"/>
    <x v="54"/>
    <x v="3"/>
    <x v="12"/>
    <x v="1"/>
  </r>
  <r>
    <s v="TX502298"/>
    <x v="6"/>
    <x v="2"/>
    <n v="47.3"/>
    <x v="1708"/>
    <x v="84"/>
    <x v="86"/>
    <x v="1"/>
    <x v="4"/>
    <x v="2"/>
    <x v="0"/>
    <x v="2"/>
    <x v="1"/>
    <x v="12"/>
    <x v="1"/>
  </r>
  <r>
    <s v="TX502299"/>
    <x v="2"/>
    <x v="0"/>
    <n v="82.8"/>
    <x v="1182"/>
    <x v="84"/>
    <x v="87"/>
    <x v="1"/>
    <x v="0"/>
    <x v="0"/>
    <x v="0"/>
    <x v="2"/>
    <x v="3"/>
    <x v="12"/>
    <x v="1"/>
  </r>
  <r>
    <s v="TX502300"/>
    <x v="8"/>
    <x v="0"/>
    <n v="18.5"/>
    <x v="1709"/>
    <x v="84"/>
    <x v="91"/>
    <x v="2"/>
    <x v="0"/>
    <x v="0"/>
    <x v="0"/>
    <x v="44"/>
    <x v="12"/>
    <x v="12"/>
    <x v="2"/>
  </r>
  <r>
    <s v="TX502301"/>
    <x v="3"/>
    <x v="1"/>
    <n v="60.4"/>
    <x v="1710"/>
    <x v="84"/>
    <x v="87"/>
    <x v="1"/>
    <x v="2"/>
    <x v="0"/>
    <x v="0"/>
    <x v="22"/>
    <x v="3"/>
    <x v="12"/>
    <x v="1"/>
  </r>
  <r>
    <s v="TX502302"/>
    <x v="6"/>
    <x v="9"/>
    <n v="80.2"/>
    <x v="1711"/>
    <x v="84"/>
    <x v="92"/>
    <x v="1"/>
    <x v="1"/>
    <x v="1"/>
    <x v="0"/>
    <x v="50"/>
    <x v="6"/>
    <x v="12"/>
    <x v="1"/>
  </r>
  <r>
    <s v="TX502303"/>
    <x v="4"/>
    <x v="0"/>
    <n v="41.5"/>
    <x v="1712"/>
    <x v="84"/>
    <x v="86"/>
    <x v="1"/>
    <x v="2"/>
    <x v="0"/>
    <x v="0"/>
    <x v="3"/>
    <x v="1"/>
    <x v="12"/>
    <x v="1"/>
  </r>
  <r>
    <s v="TX502304"/>
    <x v="2"/>
    <x v="1"/>
    <n v="83.9"/>
    <x v="1713"/>
    <x v="84"/>
    <x v="90"/>
    <x v="2"/>
    <x v="0"/>
    <x v="0"/>
    <x v="0"/>
    <x v="3"/>
    <x v="2"/>
    <x v="12"/>
    <x v="2"/>
  </r>
  <r>
    <s v="TX502305"/>
    <x v="8"/>
    <x v="1"/>
    <n v="16.7"/>
    <x v="1417"/>
    <x v="84"/>
    <x v="89"/>
    <x v="2"/>
    <x v="0"/>
    <x v="1"/>
    <x v="0"/>
    <x v="3"/>
    <x v="5"/>
    <x v="12"/>
    <x v="2"/>
  </r>
  <r>
    <s v="TX502306"/>
    <x v="9"/>
    <x v="1"/>
    <n v="72.900000000000006"/>
    <x v="1626"/>
    <x v="84"/>
    <x v="87"/>
    <x v="1"/>
    <x v="2"/>
    <x v="1"/>
    <x v="0"/>
    <x v="3"/>
    <x v="3"/>
    <x v="12"/>
    <x v="1"/>
  </r>
  <r>
    <s v="TX502307"/>
    <x v="5"/>
    <x v="1"/>
    <n v="50.2"/>
    <x v="862"/>
    <x v="84"/>
    <x v="86"/>
    <x v="2"/>
    <x v="1"/>
    <x v="2"/>
    <x v="0"/>
    <x v="3"/>
    <x v="1"/>
    <x v="12"/>
    <x v="2"/>
  </r>
  <r>
    <s v="TX502308"/>
    <x v="3"/>
    <x v="1"/>
    <n v="34.200000000000003"/>
    <x v="1714"/>
    <x v="84"/>
    <x v="93"/>
    <x v="0"/>
    <x v="1"/>
    <x v="0"/>
    <x v="0"/>
    <x v="3"/>
    <x v="14"/>
    <x v="12"/>
    <x v="0"/>
  </r>
  <r>
    <s v="TX502309"/>
    <x v="5"/>
    <x v="1"/>
    <n v="107.9"/>
    <x v="1715"/>
    <x v="84"/>
    <x v="81"/>
    <x v="1"/>
    <x v="1"/>
    <x v="4"/>
    <x v="0"/>
    <x v="3"/>
    <x v="7"/>
    <x v="12"/>
    <x v="1"/>
  </r>
  <r>
    <s v="TX502310"/>
    <x v="0"/>
    <x v="2"/>
    <n v="17.5"/>
    <x v="413"/>
    <x v="84"/>
    <x v="86"/>
    <x v="1"/>
    <x v="4"/>
    <x v="0"/>
    <x v="0"/>
    <x v="3"/>
    <x v="1"/>
    <x v="12"/>
    <x v="1"/>
  </r>
  <r>
    <s v="TX502311"/>
    <x v="13"/>
    <x v="20"/>
    <n v="44.7"/>
    <x v="1716"/>
    <x v="84"/>
    <x v="87"/>
    <x v="1"/>
    <x v="0"/>
    <x v="1"/>
    <x v="0"/>
    <x v="3"/>
    <x v="3"/>
    <x v="12"/>
    <x v="1"/>
  </r>
  <r>
    <s v="TX502312"/>
    <x v="12"/>
    <x v="13"/>
    <n v="92.7"/>
    <x v="1717"/>
    <x v="84"/>
    <x v="86"/>
    <x v="2"/>
    <x v="2"/>
    <x v="1"/>
    <x v="0"/>
    <x v="3"/>
    <x v="1"/>
    <x v="12"/>
    <x v="2"/>
  </r>
  <r>
    <s v="TX502313"/>
    <x v="7"/>
    <x v="2"/>
    <n v="48.8"/>
    <x v="1718"/>
    <x v="84"/>
    <x v="86"/>
    <x v="2"/>
    <x v="2"/>
    <x v="0"/>
    <x v="0"/>
    <x v="3"/>
    <x v="1"/>
    <x v="12"/>
    <x v="2"/>
  </r>
  <r>
    <s v="TX502314"/>
    <x v="4"/>
    <x v="27"/>
    <n v="21.3"/>
    <x v="1153"/>
    <x v="84"/>
    <x v="89"/>
    <x v="2"/>
    <x v="3"/>
    <x v="3"/>
    <x v="0"/>
    <x v="3"/>
    <x v="5"/>
    <x v="12"/>
    <x v="2"/>
  </r>
  <r>
    <s v="TX502315"/>
    <x v="16"/>
    <x v="0"/>
    <n v="52.5"/>
    <x v="413"/>
    <x v="84"/>
    <x v="87"/>
    <x v="2"/>
    <x v="0"/>
    <x v="0"/>
    <x v="0"/>
    <x v="3"/>
    <x v="3"/>
    <x v="12"/>
    <x v="2"/>
  </r>
  <r>
    <s v="TX502316"/>
    <x v="1"/>
    <x v="1"/>
    <n v="92.4"/>
    <x v="827"/>
    <x v="84"/>
    <x v="84"/>
    <x v="2"/>
    <x v="0"/>
    <x v="2"/>
    <x v="0"/>
    <x v="3"/>
    <x v="4"/>
    <x v="12"/>
    <x v="2"/>
  </r>
  <r>
    <s v="TX502317"/>
    <x v="4"/>
    <x v="5"/>
    <n v="58.3"/>
    <x v="1719"/>
    <x v="84"/>
    <x v="86"/>
    <x v="1"/>
    <x v="1"/>
    <x v="2"/>
    <x v="0"/>
    <x v="3"/>
    <x v="1"/>
    <x v="12"/>
    <x v="1"/>
  </r>
  <r>
    <s v="TX502318"/>
    <x v="6"/>
    <x v="44"/>
    <n v="152.6"/>
    <x v="1720"/>
    <x v="85"/>
    <x v="90"/>
    <x v="0"/>
    <x v="0"/>
    <x v="0"/>
    <x v="0"/>
    <x v="3"/>
    <x v="1"/>
    <x v="12"/>
    <x v="0"/>
  </r>
  <r>
    <s v="TX502319"/>
    <x v="8"/>
    <x v="1"/>
    <n v="26"/>
    <x v="1692"/>
    <x v="85"/>
    <x v="87"/>
    <x v="0"/>
    <x v="0"/>
    <x v="1"/>
    <x v="0"/>
    <x v="3"/>
    <x v="7"/>
    <x v="12"/>
    <x v="0"/>
  </r>
  <r>
    <s v="TX502320"/>
    <x v="1"/>
    <x v="12"/>
    <n v="33.1"/>
    <x v="979"/>
    <x v="85"/>
    <x v="87"/>
    <x v="1"/>
    <x v="2"/>
    <x v="4"/>
    <x v="0"/>
    <x v="5"/>
    <x v="7"/>
    <x v="12"/>
    <x v="1"/>
  </r>
  <r>
    <s v="TX502321"/>
    <x v="18"/>
    <x v="0"/>
    <n v="51.4"/>
    <x v="1045"/>
    <x v="85"/>
    <x v="90"/>
    <x v="2"/>
    <x v="1"/>
    <x v="1"/>
    <x v="0"/>
    <x v="5"/>
    <x v="1"/>
    <x v="12"/>
    <x v="2"/>
  </r>
  <r>
    <s v="TX502322"/>
    <x v="8"/>
    <x v="1"/>
    <n v="30.2"/>
    <x v="266"/>
    <x v="85"/>
    <x v="86"/>
    <x v="2"/>
    <x v="2"/>
    <x v="2"/>
    <x v="0"/>
    <x v="6"/>
    <x v="3"/>
    <x v="12"/>
    <x v="2"/>
  </r>
  <r>
    <s v="TX502323"/>
    <x v="2"/>
    <x v="13"/>
    <n v="97"/>
    <x v="1544"/>
    <x v="85"/>
    <x v="88"/>
    <x v="2"/>
    <x v="0"/>
    <x v="2"/>
    <x v="0"/>
    <x v="7"/>
    <x v="5"/>
    <x v="12"/>
    <x v="2"/>
  </r>
  <r>
    <s v="TX502324"/>
    <x v="2"/>
    <x v="0"/>
    <n v="76.900000000000006"/>
    <x v="1721"/>
    <x v="85"/>
    <x v="86"/>
    <x v="1"/>
    <x v="1"/>
    <x v="2"/>
    <x v="0"/>
    <x v="8"/>
    <x v="3"/>
    <x v="12"/>
    <x v="1"/>
  </r>
  <r>
    <s v="TX502325"/>
    <x v="7"/>
    <x v="13"/>
    <n v="36.1"/>
    <x v="1722"/>
    <x v="85"/>
    <x v="88"/>
    <x v="2"/>
    <x v="0"/>
    <x v="0"/>
    <x v="0"/>
    <x v="8"/>
    <x v="5"/>
    <x v="12"/>
    <x v="2"/>
  </r>
  <r>
    <s v="TX502326"/>
    <x v="1"/>
    <x v="3"/>
    <n v="34.4"/>
    <x v="1723"/>
    <x v="85"/>
    <x v="87"/>
    <x v="2"/>
    <x v="2"/>
    <x v="1"/>
    <x v="0"/>
    <x v="11"/>
    <x v="7"/>
    <x v="12"/>
    <x v="2"/>
  </r>
  <r>
    <s v="TX502327"/>
    <x v="1"/>
    <x v="31"/>
    <n v="53.4"/>
    <x v="1724"/>
    <x v="85"/>
    <x v="90"/>
    <x v="2"/>
    <x v="1"/>
    <x v="0"/>
    <x v="0"/>
    <x v="18"/>
    <x v="1"/>
    <x v="12"/>
    <x v="2"/>
  </r>
  <r>
    <s v="TX502328"/>
    <x v="2"/>
    <x v="0"/>
    <n v="77.599999999999994"/>
    <x v="1598"/>
    <x v="85"/>
    <x v="86"/>
    <x v="2"/>
    <x v="0"/>
    <x v="1"/>
    <x v="0"/>
    <x v="19"/>
    <x v="3"/>
    <x v="12"/>
    <x v="2"/>
  </r>
  <r>
    <s v="TX502329"/>
    <x v="1"/>
    <x v="2"/>
    <n v="71.7"/>
    <x v="1725"/>
    <x v="85"/>
    <x v="89"/>
    <x v="2"/>
    <x v="1"/>
    <x v="0"/>
    <x v="0"/>
    <x v="19"/>
    <x v="2"/>
    <x v="12"/>
    <x v="2"/>
  </r>
  <r>
    <s v="TX502330"/>
    <x v="3"/>
    <x v="2"/>
    <n v="80.599999999999994"/>
    <x v="1726"/>
    <x v="85"/>
    <x v="86"/>
    <x v="1"/>
    <x v="4"/>
    <x v="1"/>
    <x v="0"/>
    <x v="19"/>
    <x v="3"/>
    <x v="12"/>
    <x v="1"/>
  </r>
  <r>
    <s v="TX502331"/>
    <x v="1"/>
    <x v="20"/>
    <n v="70"/>
    <x v="1727"/>
    <x v="85"/>
    <x v="90"/>
    <x v="1"/>
    <x v="0"/>
    <x v="0"/>
    <x v="0"/>
    <x v="20"/>
    <x v="1"/>
    <x v="12"/>
    <x v="1"/>
  </r>
  <r>
    <s v="TX502332"/>
    <x v="4"/>
    <x v="13"/>
    <n v="27.3"/>
    <x v="1728"/>
    <x v="85"/>
    <x v="90"/>
    <x v="2"/>
    <x v="1"/>
    <x v="1"/>
    <x v="0"/>
    <x v="2"/>
    <x v="1"/>
    <x v="12"/>
    <x v="2"/>
  </r>
  <r>
    <s v="TX502333"/>
    <x v="8"/>
    <x v="21"/>
    <n v="37.6"/>
    <x v="1729"/>
    <x v="85"/>
    <x v="90"/>
    <x v="1"/>
    <x v="1"/>
    <x v="0"/>
    <x v="0"/>
    <x v="3"/>
    <x v="1"/>
    <x v="12"/>
    <x v="1"/>
  </r>
  <r>
    <s v="TX502334"/>
    <x v="5"/>
    <x v="2"/>
    <n v="36.6"/>
    <x v="17"/>
    <x v="85"/>
    <x v="90"/>
    <x v="2"/>
    <x v="4"/>
    <x v="0"/>
    <x v="0"/>
    <x v="3"/>
    <x v="1"/>
    <x v="12"/>
    <x v="2"/>
  </r>
  <r>
    <s v="TX502335"/>
    <x v="13"/>
    <x v="0"/>
    <n v="55.2"/>
    <x v="291"/>
    <x v="85"/>
    <x v="90"/>
    <x v="1"/>
    <x v="3"/>
    <x v="0"/>
    <x v="0"/>
    <x v="3"/>
    <x v="1"/>
    <x v="12"/>
    <x v="1"/>
  </r>
  <r>
    <s v="TX502336"/>
    <x v="6"/>
    <x v="9"/>
    <n v="59.9"/>
    <x v="1444"/>
    <x v="85"/>
    <x v="90"/>
    <x v="1"/>
    <x v="0"/>
    <x v="0"/>
    <x v="0"/>
    <x v="3"/>
    <x v="1"/>
    <x v="12"/>
    <x v="1"/>
  </r>
  <r>
    <s v="TX502337"/>
    <x v="6"/>
    <x v="0"/>
    <n v="44"/>
    <x v="945"/>
    <x v="85"/>
    <x v="86"/>
    <x v="2"/>
    <x v="2"/>
    <x v="2"/>
    <x v="0"/>
    <x v="3"/>
    <x v="3"/>
    <x v="12"/>
    <x v="2"/>
  </r>
  <r>
    <s v="TX502338"/>
    <x v="9"/>
    <x v="1"/>
    <n v="68.7"/>
    <x v="1730"/>
    <x v="85"/>
    <x v="87"/>
    <x v="1"/>
    <x v="0"/>
    <x v="0"/>
    <x v="0"/>
    <x v="3"/>
    <x v="7"/>
    <x v="12"/>
    <x v="1"/>
  </r>
  <r>
    <s v="TX502339"/>
    <x v="5"/>
    <x v="1"/>
    <n v="61.6"/>
    <x v="1432"/>
    <x v="85"/>
    <x v="88"/>
    <x v="1"/>
    <x v="3"/>
    <x v="1"/>
    <x v="0"/>
    <x v="3"/>
    <x v="5"/>
    <x v="12"/>
    <x v="1"/>
  </r>
  <r>
    <s v="TX502340"/>
    <x v="7"/>
    <x v="3"/>
    <n v="51.8"/>
    <x v="1731"/>
    <x v="85"/>
    <x v="86"/>
    <x v="1"/>
    <x v="0"/>
    <x v="0"/>
    <x v="0"/>
    <x v="3"/>
    <x v="3"/>
    <x v="12"/>
    <x v="1"/>
  </r>
  <r>
    <s v="TX502341"/>
    <x v="8"/>
    <x v="7"/>
    <n v="46.2"/>
    <x v="1236"/>
    <x v="85"/>
    <x v="90"/>
    <x v="1"/>
    <x v="1"/>
    <x v="2"/>
    <x v="0"/>
    <x v="3"/>
    <x v="1"/>
    <x v="12"/>
    <x v="1"/>
  </r>
  <r>
    <s v="TX502342"/>
    <x v="0"/>
    <x v="1"/>
    <n v="19.399999999999999"/>
    <x v="1732"/>
    <x v="85"/>
    <x v="90"/>
    <x v="2"/>
    <x v="1"/>
    <x v="2"/>
    <x v="0"/>
    <x v="6"/>
    <x v="1"/>
    <x v="12"/>
    <x v="2"/>
  </r>
  <r>
    <s v="TX502343"/>
    <x v="11"/>
    <x v="2"/>
    <n v="52.1"/>
    <x v="1733"/>
    <x v="85"/>
    <x v="89"/>
    <x v="1"/>
    <x v="3"/>
    <x v="3"/>
    <x v="0"/>
    <x v="6"/>
    <x v="2"/>
    <x v="12"/>
    <x v="1"/>
  </r>
  <r>
    <s v="TX502344"/>
    <x v="6"/>
    <x v="0"/>
    <n v="74.900000000000006"/>
    <x v="1734"/>
    <x v="85"/>
    <x v="90"/>
    <x v="3"/>
    <x v="0"/>
    <x v="0"/>
    <x v="0"/>
    <x v="7"/>
    <x v="1"/>
    <x v="12"/>
    <x v="3"/>
  </r>
  <r>
    <s v="TX502345"/>
    <x v="9"/>
    <x v="3"/>
    <n v="49.6"/>
    <x v="1735"/>
    <x v="85"/>
    <x v="89"/>
    <x v="2"/>
    <x v="4"/>
    <x v="0"/>
    <x v="0"/>
    <x v="8"/>
    <x v="2"/>
    <x v="12"/>
    <x v="2"/>
  </r>
  <r>
    <s v="TX502346"/>
    <x v="16"/>
    <x v="12"/>
    <n v="82.8"/>
    <x v="1736"/>
    <x v="86"/>
    <x v="88"/>
    <x v="2"/>
    <x v="4"/>
    <x v="0"/>
    <x v="0"/>
    <x v="8"/>
    <x v="2"/>
    <x v="12"/>
    <x v="2"/>
  </r>
  <r>
    <s v="TX502347"/>
    <x v="2"/>
    <x v="0"/>
    <n v="97.7"/>
    <x v="68"/>
    <x v="86"/>
    <x v="90"/>
    <x v="2"/>
    <x v="1"/>
    <x v="0"/>
    <x v="0"/>
    <x v="8"/>
    <x v="3"/>
    <x v="12"/>
    <x v="2"/>
  </r>
  <r>
    <s v="TX502348"/>
    <x v="6"/>
    <x v="9"/>
    <n v="83.6"/>
    <x v="378"/>
    <x v="86"/>
    <x v="90"/>
    <x v="2"/>
    <x v="4"/>
    <x v="0"/>
    <x v="0"/>
    <x v="8"/>
    <x v="3"/>
    <x v="12"/>
    <x v="2"/>
  </r>
  <r>
    <s v="TX502349"/>
    <x v="8"/>
    <x v="9"/>
    <n v="23.5"/>
    <x v="1737"/>
    <x v="86"/>
    <x v="84"/>
    <x v="3"/>
    <x v="0"/>
    <x v="0"/>
    <x v="0"/>
    <x v="8"/>
    <x v="5"/>
    <x v="12"/>
    <x v="3"/>
  </r>
  <r>
    <s v="TX502350"/>
    <x v="9"/>
    <x v="2"/>
    <n v="44.6"/>
    <x v="981"/>
    <x v="86"/>
    <x v="88"/>
    <x v="2"/>
    <x v="4"/>
    <x v="1"/>
    <x v="0"/>
    <x v="26"/>
    <x v="2"/>
    <x v="12"/>
    <x v="2"/>
  </r>
  <r>
    <s v="TX502351"/>
    <x v="0"/>
    <x v="2"/>
    <n v="20.100000000000001"/>
    <x v="1738"/>
    <x v="86"/>
    <x v="89"/>
    <x v="2"/>
    <x v="3"/>
    <x v="4"/>
    <x v="0"/>
    <x v="11"/>
    <x v="1"/>
    <x v="12"/>
    <x v="2"/>
  </r>
  <r>
    <s v="TX502352"/>
    <x v="2"/>
    <x v="9"/>
    <n v="153.6"/>
    <x v="1739"/>
    <x v="86"/>
    <x v="90"/>
    <x v="2"/>
    <x v="1"/>
    <x v="2"/>
    <x v="0"/>
    <x v="53"/>
    <x v="3"/>
    <x v="12"/>
    <x v="2"/>
  </r>
  <r>
    <s v="TX502353"/>
    <x v="1"/>
    <x v="1"/>
    <n v="71.8"/>
    <x v="897"/>
    <x v="86"/>
    <x v="84"/>
    <x v="2"/>
    <x v="1"/>
    <x v="0"/>
    <x v="0"/>
    <x v="1"/>
    <x v="5"/>
    <x v="12"/>
    <x v="2"/>
  </r>
  <r>
    <s v="TX502354"/>
    <x v="10"/>
    <x v="0"/>
    <n v="64.7"/>
    <x v="1740"/>
    <x v="86"/>
    <x v="89"/>
    <x v="0"/>
    <x v="0"/>
    <x v="1"/>
    <x v="0"/>
    <x v="1"/>
    <x v="1"/>
    <x v="12"/>
    <x v="0"/>
  </r>
  <r>
    <s v="TX502355"/>
    <x v="9"/>
    <x v="8"/>
    <n v="60.4"/>
    <x v="1741"/>
    <x v="86"/>
    <x v="89"/>
    <x v="2"/>
    <x v="3"/>
    <x v="2"/>
    <x v="0"/>
    <x v="2"/>
    <x v="1"/>
    <x v="12"/>
    <x v="2"/>
  </r>
  <r>
    <s v="TX502356"/>
    <x v="6"/>
    <x v="12"/>
    <n v="86"/>
    <x v="1213"/>
    <x v="86"/>
    <x v="88"/>
    <x v="2"/>
    <x v="2"/>
    <x v="2"/>
    <x v="0"/>
    <x v="22"/>
    <x v="2"/>
    <x v="12"/>
    <x v="2"/>
  </r>
  <r>
    <s v="TX502357"/>
    <x v="12"/>
    <x v="1"/>
    <n v="42.1"/>
    <x v="903"/>
    <x v="86"/>
    <x v="90"/>
    <x v="2"/>
    <x v="4"/>
    <x v="1"/>
    <x v="0"/>
    <x v="34"/>
    <x v="3"/>
    <x v="12"/>
    <x v="2"/>
  </r>
  <r>
    <s v="TX502358"/>
    <x v="16"/>
    <x v="11"/>
    <n v="51.1"/>
    <x v="1742"/>
    <x v="86"/>
    <x v="90"/>
    <x v="1"/>
    <x v="2"/>
    <x v="1"/>
    <x v="0"/>
    <x v="3"/>
    <x v="3"/>
    <x v="12"/>
    <x v="1"/>
  </r>
  <r>
    <s v="TX502359"/>
    <x v="9"/>
    <x v="12"/>
    <n v="73.8"/>
    <x v="1743"/>
    <x v="86"/>
    <x v="90"/>
    <x v="1"/>
    <x v="4"/>
    <x v="0"/>
    <x v="0"/>
    <x v="3"/>
    <x v="3"/>
    <x v="12"/>
    <x v="1"/>
  </r>
  <r>
    <s v="TX502360"/>
    <x v="8"/>
    <x v="9"/>
    <n v="27"/>
    <x v="340"/>
    <x v="86"/>
    <x v="88"/>
    <x v="2"/>
    <x v="2"/>
    <x v="2"/>
    <x v="0"/>
    <x v="3"/>
    <x v="2"/>
    <x v="12"/>
    <x v="2"/>
  </r>
  <r>
    <s v="TX502361"/>
    <x v="8"/>
    <x v="13"/>
    <n v="60.1"/>
    <x v="116"/>
    <x v="86"/>
    <x v="90"/>
    <x v="1"/>
    <x v="3"/>
    <x v="0"/>
    <x v="0"/>
    <x v="3"/>
    <x v="3"/>
    <x v="12"/>
    <x v="1"/>
  </r>
  <r>
    <s v="TX502362"/>
    <x v="2"/>
    <x v="3"/>
    <n v="94.1"/>
    <x v="1744"/>
    <x v="86"/>
    <x v="89"/>
    <x v="2"/>
    <x v="4"/>
    <x v="1"/>
    <x v="0"/>
    <x v="3"/>
    <x v="1"/>
    <x v="12"/>
    <x v="2"/>
  </r>
  <r>
    <s v="TX502363"/>
    <x v="2"/>
    <x v="1"/>
    <n v="124.1"/>
    <x v="1235"/>
    <x v="86"/>
    <x v="86"/>
    <x v="2"/>
    <x v="2"/>
    <x v="3"/>
    <x v="0"/>
    <x v="43"/>
    <x v="7"/>
    <x v="12"/>
    <x v="2"/>
  </r>
  <r>
    <s v="TX502364"/>
    <x v="8"/>
    <x v="12"/>
    <n v="16.899999999999999"/>
    <x v="821"/>
    <x v="86"/>
    <x v="88"/>
    <x v="1"/>
    <x v="3"/>
    <x v="0"/>
    <x v="0"/>
    <x v="6"/>
    <x v="2"/>
    <x v="12"/>
    <x v="1"/>
  </r>
  <r>
    <s v="TX502365"/>
    <x v="1"/>
    <x v="0"/>
    <n v="36.9"/>
    <x v="1745"/>
    <x v="86"/>
    <x v="90"/>
    <x v="1"/>
    <x v="0"/>
    <x v="0"/>
    <x v="0"/>
    <x v="6"/>
    <x v="3"/>
    <x v="12"/>
    <x v="1"/>
  </r>
  <r>
    <s v="TX502366"/>
    <x v="9"/>
    <x v="1"/>
    <n v="22.6"/>
    <x v="705"/>
    <x v="86"/>
    <x v="94"/>
    <x v="2"/>
    <x v="2"/>
    <x v="1"/>
    <x v="0"/>
    <x v="8"/>
    <x v="10"/>
    <x v="12"/>
    <x v="2"/>
  </r>
  <r>
    <s v="TX502367"/>
    <x v="7"/>
    <x v="12"/>
    <n v="35"/>
    <x v="1683"/>
    <x v="86"/>
    <x v="92"/>
    <x v="1"/>
    <x v="3"/>
    <x v="1"/>
    <x v="0"/>
    <x v="8"/>
    <x v="0"/>
    <x v="12"/>
    <x v="1"/>
  </r>
  <r>
    <s v="TX502368"/>
    <x v="9"/>
    <x v="13"/>
    <n v="63.6"/>
    <x v="1746"/>
    <x v="86"/>
    <x v="95"/>
    <x v="0"/>
    <x v="1"/>
    <x v="2"/>
    <x v="0"/>
    <x v="8"/>
    <x v="6"/>
    <x v="12"/>
    <x v="0"/>
  </r>
  <r>
    <s v="TX502369"/>
    <x v="15"/>
    <x v="12"/>
    <n v="78.599999999999994"/>
    <x v="1747"/>
    <x v="86"/>
    <x v="90"/>
    <x v="1"/>
    <x v="4"/>
    <x v="1"/>
    <x v="0"/>
    <x v="8"/>
    <x v="3"/>
    <x v="12"/>
    <x v="1"/>
  </r>
  <r>
    <s v="TX502370"/>
    <x v="3"/>
    <x v="1"/>
    <n v="38.5"/>
    <x v="445"/>
    <x v="86"/>
    <x v="90"/>
    <x v="1"/>
    <x v="0"/>
    <x v="2"/>
    <x v="0"/>
    <x v="8"/>
    <x v="3"/>
    <x v="12"/>
    <x v="1"/>
  </r>
  <r>
    <s v="TX502371"/>
    <x v="8"/>
    <x v="5"/>
    <n v="71.5"/>
    <x v="1748"/>
    <x v="86"/>
    <x v="90"/>
    <x v="2"/>
    <x v="1"/>
    <x v="4"/>
    <x v="0"/>
    <x v="8"/>
    <x v="3"/>
    <x v="12"/>
    <x v="2"/>
  </r>
  <r>
    <s v="TX502372"/>
    <x v="6"/>
    <x v="12"/>
    <n v="121.4"/>
    <x v="1749"/>
    <x v="86"/>
    <x v="84"/>
    <x v="1"/>
    <x v="1"/>
    <x v="2"/>
    <x v="0"/>
    <x v="17"/>
    <x v="5"/>
    <x v="12"/>
    <x v="1"/>
  </r>
  <r>
    <s v="TX502373"/>
    <x v="11"/>
    <x v="0"/>
    <n v="40.200000000000003"/>
    <x v="282"/>
    <x v="86"/>
    <x v="88"/>
    <x v="2"/>
    <x v="0"/>
    <x v="2"/>
    <x v="0"/>
    <x v="11"/>
    <x v="2"/>
    <x v="12"/>
    <x v="2"/>
  </r>
  <r>
    <s v="TX502374"/>
    <x v="5"/>
    <x v="9"/>
    <n v="31.9"/>
    <x v="1750"/>
    <x v="86"/>
    <x v="89"/>
    <x v="2"/>
    <x v="2"/>
    <x v="2"/>
    <x v="0"/>
    <x v="28"/>
    <x v="1"/>
    <x v="12"/>
    <x v="2"/>
  </r>
  <r>
    <s v="TX502375"/>
    <x v="14"/>
    <x v="9"/>
    <n v="15.8"/>
    <x v="1751"/>
    <x v="87"/>
    <x v="89"/>
    <x v="1"/>
    <x v="3"/>
    <x v="2"/>
    <x v="0"/>
    <x v="21"/>
    <x v="3"/>
    <x v="12"/>
    <x v="1"/>
  </r>
  <r>
    <s v="TX502376"/>
    <x v="10"/>
    <x v="1"/>
    <n v="25.1"/>
    <x v="486"/>
    <x v="87"/>
    <x v="88"/>
    <x v="0"/>
    <x v="1"/>
    <x v="0"/>
    <x v="0"/>
    <x v="21"/>
    <x v="1"/>
    <x v="12"/>
    <x v="0"/>
  </r>
  <r>
    <s v="TX502377"/>
    <x v="1"/>
    <x v="44"/>
    <n v="38.1"/>
    <x v="1752"/>
    <x v="87"/>
    <x v="89"/>
    <x v="2"/>
    <x v="4"/>
    <x v="0"/>
    <x v="0"/>
    <x v="1"/>
    <x v="3"/>
    <x v="12"/>
    <x v="2"/>
  </r>
  <r>
    <s v="TX502378"/>
    <x v="3"/>
    <x v="1"/>
    <n v="42.2"/>
    <x v="533"/>
    <x v="87"/>
    <x v="88"/>
    <x v="2"/>
    <x v="0"/>
    <x v="2"/>
    <x v="0"/>
    <x v="1"/>
    <x v="1"/>
    <x v="12"/>
    <x v="2"/>
  </r>
  <r>
    <s v="TX502379"/>
    <x v="0"/>
    <x v="7"/>
    <n v="12.3"/>
    <x v="1287"/>
    <x v="87"/>
    <x v="89"/>
    <x v="2"/>
    <x v="4"/>
    <x v="0"/>
    <x v="0"/>
    <x v="2"/>
    <x v="3"/>
    <x v="12"/>
    <x v="2"/>
  </r>
  <r>
    <s v="TX502380"/>
    <x v="7"/>
    <x v="0"/>
    <n v="30.2"/>
    <x v="242"/>
    <x v="87"/>
    <x v="88"/>
    <x v="2"/>
    <x v="1"/>
    <x v="2"/>
    <x v="0"/>
    <x v="34"/>
    <x v="1"/>
    <x v="12"/>
    <x v="2"/>
  </r>
  <r>
    <s v="TX502381"/>
    <x v="5"/>
    <x v="2"/>
    <n v="25.3"/>
    <x v="1554"/>
    <x v="87"/>
    <x v="84"/>
    <x v="2"/>
    <x v="2"/>
    <x v="0"/>
    <x v="0"/>
    <x v="3"/>
    <x v="2"/>
    <x v="12"/>
    <x v="2"/>
  </r>
  <r>
    <s v="TX502382"/>
    <x v="8"/>
    <x v="9"/>
    <n v="29.7"/>
    <x v="1753"/>
    <x v="87"/>
    <x v="88"/>
    <x v="1"/>
    <x v="3"/>
    <x v="0"/>
    <x v="0"/>
    <x v="3"/>
    <x v="1"/>
    <x v="12"/>
    <x v="1"/>
  </r>
  <r>
    <s v="TX502383"/>
    <x v="9"/>
    <x v="8"/>
    <n v="32.9"/>
    <x v="1754"/>
    <x v="87"/>
    <x v="89"/>
    <x v="0"/>
    <x v="3"/>
    <x v="2"/>
    <x v="0"/>
    <x v="3"/>
    <x v="3"/>
    <x v="12"/>
    <x v="0"/>
  </r>
  <r>
    <s v="TX502384"/>
    <x v="10"/>
    <x v="1"/>
    <n v="43.6"/>
    <x v="640"/>
    <x v="87"/>
    <x v="89"/>
    <x v="1"/>
    <x v="1"/>
    <x v="2"/>
    <x v="0"/>
    <x v="3"/>
    <x v="3"/>
    <x v="12"/>
    <x v="1"/>
  </r>
  <r>
    <s v="TX502385"/>
    <x v="15"/>
    <x v="12"/>
    <n v="78.400000000000006"/>
    <x v="1755"/>
    <x v="87"/>
    <x v="89"/>
    <x v="1"/>
    <x v="2"/>
    <x v="0"/>
    <x v="0"/>
    <x v="3"/>
    <x v="3"/>
    <x v="12"/>
    <x v="1"/>
  </r>
  <r>
    <s v="TX502386"/>
    <x v="6"/>
    <x v="1"/>
    <n v="56.5"/>
    <x v="548"/>
    <x v="87"/>
    <x v="92"/>
    <x v="1"/>
    <x v="1"/>
    <x v="1"/>
    <x v="0"/>
    <x v="3"/>
    <x v="5"/>
    <x v="12"/>
    <x v="1"/>
  </r>
  <r>
    <s v="TX502387"/>
    <x v="16"/>
    <x v="0"/>
    <n v="36.700000000000003"/>
    <x v="329"/>
    <x v="87"/>
    <x v="89"/>
    <x v="2"/>
    <x v="0"/>
    <x v="2"/>
    <x v="0"/>
    <x v="3"/>
    <x v="3"/>
    <x v="12"/>
    <x v="2"/>
  </r>
  <r>
    <s v="TX502388"/>
    <x v="2"/>
    <x v="12"/>
    <n v="103.6"/>
    <x v="1756"/>
    <x v="87"/>
    <x v="91"/>
    <x v="1"/>
    <x v="4"/>
    <x v="2"/>
    <x v="0"/>
    <x v="3"/>
    <x v="11"/>
    <x v="12"/>
    <x v="1"/>
  </r>
  <r>
    <s v="TX502389"/>
    <x v="8"/>
    <x v="13"/>
    <n v="16.2"/>
    <x v="1757"/>
    <x v="87"/>
    <x v="92"/>
    <x v="1"/>
    <x v="1"/>
    <x v="2"/>
    <x v="0"/>
    <x v="6"/>
    <x v="5"/>
    <x v="12"/>
    <x v="1"/>
  </r>
  <r>
    <s v="TX502390"/>
    <x v="8"/>
    <x v="1"/>
    <n v="20.2"/>
    <x v="1400"/>
    <x v="87"/>
    <x v="89"/>
    <x v="2"/>
    <x v="0"/>
    <x v="0"/>
    <x v="0"/>
    <x v="6"/>
    <x v="3"/>
    <x v="12"/>
    <x v="2"/>
  </r>
  <r>
    <s v="TX502391"/>
    <x v="11"/>
    <x v="1"/>
    <n v="26.9"/>
    <x v="1758"/>
    <x v="87"/>
    <x v="88"/>
    <x v="2"/>
    <x v="2"/>
    <x v="0"/>
    <x v="0"/>
    <x v="6"/>
    <x v="1"/>
    <x v="12"/>
    <x v="2"/>
  </r>
  <r>
    <s v="TX502392"/>
    <x v="1"/>
    <x v="1"/>
    <n v="82.4"/>
    <x v="1759"/>
    <x v="87"/>
    <x v="84"/>
    <x v="0"/>
    <x v="0"/>
    <x v="0"/>
    <x v="0"/>
    <x v="7"/>
    <x v="2"/>
    <x v="12"/>
    <x v="0"/>
  </r>
  <r>
    <s v="TX502393"/>
    <x v="2"/>
    <x v="1"/>
    <n v="117.8"/>
    <x v="1760"/>
    <x v="87"/>
    <x v="88"/>
    <x v="1"/>
    <x v="1"/>
    <x v="2"/>
    <x v="0"/>
    <x v="8"/>
    <x v="1"/>
    <x v="12"/>
    <x v="1"/>
  </r>
  <r>
    <s v="TX502394"/>
    <x v="11"/>
    <x v="12"/>
    <n v="36.700000000000003"/>
    <x v="1761"/>
    <x v="87"/>
    <x v="89"/>
    <x v="1"/>
    <x v="1"/>
    <x v="0"/>
    <x v="0"/>
    <x v="8"/>
    <x v="3"/>
    <x v="12"/>
    <x v="1"/>
  </r>
  <r>
    <s v="TX502395"/>
    <x v="17"/>
    <x v="2"/>
    <n v="46.8"/>
    <x v="1762"/>
    <x v="87"/>
    <x v="89"/>
    <x v="1"/>
    <x v="4"/>
    <x v="2"/>
    <x v="0"/>
    <x v="10"/>
    <x v="3"/>
    <x v="12"/>
    <x v="1"/>
  </r>
  <r>
    <s v="TX502396"/>
    <x v="3"/>
    <x v="0"/>
    <n v="61.4"/>
    <x v="886"/>
    <x v="87"/>
    <x v="89"/>
    <x v="1"/>
    <x v="1"/>
    <x v="0"/>
    <x v="0"/>
    <x v="10"/>
    <x v="3"/>
    <x v="12"/>
    <x v="1"/>
  </r>
  <r>
    <s v="TX502397"/>
    <x v="15"/>
    <x v="1"/>
    <n v="22.9"/>
    <x v="494"/>
    <x v="87"/>
    <x v="89"/>
    <x v="1"/>
    <x v="0"/>
    <x v="0"/>
    <x v="0"/>
    <x v="11"/>
    <x v="3"/>
    <x v="12"/>
    <x v="1"/>
  </r>
  <r>
    <s v="TX502398"/>
    <x v="10"/>
    <x v="1"/>
    <n v="22.1"/>
    <x v="573"/>
    <x v="87"/>
    <x v="89"/>
    <x v="2"/>
    <x v="4"/>
    <x v="0"/>
    <x v="0"/>
    <x v="11"/>
    <x v="3"/>
    <x v="12"/>
    <x v="2"/>
  </r>
  <r>
    <s v="TX502399"/>
    <x v="12"/>
    <x v="1"/>
    <n v="31"/>
    <x v="85"/>
    <x v="87"/>
    <x v="88"/>
    <x v="2"/>
    <x v="2"/>
    <x v="0"/>
    <x v="0"/>
    <x v="18"/>
    <x v="1"/>
    <x v="12"/>
    <x v="2"/>
  </r>
  <r>
    <s v="TX502400"/>
    <x v="18"/>
    <x v="1"/>
    <n v="84.2"/>
    <x v="1763"/>
    <x v="87"/>
    <x v="88"/>
    <x v="1"/>
    <x v="2"/>
    <x v="2"/>
    <x v="0"/>
    <x v="13"/>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C7F4F9-69BD-4140-95B1-D53C0D3AFC95}"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3">
  <location ref="A39:B47" firstHeaderRow="1" firstDataRow="1" firstDataCol="1"/>
  <pivotFields count="20">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axis="axisRow" showAll="0">
      <items count="8">
        <item x="0"/>
        <item x="1"/>
        <item x="2"/>
        <item x="4"/>
        <item x="3"/>
        <item n=" 6 to 10" x="5"/>
        <item n="More than 10"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2">
    <chartFormat chart="30"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7A8D2B-EB18-47B2-8600-FD4612919FE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A194:G199" firstHeaderRow="1" firstDataRow="2" firstDataCol="1"/>
  <pivotFields count="20">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9"/>
  </rowFields>
  <rowItems count="4">
    <i>
      <x v="1"/>
    </i>
    <i>
      <x v="2"/>
    </i>
    <i>
      <x v="3"/>
    </i>
    <i t="grand">
      <x/>
    </i>
  </rowItems>
  <colFields count="1">
    <field x="9"/>
  </colFields>
  <colItems count="6">
    <i>
      <x/>
    </i>
    <i>
      <x v="1"/>
    </i>
    <i>
      <x v="2"/>
    </i>
    <i>
      <x v="3"/>
    </i>
    <i>
      <x v="4"/>
    </i>
    <i t="grand">
      <x/>
    </i>
  </colItems>
  <dataFields count="1">
    <dataField name="Count of TX ID" fld="0" subtotal="count" baseField="0" baseItem="0"/>
  </dataFields>
  <chartFormats count="15">
    <chartFormat chart="65"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 chart="71" format="0" series="1">
      <pivotArea type="data" outline="0" fieldPosition="0">
        <references count="2">
          <reference field="4294967294" count="1" selected="0">
            <x v="0"/>
          </reference>
          <reference field="19" count="1" selected="0">
            <x v="1"/>
          </reference>
        </references>
      </pivotArea>
    </chartFormat>
    <chartFormat chart="71" format="1" series="1">
      <pivotArea type="data" outline="0" fieldPosition="0">
        <references count="2">
          <reference field="4294967294" count="1" selected="0">
            <x v="0"/>
          </reference>
          <reference field="19" count="1" selected="0">
            <x v="2"/>
          </reference>
        </references>
      </pivotArea>
    </chartFormat>
    <chartFormat chart="71" format="2" series="1">
      <pivotArea type="data" outline="0" fieldPosition="0">
        <references count="2">
          <reference field="4294967294" count="1" selected="0">
            <x v="0"/>
          </reference>
          <reference field="19" count="1" selected="0">
            <x v="3"/>
          </reference>
        </references>
      </pivotArea>
    </chartFormat>
    <chartFormat chart="71" format="3" series="1">
      <pivotArea type="data" outline="0" fieldPosition="0">
        <references count="2">
          <reference field="4294967294" count="1" selected="0">
            <x v="0"/>
          </reference>
          <reference field="9" count="1" selected="0">
            <x v="3"/>
          </reference>
        </references>
      </pivotArea>
    </chartFormat>
    <chartFormat chart="71" format="4" series="1">
      <pivotArea type="data" outline="0" fieldPosition="0">
        <references count="2">
          <reference field="4294967294" count="1" selected="0">
            <x v="0"/>
          </reference>
          <reference field="9" count="1" selected="0">
            <x v="4"/>
          </reference>
        </references>
      </pivotArea>
    </chartFormat>
    <chartFormat chart="71" format="5" series="1">
      <pivotArea type="data" outline="0" fieldPosition="0">
        <references count="2">
          <reference field="4294967294" count="1" selected="0">
            <x v="0"/>
          </reference>
          <reference field="9" count="1" selected="0">
            <x v="0"/>
          </reference>
        </references>
      </pivotArea>
    </chartFormat>
    <chartFormat chart="71" format="6" series="1">
      <pivotArea type="data" outline="0" fieldPosition="0">
        <references count="2">
          <reference field="4294967294" count="1" selected="0">
            <x v="0"/>
          </reference>
          <reference field="9" count="1" selected="0">
            <x v="1"/>
          </reference>
        </references>
      </pivotArea>
    </chartFormat>
    <chartFormat chart="71" format="7" series="1">
      <pivotArea type="data" outline="0" fieldPosition="0">
        <references count="2">
          <reference field="4294967294" count="1" selected="0">
            <x v="0"/>
          </reference>
          <reference field="9" count="1" selected="0">
            <x v="2"/>
          </reference>
        </references>
      </pivotArea>
    </chartFormat>
    <chartFormat chart="74" format="13" series="1">
      <pivotArea type="data" outline="0" fieldPosition="0">
        <references count="2">
          <reference field="4294967294" count="1" selected="0">
            <x v="0"/>
          </reference>
          <reference field="9" count="1" selected="0">
            <x v="0"/>
          </reference>
        </references>
      </pivotArea>
    </chartFormat>
    <chartFormat chart="74" format="14" series="1">
      <pivotArea type="data" outline="0" fieldPosition="0">
        <references count="2">
          <reference field="4294967294" count="1" selected="0">
            <x v="0"/>
          </reference>
          <reference field="9" count="1" selected="0">
            <x v="1"/>
          </reference>
        </references>
      </pivotArea>
    </chartFormat>
    <chartFormat chart="74" format="15" series="1">
      <pivotArea type="data" outline="0" fieldPosition="0">
        <references count="2">
          <reference field="4294967294" count="1" selected="0">
            <x v="0"/>
          </reference>
          <reference field="9" count="1" selected="0">
            <x v="2"/>
          </reference>
        </references>
      </pivotArea>
    </chartFormat>
    <chartFormat chart="74" format="16" series="1">
      <pivotArea type="data" outline="0" fieldPosition="0">
        <references count="2">
          <reference field="4294967294" count="1" selected="0">
            <x v="0"/>
          </reference>
          <reference field="9" count="1" selected="0">
            <x v="3"/>
          </reference>
        </references>
      </pivotArea>
    </chartFormat>
    <chartFormat chart="74" format="17"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5D6BA5-A5B5-4747-8529-5884E2C5B3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0">
  <location ref="A170:B186" firstHeaderRow="1" firstDataRow="1" firstDataCol="1"/>
  <pivotFields count="20">
    <pivotField dataField="1" showAll="0"/>
    <pivotField showAll="0">
      <items count="21">
        <item x="14"/>
        <item x="10"/>
        <item x="12"/>
        <item x="15"/>
        <item x="4"/>
        <item x="7"/>
        <item x="6"/>
        <item x="19"/>
        <item x="18"/>
        <item x="11"/>
        <item x="17"/>
        <item x="5"/>
        <item x="0"/>
        <item x="2"/>
        <item x="9"/>
        <item x="16"/>
        <item x="1"/>
        <item x="13"/>
        <item x="8"/>
        <item x="3"/>
        <item t="default"/>
      </items>
    </pivotField>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axis="axisRow" showAll="0">
      <items count="16">
        <item x="7"/>
        <item x="3"/>
        <item x="1"/>
        <item x="2"/>
        <item x="5"/>
        <item x="0"/>
        <item x="4"/>
        <item x="6"/>
        <item x="9"/>
        <item x="8"/>
        <item x="14"/>
        <item x="11"/>
        <item x="13"/>
        <item x="10"/>
        <item x="12"/>
        <item t="default"/>
      </items>
    </pivotField>
    <pivotField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65" format="0" series="1">
      <pivotArea type="data" outline="0" fieldPosition="0">
        <references count="1">
          <reference field="4294967294" count="1" selected="0">
            <x v="0"/>
          </reference>
        </references>
      </pivotArea>
    </chartFormat>
    <chartFormat chart="6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BBB0B1-4D3D-4AB7-B77F-BEA03FF7318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1:O38" firstHeaderRow="1" firstDataRow="2" firstDataCol="1"/>
  <pivotFields count="20">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items count="5">
        <item x="0"/>
        <item x="2"/>
        <item x="1"/>
        <item x="3"/>
        <item t="default"/>
      </items>
    </pivotField>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72F0F3-B452-4E1F-8A0D-0C59C6B0240A}" name="PivotTable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2">
  <location ref="A90:D150" firstHeaderRow="0" firstDataRow="1" firstDataCol="2"/>
  <pivotFields count="20">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items count="1765">
        <item x="0"/>
        <item x="432"/>
        <item x="1482"/>
        <item x="178"/>
        <item x="1436"/>
        <item x="239"/>
        <item x="591"/>
        <item x="1426"/>
        <item x="1021"/>
        <item x="283"/>
        <item x="1494"/>
        <item x="749"/>
        <item x="1609"/>
        <item x="248"/>
        <item x="135"/>
        <item x="836"/>
        <item x="832"/>
        <item x="1200"/>
        <item x="1600"/>
        <item x="1709"/>
        <item x="670"/>
        <item x="1492"/>
        <item x="134"/>
        <item x="447"/>
        <item x="688"/>
        <item x="1219"/>
        <item x="614"/>
        <item x="1137"/>
        <item x="132"/>
        <item x="190"/>
        <item x="1500"/>
        <item x="323"/>
        <item x="798"/>
        <item x="333"/>
        <item x="1429"/>
        <item x="1349"/>
        <item x="483"/>
        <item x="731"/>
        <item x="1084"/>
        <item x="258"/>
        <item x="968"/>
        <item x="525"/>
        <item x="249"/>
        <item x="1246"/>
        <item x="61"/>
        <item x="1695"/>
        <item x="772"/>
        <item x="126"/>
        <item x="1561"/>
        <item x="779"/>
        <item x="301"/>
        <item x="835"/>
        <item x="1057"/>
        <item x="1616"/>
        <item x="830"/>
        <item x="1644"/>
        <item x="202"/>
        <item x="1672"/>
        <item x="19"/>
        <item x="382"/>
        <item x="1441"/>
        <item x="1703"/>
        <item x="1191"/>
        <item x="601"/>
        <item x="1102"/>
        <item x="38"/>
        <item x="534"/>
        <item x="63"/>
        <item x="49"/>
        <item x="1116"/>
        <item x="1639"/>
        <item x="1637"/>
        <item x="879"/>
        <item x="293"/>
        <item x="425"/>
        <item x="1034"/>
        <item x="1076"/>
        <item x="1678"/>
        <item x="47"/>
        <item x="1493"/>
        <item x="242"/>
        <item x="928"/>
        <item x="1538"/>
        <item x="1642"/>
        <item x="558"/>
        <item x="1705"/>
        <item x="406"/>
        <item x="1323"/>
        <item x="1455"/>
        <item x="35"/>
        <item x="137"/>
        <item x="627"/>
        <item x="109"/>
        <item x="1158"/>
        <item x="390"/>
        <item x="1684"/>
        <item x="1229"/>
        <item x="944"/>
        <item x="860"/>
        <item x="940"/>
        <item x="698"/>
        <item x="1417"/>
        <item x="253"/>
        <item x="1680"/>
        <item x="1564"/>
        <item x="1222"/>
        <item x="607"/>
        <item x="1656"/>
        <item x="1580"/>
        <item x="1114"/>
        <item x="169"/>
        <item x="1553"/>
        <item x="1668"/>
        <item x="1657"/>
        <item x="519"/>
        <item x="72"/>
        <item x="1520"/>
        <item x="53"/>
        <item x="168"/>
        <item x="1277"/>
        <item x="547"/>
        <item x="329"/>
        <item x="791"/>
        <item x="1745"/>
        <item x="804"/>
        <item x="463"/>
        <item x="853"/>
        <item x="753"/>
        <item x="220"/>
        <item x="1139"/>
        <item x="1320"/>
        <item x="1732"/>
        <item x="923"/>
        <item x="496"/>
        <item x="864"/>
        <item x="736"/>
        <item x="341"/>
        <item x="144"/>
        <item x="165"/>
        <item x="282"/>
        <item x="518"/>
        <item x="1400"/>
        <item x="1117"/>
        <item x="1352"/>
        <item x="274"/>
        <item x="803"/>
        <item x="783"/>
        <item x="1184"/>
        <item x="504"/>
        <item x="1667"/>
        <item x="50"/>
        <item x="1712"/>
        <item x="480"/>
        <item x="1465"/>
        <item x="1151"/>
        <item x="337"/>
        <item x="1283"/>
        <item x="469"/>
        <item x="440"/>
        <item x="39"/>
        <item x="1286"/>
        <item x="181"/>
        <item x="1422"/>
        <item x="1195"/>
        <item x="328"/>
        <item x="1661"/>
        <item x="945"/>
        <item x="573"/>
        <item x="225"/>
        <item x="1456"/>
        <item x="438"/>
        <item x="938"/>
        <item x="583"/>
        <item x="1212"/>
        <item x="705"/>
        <item x="204"/>
        <item x="962"/>
        <item x="494"/>
        <item x="716"/>
        <item x="722"/>
        <item x="1063"/>
        <item x="516"/>
        <item x="434"/>
        <item x="1447"/>
        <item x="594"/>
        <item x="86"/>
        <item x="179"/>
        <item x="392"/>
        <item x="828"/>
        <item x="1601"/>
        <item x="538"/>
        <item x="510"/>
        <item x="959"/>
        <item x="1293"/>
        <item x="655"/>
        <item x="319"/>
        <item x="1247"/>
        <item x="51"/>
        <item x="268"/>
        <item x="528"/>
        <item x="1111"/>
        <item x="256"/>
        <item x="1474"/>
        <item x="500"/>
        <item x="1039"/>
        <item x="486"/>
        <item x="813"/>
        <item x="458"/>
        <item x="578"/>
        <item x="163"/>
        <item x="180"/>
        <item x="1045"/>
        <item x="937"/>
        <item x="733"/>
        <item x="964"/>
        <item x="954"/>
        <item x="1074"/>
        <item x="1692"/>
        <item x="475"/>
        <item x="1342"/>
        <item x="773"/>
        <item x="1559"/>
        <item x="413"/>
        <item x="1228"/>
        <item x="112"/>
        <item x="513"/>
        <item x="535"/>
        <item x="1557"/>
        <item x="287"/>
        <item x="1563"/>
        <item x="789"/>
        <item x="1309"/>
        <item x="1758"/>
        <item x="1260"/>
        <item x="1089"/>
        <item x="521"/>
        <item x="1364"/>
        <item x="630"/>
        <item x="1107"/>
        <item x="1539"/>
        <item x="1407"/>
        <item x="1090"/>
        <item x="252"/>
        <item x="898"/>
        <item x="291"/>
        <item x="6"/>
        <item x="466"/>
        <item x="102"/>
        <item x="1581"/>
        <item x="391"/>
        <item x="571"/>
        <item x="1007"/>
        <item x="1498"/>
        <item x="1640"/>
        <item x="933"/>
        <item x="472"/>
        <item x="473"/>
        <item x="1177"/>
        <item x="1281"/>
        <item x="1253"/>
        <item x="636"/>
        <item x="569"/>
        <item x="687"/>
        <item x="1356"/>
        <item x="1635"/>
        <item x="331"/>
        <item x="305"/>
        <item x="902"/>
        <item x="150"/>
        <item x="572"/>
        <item x="1242"/>
        <item x="1478"/>
        <item x="676"/>
        <item x="1100"/>
        <item x="254"/>
        <item x="1176"/>
        <item x="1201"/>
        <item x="1738"/>
        <item x="266"/>
        <item x="408"/>
        <item x="1035"/>
        <item x="1297"/>
        <item x="170"/>
        <item x="1"/>
        <item x="886"/>
        <item x="1085"/>
        <item x="834"/>
        <item x="546"/>
        <item x="957"/>
        <item x="85"/>
        <item x="1448"/>
        <item x="1197"/>
        <item x="1030"/>
        <item x="683"/>
        <item x="1016"/>
        <item x="143"/>
        <item x="1620"/>
        <item x="1220"/>
        <item x="1276"/>
        <item x="34"/>
        <item x="1005"/>
        <item x="1394"/>
        <item x="453"/>
        <item x="1099"/>
        <item x="1740"/>
        <item x="460"/>
        <item x="891"/>
        <item x="221"/>
        <item x="212"/>
        <item x="1481"/>
        <item x="499"/>
        <item x="511"/>
        <item x="812"/>
        <item x="387"/>
        <item x="1124"/>
        <item x="702"/>
        <item x="815"/>
        <item x="14"/>
        <item x="119"/>
        <item x="884"/>
        <item x="966"/>
        <item x="863"/>
        <item x="1476"/>
        <item x="693"/>
        <item x="509"/>
        <item x="821"/>
        <item x="418"/>
        <item x="745"/>
        <item x="1714"/>
        <item x="508"/>
        <item x="1043"/>
        <item x="564"/>
        <item x="59"/>
        <item x="299"/>
        <item x="1154"/>
        <item x="952"/>
        <item x="474"/>
        <item x="1549"/>
        <item x="1012"/>
        <item x="527"/>
        <item x="1664"/>
        <item x="184"/>
        <item x="1321"/>
        <item x="1013"/>
        <item x="660"/>
        <item x="1574"/>
        <item x="503"/>
        <item x="1289"/>
        <item x="623"/>
        <item x="1325"/>
        <item x="236"/>
        <item x="1285"/>
        <item x="936"/>
        <item x="1524"/>
        <item x="426"/>
        <item x="1517"/>
        <item x="800"/>
        <item x="372"/>
        <item x="1314"/>
        <item x="610"/>
        <item x="110"/>
        <item x="965"/>
        <item x="1734"/>
        <item x="611"/>
        <item x="495"/>
        <item x="108"/>
        <item x="1554"/>
        <item x="998"/>
        <item x="172"/>
        <item x="1488"/>
        <item x="1648"/>
        <item x="514"/>
        <item x="882"/>
        <item x="714"/>
        <item x="332"/>
        <item x="1721"/>
        <item x="445"/>
        <item x="1003"/>
        <item x="837"/>
        <item x="83"/>
        <item x="771"/>
        <item x="1598"/>
        <item x="1233"/>
        <item x="482"/>
        <item x="292"/>
        <item x="648"/>
        <item x="1148"/>
        <item x="166"/>
        <item x="1670"/>
        <item x="1645"/>
        <item x="491"/>
        <item x="1623"/>
        <item x="1608"/>
        <item x="1751"/>
        <item x="1113"/>
        <item x="84"/>
        <item x="1187"/>
        <item x="1589"/>
        <item x="479"/>
        <item x="1133"/>
        <item x="556"/>
        <item x="48"/>
        <item x="7"/>
        <item x="1687"/>
        <item x="41"/>
        <item x="1443"/>
        <item x="969"/>
        <item x="1101"/>
        <item x="1523"/>
        <item x="330"/>
        <item x="1135"/>
        <item x="673"/>
        <item x="1518"/>
        <item x="462"/>
        <item x="1182"/>
        <item x="470"/>
        <item x="707"/>
        <item x="925"/>
        <item x="681"/>
        <item x="433"/>
        <item x="1405"/>
        <item x="903"/>
        <item x="278"/>
        <item x="533"/>
        <item x="1274"/>
        <item x="1647"/>
        <item x="1331"/>
        <item x="464"/>
        <item x="825"/>
        <item x="1216"/>
        <item x="1172"/>
        <item x="550"/>
        <item x="1324"/>
        <item x="1024"/>
        <item x="1360"/>
        <item x="616"/>
        <item x="781"/>
        <item x="700"/>
        <item x="626"/>
        <item x="1053"/>
        <item x="640"/>
        <item x="631"/>
        <item x="697"/>
        <item x="485"/>
        <item x="1205"/>
        <item x="1155"/>
        <item x="1047"/>
        <item x="787"/>
        <item x="1605"/>
        <item x="1702"/>
        <item x="542"/>
        <item x="70"/>
        <item x="32"/>
        <item x="817"/>
        <item x="645"/>
        <item x="244"/>
        <item x="786"/>
        <item x="497"/>
        <item x="742"/>
        <item x="407"/>
        <item x="1270"/>
        <item x="411"/>
        <item x="1058"/>
        <item x="758"/>
        <item x="988"/>
        <item x="1152"/>
        <item x="974"/>
        <item x="1196"/>
        <item x="737"/>
        <item x="1487"/>
        <item x="1707"/>
        <item x="16"/>
        <item x="1261"/>
        <item x="64"/>
        <item x="1650"/>
        <item x="442"/>
        <item x="255"/>
        <item x="1467"/>
        <item x="725"/>
        <item x="234"/>
        <item x="422"/>
        <item x="415"/>
        <item x="296"/>
        <item x="233"/>
        <item x="139"/>
        <item x="802"/>
        <item x="586"/>
        <item x="854"/>
        <item x="219"/>
        <item x="334"/>
        <item x="1629"/>
        <item x="73"/>
        <item x="980"/>
        <item x="1757"/>
        <item x="451"/>
        <item x="647"/>
        <item x="131"/>
        <item x="68"/>
        <item x="11"/>
        <item x="196"/>
        <item x="1543"/>
        <item x="197"/>
        <item x="643"/>
        <item x="1033"/>
        <item x="1300"/>
        <item x="1569"/>
        <item x="1459"/>
        <item x="350"/>
        <item x="1638"/>
        <item x="1217"/>
        <item x="1326"/>
        <item x="862"/>
        <item x="427"/>
        <item x="90"/>
        <item x="95"/>
        <item x="855"/>
        <item x="1171"/>
        <item x="857"/>
        <item x="1681"/>
        <item x="530"/>
        <item x="1062"/>
        <item x="646"/>
        <item x="298"/>
        <item x="125"/>
        <item x="576"/>
        <item x="1223"/>
        <item x="186"/>
        <item x="1454"/>
        <item x="1389"/>
        <item x="748"/>
        <item x="199"/>
        <item x="1652"/>
        <item x="661"/>
        <item x="211"/>
        <item x="1049"/>
        <item x="852"/>
        <item x="568"/>
        <item x="142"/>
        <item x="101"/>
        <item x="872"/>
        <item x="793"/>
        <item x="619"/>
        <item x="694"/>
        <item x="1002"/>
        <item x="1511"/>
        <item x="799"/>
        <item x="1311"/>
        <item x="215"/>
        <item x="807"/>
        <item x="1061"/>
        <item x="939"/>
        <item x="10"/>
        <item x="1178"/>
        <item x="42"/>
        <item x="659"/>
        <item x="414"/>
        <item x="1239"/>
        <item x="17"/>
        <item x="81"/>
        <item x="918"/>
        <item x="579"/>
        <item x="806"/>
        <item x="622"/>
        <item x="1097"/>
        <item x="1483"/>
        <item x="883"/>
        <item x="1006"/>
        <item x="1534"/>
        <item x="881"/>
        <item x="794"/>
        <item x="158"/>
        <item x="380"/>
        <item x="548"/>
        <item x="1413"/>
        <item x="1129"/>
        <item x="247"/>
        <item x="1127"/>
        <item x="1575"/>
        <item x="717"/>
        <item x="1466"/>
        <item x="488"/>
        <item x="1449"/>
        <item x="311"/>
        <item x="574"/>
        <item x="1579"/>
        <item x="151"/>
        <item x="1484"/>
        <item x="100"/>
        <item x="446"/>
        <item x="1699"/>
        <item x="565"/>
        <item x="1622"/>
        <item x="726"/>
        <item x="1527"/>
        <item x="1737"/>
        <item x="833"/>
        <item x="557"/>
        <item x="841"/>
        <item x="1098"/>
        <item x="593"/>
        <item x="1250"/>
        <item x="193"/>
        <item x="1402"/>
        <item x="120"/>
        <item x="111"/>
        <item x="160"/>
        <item x="493"/>
        <item x="92"/>
        <item x="1710"/>
        <item x="297"/>
        <item x="1087"/>
        <item x="164"/>
        <item x="641"/>
        <item x="1296"/>
        <item x="384"/>
        <item x="544"/>
        <item x="949"/>
        <item x="1287"/>
        <item x="1432"/>
        <item x="1268"/>
        <item x="553"/>
        <item x="302"/>
        <item x="145"/>
        <item x="376"/>
        <item x="1109"/>
        <item x="570"/>
        <item x="52"/>
        <item x="1415"/>
        <item x="352"/>
        <item x="967"/>
        <item x="624"/>
        <item x="1555"/>
        <item x="628"/>
        <item x="888"/>
        <item x="1077"/>
        <item x="1208"/>
        <item x="1332"/>
        <item x="520"/>
        <item x="1071"/>
        <item x="823"/>
        <item x="1193"/>
        <item x="618"/>
        <item x="539"/>
        <item x="58"/>
        <item x="580"/>
        <item x="1403"/>
        <item x="309"/>
        <item x="769"/>
        <item x="385"/>
        <item x="632"/>
        <item x="1060"/>
        <item x="33"/>
        <item x="1583"/>
        <item x="848"/>
        <item x="1272"/>
        <item x="1249"/>
        <item x="1209"/>
        <item x="1423"/>
        <item x="955"/>
        <item x="431"/>
        <item x="979"/>
        <item x="927"/>
        <item x="1265"/>
        <item x="117"/>
        <item x="986"/>
        <item x="1567"/>
        <item x="260"/>
        <item x="30"/>
        <item x="981"/>
        <item x="1545"/>
        <item x="1597"/>
        <item x="1048"/>
        <item x="531"/>
        <item x="1093"/>
        <item x="340"/>
        <item x="246"/>
        <item x="685"/>
        <item x="1693"/>
        <item x="1411"/>
        <item x="336"/>
        <item x="1641"/>
        <item x="1134"/>
        <item x="517"/>
        <item x="1294"/>
        <item x="996"/>
        <item x="383"/>
        <item x="1068"/>
        <item x="1387"/>
        <item x="1730"/>
        <item x="1367"/>
        <item x="223"/>
        <item x="304"/>
        <item x="639"/>
        <item x="374"/>
        <item x="209"/>
        <item x="194"/>
        <item x="388"/>
        <item x="377"/>
        <item x="1457"/>
        <item x="1683"/>
        <item x="634"/>
        <item x="1762"/>
        <item x="381"/>
        <item x="684"/>
        <item x="1427"/>
        <item x="1038"/>
        <item x="780"/>
        <item x="932"/>
        <item x="1708"/>
        <item x="1175"/>
        <item x="60"/>
        <item x="1419"/>
        <item x="275"/>
        <item x="1298"/>
        <item x="1391"/>
        <item x="1489"/>
        <item x="897"/>
        <item x="1410"/>
        <item x="1096"/>
        <item x="625"/>
        <item x="613"/>
        <item x="1435"/>
        <item x="1262"/>
        <item x="353"/>
        <item x="1401"/>
        <item x="468"/>
        <item x="973"/>
        <item x="675"/>
        <item x="1626"/>
        <item x="1570"/>
        <item x="599"/>
        <item x="1718"/>
        <item x="1207"/>
        <item x="1363"/>
        <item x="1761"/>
        <item x="926"/>
        <item x="824"/>
        <item x="1224"/>
        <item x="203"/>
        <item x="1119"/>
        <item x="1753"/>
        <item x="956"/>
        <item x="1501"/>
        <item x="689"/>
        <item x="315"/>
        <item x="638"/>
        <item x="379"/>
        <item x="562"/>
        <item x="842"/>
        <item x="354"/>
        <item x="277"/>
        <item x="174"/>
        <item x="318"/>
        <item x="465"/>
        <item x="1621"/>
        <item x="1388"/>
        <item x="1634"/>
        <item x="1065"/>
        <item x="1618"/>
        <item x="1145"/>
        <item x="1330"/>
        <item x="1506"/>
        <item x="608"/>
        <item x="1399"/>
        <item x="55"/>
        <item x="1384"/>
        <item x="831"/>
        <item x="1120"/>
        <item x="1040"/>
        <item x="351"/>
        <item x="1230"/>
        <item x="515"/>
        <item x="1126"/>
        <item x="1733"/>
        <item x="1660"/>
        <item x="9"/>
        <item x="963"/>
        <item x="1588"/>
        <item x="1655"/>
        <item x="507"/>
        <item x="1022"/>
        <item x="905"/>
        <item x="739"/>
        <item x="1355"/>
        <item x="402"/>
        <item x="1329"/>
        <item x="409"/>
        <item x="1750"/>
        <item x="1344"/>
        <item x="444"/>
        <item x="250"/>
        <item x="950"/>
        <item x="1271"/>
        <item x="1530"/>
        <item x="811"/>
        <item x="759"/>
        <item x="154"/>
        <item x="1095"/>
        <item x="1157"/>
        <item x="915"/>
        <item x="435"/>
        <item x="1288"/>
        <item x="1164"/>
        <item x="1475"/>
        <item x="1128"/>
        <item x="838"/>
        <item x="1728"/>
        <item x="657"/>
        <item x="1183"/>
        <item x="522"/>
        <item x="1080"/>
        <item x="1759"/>
        <item x="1445"/>
        <item x="1537"/>
        <item x="312"/>
        <item x="1345"/>
        <item x="1251"/>
        <item x="1189"/>
        <item x="1256"/>
        <item x="701"/>
        <item x="762"/>
        <item x="606"/>
        <item x="589"/>
        <item x="1243"/>
        <item x="750"/>
        <item x="1713"/>
        <item x="66"/>
        <item x="1763"/>
        <item x="1603"/>
        <item x="1531"/>
        <item x="900"/>
        <item x="362"/>
        <item x="1026"/>
        <item x="612"/>
        <item x="393"/>
        <item x="4"/>
        <item x="1284"/>
        <item x="1691"/>
        <item x="307"/>
        <item x="443"/>
        <item x="727"/>
        <item x="1512"/>
        <item x="1522"/>
        <item x="595"/>
        <item x="231"/>
        <item x="826"/>
        <item x="187"/>
        <item x="162"/>
        <item x="775"/>
        <item x="893"/>
        <item x="1669"/>
        <item x="597"/>
        <item x="1434"/>
        <item x="889"/>
        <item x="1337"/>
        <item x="1619"/>
        <item x="1395"/>
        <item x="224"/>
        <item x="25"/>
        <item x="122"/>
        <item x="766"/>
        <item x="218"/>
        <item x="1525"/>
        <item x="1350"/>
        <item x="257"/>
        <item x="983"/>
        <item x="633"/>
        <item x="74"/>
        <item x="394"/>
        <item x="67"/>
        <item x="1020"/>
        <item x="1573"/>
        <item x="476"/>
        <item x="359"/>
        <item x="366"/>
        <item x="1565"/>
        <item x="1142"/>
        <item x="1275"/>
        <item x="1452"/>
        <item x="690"/>
        <item x="106"/>
        <item x="364"/>
        <item x="316"/>
        <item x="1596"/>
        <item x="1143"/>
        <item x="1180"/>
        <item x="1165"/>
        <item x="156"/>
        <item x="79"/>
        <item x="808"/>
        <item x="1173"/>
        <item x="412"/>
        <item x="827"/>
        <item x="1390"/>
        <item x="1458"/>
        <item x="885"/>
        <item x="620"/>
        <item x="975"/>
        <item x="455"/>
        <item x="1385"/>
        <item x="118"/>
        <item x="1001"/>
        <item x="1582"/>
        <item x="1131"/>
        <item x="1086"/>
        <item x="1372"/>
        <item x="1348"/>
        <item x="724"/>
        <item x="213"/>
        <item x="1451"/>
        <item x="796"/>
        <item x="1042"/>
        <item x="1343"/>
        <item x="529"/>
        <item x="345"/>
        <item x="261"/>
        <item x="1473"/>
        <item x="94"/>
        <item x="1174"/>
        <item x="280"/>
        <item x="1568"/>
        <item x="1327"/>
        <item x="243"/>
        <item x="338"/>
        <item x="756"/>
        <item x="1572"/>
        <item x="487"/>
        <item x="436"/>
        <item x="958"/>
        <item x="167"/>
        <item x="1192"/>
        <item x="1210"/>
        <item x="896"/>
        <item x="308"/>
        <item x="271"/>
        <item x="1519"/>
        <item x="420"/>
        <item x="861"/>
        <item x="763"/>
        <item x="152"/>
        <item x="228"/>
        <item x="577"/>
        <item x="977"/>
        <item x="294"/>
        <item x="214"/>
        <item x="403"/>
        <item x="877"/>
        <item x="1186"/>
        <item x="43"/>
        <item x="454"/>
        <item x="461"/>
        <item x="1428"/>
        <item x="904"/>
        <item x="140"/>
        <item x="1704"/>
        <item x="1416"/>
        <item x="922"/>
        <item x="549"/>
        <item x="1336"/>
        <item x="264"/>
        <item x="609"/>
        <item x="138"/>
        <item x="1130"/>
        <item x="1202"/>
        <item x="23"/>
        <item x="1168"/>
        <item x="667"/>
        <item x="1651"/>
        <item x="1066"/>
        <item x="230"/>
        <item x="801"/>
        <item x="267"/>
        <item x="1547"/>
        <item x="226"/>
        <item x="325"/>
        <item x="560"/>
        <item x="523"/>
        <item x="818"/>
        <item x="679"/>
        <item x="1431"/>
        <item x="1725"/>
        <item x="303"/>
        <item x="397"/>
        <item x="1094"/>
        <item x="206"/>
        <item x="1715"/>
        <item x="760"/>
        <item x="358"/>
        <item x="1722"/>
        <item x="991"/>
        <item x="1433"/>
        <item x="1479"/>
        <item x="1282"/>
        <item x="104"/>
        <item x="985"/>
        <item x="20"/>
        <item x="77"/>
        <item x="1199"/>
        <item x="1437"/>
        <item x="1055"/>
        <item x="765"/>
        <item x="1156"/>
        <item x="839"/>
        <item x="642"/>
        <item x="961"/>
        <item x="1169"/>
        <item x="692"/>
        <item x="1141"/>
        <item x="901"/>
        <item x="846"/>
        <item x="890"/>
        <item x="873"/>
        <item x="317"/>
        <item x="1009"/>
        <item x="776"/>
        <item x="1535"/>
        <item x="326"/>
        <item x="1675"/>
        <item x="65"/>
        <item x="662"/>
        <item x="129"/>
        <item x="416"/>
        <item x="1279"/>
        <item x="147"/>
        <item x="1686"/>
        <item x="27"/>
        <item x="1541"/>
        <item x="1167"/>
        <item x="822"/>
        <item x="1166"/>
        <item x="984"/>
        <item x="743"/>
        <item x="1404"/>
        <item x="1161"/>
        <item x="1359"/>
        <item x="217"/>
        <item x="615"/>
        <item x="757"/>
        <item x="123"/>
        <item x="976"/>
        <item x="1412"/>
        <item x="1706"/>
        <item x="1118"/>
        <item x="540"/>
        <item x="76"/>
        <item x="666"/>
        <item x="1069"/>
        <item x="1760"/>
        <item x="989"/>
        <item x="1551"/>
        <item x="78"/>
        <item x="237"/>
        <item x="1396"/>
        <item x="1365"/>
        <item x="1150"/>
        <item x="1248"/>
        <item x="987"/>
        <item x="342"/>
        <item x="1533"/>
        <item x="1723"/>
        <item x="1044"/>
        <item x="1234"/>
        <item x="805"/>
        <item x="1726"/>
        <item x="1231"/>
        <item x="1017"/>
        <item x="596"/>
        <item x="1316"/>
        <item x="262"/>
        <item x="719"/>
        <item x="441"/>
        <item x="672"/>
        <item x="1031"/>
        <item x="1204"/>
        <item x="598"/>
        <item x="1576"/>
        <item x="721"/>
        <item x="238"/>
        <item x="1310"/>
        <item x="1235"/>
        <item x="216"/>
        <item x="1624"/>
        <item x="543"/>
        <item x="1267"/>
        <item x="467"/>
        <item x="1679"/>
        <item x="1136"/>
        <item x="545"/>
        <item x="1206"/>
        <item x="816"/>
        <item x="1578"/>
        <item x="1586"/>
        <item x="103"/>
        <item x="1306"/>
        <item x="754"/>
        <item x="343"/>
        <item x="28"/>
        <item x="133"/>
        <item x="951"/>
        <item x="281"/>
        <item x="755"/>
        <item x="300"/>
        <item x="87"/>
        <item x="1371"/>
        <item x="1292"/>
        <item x="946"/>
        <item x="536"/>
        <item x="650"/>
        <item x="155"/>
        <item x="629"/>
        <item x="1468"/>
        <item x="1499"/>
        <item x="1486"/>
        <item x="195"/>
        <item x="600"/>
        <item x="1290"/>
        <item x="960"/>
        <item x="361"/>
        <item x="1104"/>
        <item x="175"/>
        <item x="1754"/>
        <item x="124"/>
        <item x="948"/>
        <item x="3"/>
        <item x="723"/>
        <item x="1685"/>
        <item x="1497"/>
        <item x="751"/>
        <item x="1370"/>
        <item x="1611"/>
        <item x="1317"/>
        <item x="1266"/>
        <item x="792"/>
        <item x="844"/>
        <item x="843"/>
        <item x="1439"/>
        <item x="357"/>
        <item x="1083"/>
        <item x="1546"/>
        <item x="1123"/>
        <item x="259"/>
        <item x="1430"/>
        <item x="88"/>
        <item x="1625"/>
        <item x="54"/>
        <item x="899"/>
        <item x="1291"/>
        <item x="1029"/>
        <item x="208"/>
        <item x="1633"/>
        <item x="907"/>
        <item x="819"/>
        <item x="1144"/>
        <item x="1340"/>
        <item x="313"/>
        <item x="1409"/>
        <item x="97"/>
        <item x="276"/>
        <item x="552"/>
        <item x="1614"/>
        <item x="917"/>
        <item x="788"/>
        <item x="585"/>
        <item x="584"/>
        <item x="1677"/>
        <item x="45"/>
        <item x="592"/>
        <item x="674"/>
        <item x="1073"/>
        <item x="1004"/>
        <item x="1420"/>
        <item x="423"/>
        <item x="770"/>
        <item x="990"/>
        <item x="29"/>
        <item x="1241"/>
        <item x="1125"/>
        <item x="346"/>
        <item x="537"/>
        <item x="1264"/>
        <item x="1375"/>
        <item x="1008"/>
        <item x="1122"/>
        <item x="232"/>
        <item x="452"/>
        <item x="1368"/>
        <item x="1140"/>
        <item x="1526"/>
        <item x="457"/>
        <item x="1121"/>
        <item x="1743"/>
        <item x="1381"/>
        <item x="1397"/>
        <item x="764"/>
        <item x="711"/>
        <item x="320"/>
        <item x="295"/>
        <item x="1221"/>
        <item x="909"/>
        <item x="1460"/>
        <item x="1341"/>
        <item x="1444"/>
        <item x="57"/>
        <item x="159"/>
        <item x="182"/>
        <item x="373"/>
        <item x="1542"/>
        <item x="982"/>
        <item x="1052"/>
        <item x="1591"/>
        <item x="994"/>
        <item x="728"/>
        <item x="80"/>
        <item x="729"/>
        <item x="1694"/>
        <item x="1508"/>
        <item x="395"/>
        <item x="1566"/>
        <item x="1188"/>
        <item x="1347"/>
        <item x="1226"/>
        <item x="567"/>
        <item x="289"/>
        <item x="161"/>
        <item x="279"/>
        <item x="1269"/>
        <item x="1671"/>
        <item x="15"/>
        <item x="1505"/>
        <item x="141"/>
        <item x="892"/>
        <item x="400"/>
        <item x="355"/>
        <item x="1418"/>
        <item x="851"/>
        <item x="1037"/>
        <item x="1075"/>
        <item x="502"/>
        <item x="752"/>
        <item x="1755"/>
        <item x="1480"/>
        <item x="1747"/>
        <item x="895"/>
        <item x="176"/>
        <item x="744"/>
        <item x="269"/>
        <item x="1011"/>
        <item x="46"/>
        <item x="997"/>
        <item x="99"/>
        <item x="1015"/>
        <item x="1198"/>
        <item x="1238"/>
        <item x="310"/>
        <item x="1604"/>
        <item x="1592"/>
        <item x="730"/>
        <item x="1244"/>
        <item x="347"/>
        <item x="1496"/>
        <item x="1041"/>
        <item x="1305"/>
        <item x="1308"/>
        <item x="356"/>
        <item x="582"/>
        <item x="191"/>
        <item x="1181"/>
        <item x="2"/>
        <item x="847"/>
        <item x="1334"/>
        <item x="1736"/>
        <item x="1630"/>
        <item x="1278"/>
        <item x="1358"/>
        <item x="477"/>
        <item x="335"/>
        <item x="849"/>
        <item x="189"/>
        <item x="850"/>
        <item x="1354"/>
        <item x="149"/>
        <item x="272"/>
        <item x="265"/>
        <item x="1617"/>
        <item x="1463"/>
        <item x="1382"/>
        <item x="449"/>
        <item x="720"/>
        <item x="734"/>
        <item x="370"/>
        <item x="1540"/>
        <item x="1153"/>
        <item x="992"/>
        <item x="953"/>
        <item x="894"/>
        <item x="869"/>
        <item x="1213"/>
        <item x="1108"/>
        <item x="1383"/>
        <item x="1491"/>
        <item x="1132"/>
        <item x="240"/>
        <item x="1584"/>
        <item x="1735"/>
        <item x="1185"/>
        <item x="931"/>
        <item x="26"/>
        <item x="1377"/>
        <item x="1602"/>
        <item x="1490"/>
        <item x="1036"/>
        <item x="146"/>
        <item x="880"/>
        <item x="1688"/>
        <item x="995"/>
        <item x="914"/>
        <item x="1607"/>
        <item x="1023"/>
        <item x="192"/>
        <item x="682"/>
        <item x="1357"/>
        <item x="658"/>
        <item x="1018"/>
        <item x="935"/>
        <item x="1528"/>
        <item x="644"/>
        <item x="1521"/>
        <item x="116"/>
        <item x="785"/>
        <item x="1556"/>
        <item x="1731"/>
        <item x="1560"/>
        <item x="177"/>
        <item x="386"/>
        <item x="450"/>
        <item x="1373"/>
        <item x="790"/>
        <item x="1516"/>
        <item x="867"/>
        <item x="912"/>
        <item x="1464"/>
        <item x="498"/>
        <item x="1322"/>
        <item x="93"/>
        <item x="1054"/>
        <item x="428"/>
        <item x="82"/>
        <item x="439"/>
        <item x="871"/>
        <item x="1378"/>
        <item x="1258"/>
        <item x="575"/>
        <item x="1653"/>
        <item x="715"/>
        <item x="1662"/>
        <item x="1613"/>
        <item x="1746"/>
        <item x="288"/>
        <item x="1590"/>
        <item x="1632"/>
        <item x="339"/>
        <item x="222"/>
        <item x="713"/>
        <item x="69"/>
        <item x="1105"/>
        <item x="235"/>
        <item x="590"/>
        <item x="942"/>
        <item x="8"/>
        <item x="424"/>
        <item x="459"/>
        <item x="1627"/>
        <item x="1091"/>
        <item x="501"/>
        <item x="1571"/>
        <item x="908"/>
        <item x="635"/>
        <item x="704"/>
        <item x="229"/>
        <item x="691"/>
        <item x="732"/>
        <item x="1711"/>
        <item x="668"/>
        <item x="1587"/>
        <item x="921"/>
        <item x="1515"/>
        <item x="130"/>
        <item x="1160"/>
        <item x="1051"/>
        <item x="375"/>
        <item x="856"/>
        <item x="18"/>
        <item x="1059"/>
        <item x="1259"/>
        <item x="489"/>
        <item x="1665"/>
        <item x="654"/>
        <item x="814"/>
        <item x="1211"/>
        <item x="1203"/>
        <item x="1366"/>
        <item x="1756"/>
        <item x="524"/>
        <item x="40"/>
        <item x="943"/>
        <item x="378"/>
        <item x="1159"/>
        <item x="1353"/>
        <item x="1424"/>
        <item x="1514"/>
        <item x="241"/>
        <item x="1406"/>
        <item x="1552"/>
        <item x="348"/>
        <item x="1227"/>
        <item x="245"/>
        <item x="1610"/>
        <item x="656"/>
        <item x="795"/>
        <item x="349"/>
        <item x="1335"/>
        <item x="1067"/>
        <item x="96"/>
        <item x="651"/>
        <item x="421"/>
        <item x="920"/>
        <item x="1392"/>
        <item x="173"/>
        <item x="916"/>
        <item x="978"/>
        <item x="709"/>
        <item x="603"/>
        <item x="148"/>
        <item x="327"/>
        <item x="887"/>
        <item x="1562"/>
        <item x="621"/>
        <item x="1214"/>
        <item x="512"/>
        <item x="1550"/>
        <item x="198"/>
        <item x="114"/>
        <item x="113"/>
        <item x="1742"/>
        <item x="1351"/>
        <item x="1236"/>
        <item x="1318"/>
        <item x="1115"/>
        <item x="797"/>
        <item x="1147"/>
        <item x="1301"/>
        <item x="1056"/>
        <item x="1000"/>
        <item x="1595"/>
        <item x="602"/>
        <item x="686"/>
        <item x="929"/>
        <item x="1674"/>
        <item x="1050"/>
        <item x="1502"/>
        <item x="941"/>
        <item x="840"/>
        <item x="784"/>
        <item x="1741"/>
        <item x="972"/>
        <item x="1749"/>
        <item x="1442"/>
        <item x="210"/>
        <item x="1700"/>
        <item x="865"/>
        <item x="1110"/>
        <item x="554"/>
        <item x="157"/>
        <item x="389"/>
        <item x="845"/>
        <item x="478"/>
        <item x="777"/>
        <item x="1339"/>
        <item x="1190"/>
        <item x="367"/>
        <item x="1701"/>
        <item x="911"/>
        <item x="1299"/>
        <item x="1504"/>
        <item x="559"/>
        <item x="37"/>
        <item x="322"/>
        <item x="1462"/>
        <item x="1380"/>
        <item x="71"/>
        <item x="878"/>
        <item x="605"/>
        <item x="1485"/>
        <item x="1304"/>
        <item x="971"/>
        <item x="200"/>
        <item x="1495"/>
        <item x="324"/>
        <item x="561"/>
        <item x="1469"/>
        <item x="1729"/>
        <item x="1028"/>
        <item x="263"/>
        <item x="1254"/>
        <item x="471"/>
        <item x="437"/>
        <item x="566"/>
        <item x="1470"/>
        <item x="1215"/>
        <item x="1414"/>
        <item x="746"/>
        <item x="1646"/>
        <item x="1149"/>
        <item x="44"/>
        <item x="1446"/>
        <item x="947"/>
        <item x="205"/>
        <item x="999"/>
        <item x="1507"/>
        <item x="678"/>
        <item x="207"/>
        <item x="121"/>
        <item x="1663"/>
        <item x="306"/>
        <item x="1717"/>
        <item x="430"/>
        <item x="21"/>
        <item x="251"/>
        <item x="286"/>
        <item x="273"/>
        <item x="1379"/>
        <item x="284"/>
        <item x="761"/>
        <item x="285"/>
        <item x="1697"/>
        <item x="1361"/>
        <item x="396"/>
        <item x="1014"/>
        <item x="1307"/>
        <item x="1544"/>
        <item x="866"/>
        <item x="1654"/>
        <item x="669"/>
        <item x="1046"/>
        <item x="105"/>
        <item x="930"/>
        <item x="1328"/>
        <item x="699"/>
        <item x="712"/>
        <item x="767"/>
        <item x="1146"/>
        <item x="1179"/>
        <item x="1319"/>
        <item x="637"/>
        <item x="970"/>
        <item x="696"/>
        <item x="1536"/>
        <item x="1315"/>
        <item x="321"/>
        <item x="1064"/>
        <item x="270"/>
        <item x="1138"/>
        <item x="924"/>
        <item x="1280"/>
        <item x="587"/>
        <item x="1092"/>
        <item x="484"/>
        <item x="782"/>
        <item x="747"/>
        <item x="876"/>
        <item x="1673"/>
        <item x="1666"/>
        <item x="1628"/>
        <item x="1374"/>
        <item x="541"/>
        <item x="1719"/>
        <item x="1472"/>
        <item x="1698"/>
        <item x="1255"/>
        <item x="1744"/>
        <item x="649"/>
        <item x="405"/>
        <item x="1716"/>
        <item x="1643"/>
        <item x="617"/>
        <item x="127"/>
        <item x="1081"/>
        <item x="735"/>
        <item x="581"/>
        <item x="1421"/>
        <item x="448"/>
        <item x="1503"/>
        <item x="810"/>
        <item x="1078"/>
        <item x="1362"/>
        <item x="680"/>
        <item x="24"/>
        <item x="708"/>
        <item x="1245"/>
        <item x="809"/>
        <item x="369"/>
        <item x="1689"/>
        <item x="1162"/>
        <item x="1346"/>
        <item x="1453"/>
        <item x="1072"/>
        <item x="1615"/>
        <item x="875"/>
        <item x="1513"/>
        <item x="1218"/>
        <item x="481"/>
        <item x="1019"/>
        <item x="401"/>
        <item x="1739"/>
        <item x="1593"/>
        <item x="874"/>
        <item x="1303"/>
        <item x="89"/>
        <item x="1376"/>
        <item x="1690"/>
        <item x="1748"/>
        <item x="1240"/>
        <item x="718"/>
        <item x="1369"/>
        <item x="91"/>
        <item x="1257"/>
        <item x="1252"/>
        <item x="906"/>
        <item x="1225"/>
        <item x="1163"/>
        <item x="1263"/>
        <item x="1636"/>
        <item x="56"/>
        <item x="1461"/>
        <item x="1659"/>
        <item x="1606"/>
        <item x="363"/>
        <item x="75"/>
        <item x="12"/>
        <item x="31"/>
        <item x="1594"/>
        <item x="136"/>
        <item x="532"/>
        <item x="738"/>
        <item x="1408"/>
        <item x="653"/>
        <item x="1471"/>
        <item x="1529"/>
        <item x="404"/>
        <item x="1752"/>
        <item x="1338"/>
        <item x="652"/>
        <item x="1088"/>
        <item x="153"/>
        <item x="1386"/>
        <item x="1079"/>
        <item x="344"/>
        <item x="185"/>
        <item x="913"/>
        <item x="371"/>
        <item x="820"/>
        <item x="710"/>
        <item x="1032"/>
        <item x="1070"/>
        <item x="417"/>
        <item x="5"/>
        <item x="671"/>
        <item x="910"/>
        <item x="368"/>
        <item x="526"/>
        <item x="183"/>
        <item x="1696"/>
        <item x="1727"/>
        <item x="1398"/>
        <item x="1577"/>
        <item x="1548"/>
        <item x="1532"/>
        <item x="695"/>
        <item x="551"/>
        <item x="492"/>
        <item x="410"/>
        <item x="1170"/>
        <item x="1649"/>
        <item x="1027"/>
        <item x="1682"/>
        <item x="829"/>
        <item x="665"/>
        <item x="115"/>
        <item x="399"/>
        <item x="774"/>
        <item x="993"/>
        <item x="1302"/>
        <item x="706"/>
        <item x="1599"/>
        <item x="1477"/>
        <item x="98"/>
        <item x="1585"/>
        <item x="677"/>
        <item x="858"/>
        <item x="1658"/>
        <item x="1025"/>
        <item x="664"/>
        <item x="1313"/>
        <item x="1333"/>
        <item x="62"/>
        <item x="1103"/>
        <item x="768"/>
        <item x="1232"/>
        <item x="859"/>
        <item x="1273"/>
        <item x="1010"/>
        <item x="1295"/>
        <item x="741"/>
        <item x="1450"/>
        <item x="703"/>
        <item x="919"/>
        <item x="1438"/>
        <item x="456"/>
        <item x="290"/>
        <item x="107"/>
        <item x="555"/>
        <item x="1194"/>
        <item x="563"/>
        <item x="398"/>
        <item x="1724"/>
        <item x="870"/>
        <item x="22"/>
        <item x="201"/>
        <item x="1082"/>
        <item x="128"/>
        <item x="1312"/>
        <item x="365"/>
        <item x="490"/>
        <item x="1510"/>
        <item x="740"/>
        <item x="505"/>
        <item x="588"/>
        <item x="1509"/>
        <item x="1106"/>
        <item x="419"/>
        <item x="429"/>
        <item x="604"/>
        <item x="663"/>
        <item x="1676"/>
        <item x="1440"/>
        <item x="778"/>
        <item x="934"/>
        <item x="506"/>
        <item x="1612"/>
        <item x="360"/>
        <item x="227"/>
        <item x="13"/>
        <item x="1558"/>
        <item x="1393"/>
        <item x="868"/>
        <item x="1112"/>
        <item x="314"/>
        <item x="36"/>
        <item x="1720"/>
        <item x="171"/>
        <item x="188"/>
        <item x="1425"/>
        <item x="1631"/>
        <item x="1237"/>
        <item t="default"/>
      </items>
      <extLst>
        <ext xmlns:x14="http://schemas.microsoft.com/office/spreadsheetml/2009/9/main" uri="{2946ED86-A175-432a-8AC1-64E0C546D7DE}">
          <x14:pivotField fillDownLabels="1"/>
        </ext>
      </extLst>
    </pivotField>
    <pivotField compact="0" numFmtId="15" outline="0"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extLst>
        <ext xmlns:x14="http://schemas.microsoft.com/office/spreadsheetml/2009/9/main" uri="{2946ED86-A175-432a-8AC1-64E0C546D7DE}">
          <x14:pivotField fillDownLabels="1"/>
        </ext>
      </extLst>
    </pivotField>
    <pivotField compact="0" numFmtId="15" outline="0"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6">
        <item x="0"/>
        <item x="3"/>
        <item x="4"/>
        <item x="2"/>
        <item x="1"/>
        <item t="default"/>
      </items>
      <extLst>
        <ext xmlns:x14="http://schemas.microsoft.com/office/spreadsheetml/2009/9/main" uri="{2946ED86-A175-432a-8AC1-64E0C546D7DE}">
          <x14:pivotField fillDownLabels="1"/>
        </ext>
      </extLst>
    </pivotField>
    <pivotField compact="0" outline="0" showAll="0">
      <items count="6">
        <item x="3"/>
        <item x="4"/>
        <item x="1"/>
        <item x="0"/>
        <item x="2"/>
        <item t="default"/>
      </items>
      <extLst>
        <ext xmlns:x14="http://schemas.microsoft.com/office/spreadsheetml/2009/9/main" uri="{2946ED86-A175-432a-8AC1-64E0C546D7DE}">
          <x14:pivotField fillDownLabels="1"/>
        </ext>
      </extLst>
    </pivotField>
    <pivotField axis="axisRow" compact="0" outline="0" showAll="0">
      <items count="2">
        <item x="0"/>
        <item t="default"/>
      </items>
      <extLst>
        <ext xmlns:x14="http://schemas.microsoft.com/office/spreadsheetml/2009/9/main" uri="{2946ED86-A175-432a-8AC1-64E0C546D7DE}">
          <x14:pivotField fillDownLabels="1"/>
        </ext>
      </extLst>
    </pivotField>
    <pivotField axis="axisRow" compact="0" outline="0" showAll="0">
      <items count="59">
        <item x="21"/>
        <item x="0"/>
        <item x="46"/>
        <item x="51"/>
        <item x="14"/>
        <item x="54"/>
        <item x="1"/>
        <item x="57"/>
        <item x="42"/>
        <item x="2"/>
        <item x="27"/>
        <item x="44"/>
        <item x="33"/>
        <item x="15"/>
        <item x="22"/>
        <item x="34"/>
        <item x="50"/>
        <item x="55"/>
        <item x="3"/>
        <item x="37"/>
        <item x="43"/>
        <item x="40"/>
        <item x="29"/>
        <item x="24"/>
        <item x="39"/>
        <item x="47"/>
        <item x="49"/>
        <item x="16"/>
        <item x="4"/>
        <item x="25"/>
        <item x="5"/>
        <item x="35"/>
        <item x="23"/>
        <item x="6"/>
        <item x="36"/>
        <item x="7"/>
        <item x="8"/>
        <item x="17"/>
        <item x="26"/>
        <item x="41"/>
        <item x="9"/>
        <item x="10"/>
        <item x="11"/>
        <item x="32"/>
        <item x="53"/>
        <item x="48"/>
        <item x="30"/>
        <item x="38"/>
        <item x="18"/>
        <item x="19"/>
        <item x="31"/>
        <item x="12"/>
        <item x="45"/>
        <item x="20"/>
        <item x="52"/>
        <item x="13"/>
        <item x="28"/>
        <item x="56"/>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4">
        <item x="0"/>
        <item x="1"/>
        <item x="2"/>
        <item x="3"/>
        <item x="4"/>
        <item x="5"/>
        <item x="6"/>
        <item x="7"/>
        <item x="8"/>
        <item x="9"/>
        <item x="10"/>
        <item x="11"/>
        <item x="12"/>
        <item t="default"/>
      </items>
      <extLst>
        <ext xmlns:x14="http://schemas.microsoft.com/office/spreadsheetml/2009/9/main" uri="{2946ED86-A175-432a-8AC1-64E0C546D7DE}">
          <x14:pivotField fillDownLabels="1"/>
        </ext>
      </extLst>
    </pivotField>
    <pivotField compact="0" outline="0" showAll="0">
      <items count="5">
        <item x="2"/>
        <item x="1"/>
        <item x="3"/>
        <item x="0"/>
        <item t="default"/>
      </items>
      <extLst>
        <ext xmlns:x14="http://schemas.microsoft.com/office/spreadsheetml/2009/9/main" uri="{2946ED86-A175-432a-8AC1-64E0C546D7DE}">
          <x14:pivotField fillDownLabels="1"/>
        </ext>
      </extLst>
    </pivotField>
    <pivotField compact="0" outline="0" showAll="0">
      <items count="8">
        <item x="0"/>
        <item x="1"/>
        <item x="2"/>
        <item x="4"/>
        <item x="3"/>
        <item x="5"/>
        <item x="6"/>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extLst>
        <ext xmlns:x14="http://schemas.microsoft.com/office/spreadsheetml/2009/9/main" uri="{2946ED86-A175-432a-8AC1-64E0C546D7DE}">
          <x14:pivotField fillDownLabels="1"/>
        </ext>
      </extLst>
    </pivotField>
    <pivotField compact="0" outline="0" showAll="0">
      <items count="15">
        <item x="0"/>
        <item x="1"/>
        <item x="2"/>
        <item x="3"/>
        <item x="4"/>
        <item x="5"/>
        <item x="6"/>
        <item x="7"/>
        <item x="8"/>
        <item x="9"/>
        <item x="10"/>
        <item x="11"/>
        <item x="12"/>
        <item x="13"/>
        <item t="default"/>
      </items>
      <extLst>
        <ext xmlns:x14="http://schemas.microsoft.com/office/spreadsheetml/2009/9/main" uri="{2946ED86-A175-432a-8AC1-64E0C546D7DE}">
          <x14:pivotField fillDownLabels="1"/>
        </ext>
      </extLst>
    </pivotField>
  </pivotFields>
  <rowFields count="2">
    <field x="10"/>
    <field x="11"/>
  </rowFields>
  <rowItems count="6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t="default">
      <x/>
    </i>
    <i t="grand">
      <x/>
    </i>
  </rowItems>
  <colFields count="1">
    <field x="-2"/>
  </colFields>
  <colItems count="2">
    <i>
      <x/>
    </i>
    <i i="1">
      <x v="1"/>
    </i>
  </colItems>
  <dataFields count="2">
    <dataField name="Sum of Quantity" fld="2" baseField="0" baseItem="0"/>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2843B9-9556-4466-8E7C-3ECCCED32DC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4:C28" firstHeaderRow="0" firstDataRow="1" firstDataCol="1"/>
  <pivotFields count="20">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2">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C5144C6-BA01-43C8-8B30-6728DA440FB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E8" firstHeaderRow="0" firstDataRow="1" firstDataCol="0"/>
  <pivotFields count="20">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dataField="1" showAll="0">
      <items count="6">
        <item x="3"/>
        <item x="4"/>
        <item x="1"/>
        <item x="0"/>
        <item x="2"/>
        <item t="default"/>
      </items>
    </pivotField>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1"/>
    <dataField name="Average of Days to Deliver" fld="12" subtotal="average" baseField="0" baseItem="4"/>
  </dataFields>
  <formats count="3">
    <format dxfId="28">
      <pivotArea type="all" dataOnly="0" outline="0" fieldPosition="0"/>
    </format>
    <format dxfId="27">
      <pivotArea outline="0" collapsedLevelsAreSubtotals="1" fieldPosition="0"/>
    </format>
    <format dxfId="26">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D9E5E28-F6C7-45F6-A21E-81F8BC4E330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M57:N62" firstHeaderRow="1" firstDataRow="1" firstDataCol="1"/>
  <pivotFields count="20">
    <pivotField showAll="0"/>
    <pivotField showAll="0">
      <items count="21">
        <item x="14"/>
        <item x="10"/>
        <item x="12"/>
        <item x="15"/>
        <item x="4"/>
        <item x="7"/>
        <item x="6"/>
        <item x="19"/>
        <item x="18"/>
        <item x="11"/>
        <item x="17"/>
        <item x="5"/>
        <item x="0"/>
        <item x="2"/>
        <item x="9"/>
        <item x="16"/>
        <item x="1"/>
        <item x="13"/>
        <item x="8"/>
        <item x="3"/>
        <item t="default"/>
      </items>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items count="14">
        <item x="0"/>
        <item x="1"/>
        <item x="2"/>
        <item x="3"/>
        <item x="4"/>
        <item x="5"/>
        <item x="6"/>
        <item x="7"/>
        <item x="8"/>
        <item x="9"/>
        <item x="10"/>
        <item x="11"/>
        <item x="12"/>
        <item t="default"/>
      </items>
    </pivotField>
    <pivotField axis="axisRow"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0">
    <chartFormat chart="59" format="0" series="1">
      <pivotArea type="data" outline="0" fieldPosition="0">
        <references count="1">
          <reference field="4294967294" count="1" selected="0">
            <x v="0"/>
          </reference>
        </references>
      </pivotArea>
    </chartFormat>
    <chartFormat chart="62" format="6" series="1">
      <pivotArea type="data" outline="0" fieldPosition="0">
        <references count="1">
          <reference field="4294967294" count="1" selected="0">
            <x v="0"/>
          </reference>
        </references>
      </pivotArea>
    </chartFormat>
    <chartFormat chart="62" format="7">
      <pivotArea type="data" outline="0" fieldPosition="0">
        <references count="2">
          <reference field="4294967294" count="1" selected="0">
            <x v="0"/>
          </reference>
          <reference field="14" count="1" selected="0">
            <x v="0"/>
          </reference>
        </references>
      </pivotArea>
    </chartFormat>
    <chartFormat chart="62" format="8">
      <pivotArea type="data" outline="0" fieldPosition="0">
        <references count="2">
          <reference field="4294967294" count="1" selected="0">
            <x v="0"/>
          </reference>
          <reference field="14" count="1" selected="0">
            <x v="1"/>
          </reference>
        </references>
      </pivotArea>
    </chartFormat>
    <chartFormat chart="62" format="9">
      <pivotArea type="data" outline="0" fieldPosition="0">
        <references count="2">
          <reference field="4294967294" count="1" selected="0">
            <x v="0"/>
          </reference>
          <reference field="14" count="1" selected="0">
            <x v="2"/>
          </reference>
        </references>
      </pivotArea>
    </chartFormat>
    <chartFormat chart="62" format="10">
      <pivotArea type="data" outline="0" fieldPosition="0">
        <references count="2">
          <reference field="4294967294" count="1" selected="0">
            <x v="0"/>
          </reference>
          <reference field="14" count="1" selected="0">
            <x v="3"/>
          </reference>
        </references>
      </pivotArea>
    </chartFormat>
    <chartFormat chart="59" format="1">
      <pivotArea type="data" outline="0" fieldPosition="0">
        <references count="2">
          <reference field="4294967294" count="1" selected="0">
            <x v="0"/>
          </reference>
          <reference field="14" count="1" selected="0">
            <x v="0"/>
          </reference>
        </references>
      </pivotArea>
    </chartFormat>
    <chartFormat chart="59" format="2">
      <pivotArea type="data" outline="0" fieldPosition="0">
        <references count="2">
          <reference field="4294967294" count="1" selected="0">
            <x v="0"/>
          </reference>
          <reference field="14" count="1" selected="0">
            <x v="1"/>
          </reference>
        </references>
      </pivotArea>
    </chartFormat>
    <chartFormat chart="59" format="3">
      <pivotArea type="data" outline="0" fieldPosition="0">
        <references count="2">
          <reference field="4294967294" count="1" selected="0">
            <x v="0"/>
          </reference>
          <reference field="14" count="1" selected="0">
            <x v="2"/>
          </reference>
        </references>
      </pivotArea>
    </chartFormat>
    <chartFormat chart="59"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AAEEBA-4A95-439E-BF1A-CEDDBEFCCC4A}"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1">
  <location ref="A58:F80" firstHeaderRow="1" firstDataRow="2" firstDataCol="1"/>
  <pivotFields count="20">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items count="97">
        <item x="3"/>
        <item x="1"/>
        <item x="2"/>
        <item x="5"/>
        <item x="0"/>
        <item x="4"/>
        <item x="6"/>
        <item x="8"/>
        <item x="9"/>
        <item x="7"/>
        <item x="12"/>
        <item x="14"/>
        <item x="16"/>
        <item x="11"/>
        <item x="15"/>
        <item x="10"/>
        <item x="13"/>
        <item x="18"/>
        <item x="21"/>
        <item x="20"/>
        <item x="24"/>
        <item x="23"/>
        <item x="25"/>
        <item x="17"/>
        <item x="19"/>
        <item x="22"/>
        <item x="29"/>
        <item x="28"/>
        <item x="26"/>
        <item x="27"/>
        <item x="30"/>
        <item x="33"/>
        <item x="34"/>
        <item x="32"/>
        <item x="36"/>
        <item x="38"/>
        <item x="31"/>
        <item x="39"/>
        <item x="35"/>
        <item x="37"/>
        <item x="40"/>
        <item x="44"/>
        <item x="45"/>
        <item x="42"/>
        <item x="48"/>
        <item x="41"/>
        <item x="43"/>
        <item x="50"/>
        <item x="46"/>
        <item x="49"/>
        <item x="47"/>
        <item x="56"/>
        <item x="55"/>
        <item x="54"/>
        <item x="51"/>
        <item x="52"/>
        <item x="53"/>
        <item x="58"/>
        <item x="59"/>
        <item x="57"/>
        <item x="62"/>
        <item x="61"/>
        <item x="63"/>
        <item x="66"/>
        <item x="68"/>
        <item x="70"/>
        <item x="60"/>
        <item x="65"/>
        <item x="71"/>
        <item x="74"/>
        <item x="64"/>
        <item x="67"/>
        <item x="72"/>
        <item x="69"/>
        <item x="76"/>
        <item x="73"/>
        <item x="83"/>
        <item x="78"/>
        <item x="75"/>
        <item x="80"/>
        <item x="79"/>
        <item x="77"/>
        <item x="82"/>
        <item x="81"/>
        <item x="87"/>
        <item x="86"/>
        <item x="90"/>
        <item x="89"/>
        <item x="88"/>
        <item x="84"/>
        <item x="92"/>
        <item x="85"/>
        <item x="95"/>
        <item x="93"/>
        <item x="91"/>
        <item x="94"/>
        <item t="default"/>
      </items>
    </pivotField>
    <pivotField showAll="0"/>
    <pivotField showAll="0">
      <items count="6">
        <item x="0"/>
        <item x="3"/>
        <item x="4"/>
        <item x="2"/>
        <item x="1"/>
        <item t="default"/>
      </items>
    </pivotField>
    <pivotField showAll="0">
      <items count="6">
        <item x="3"/>
        <item x="4"/>
        <item x="1"/>
        <item x="0"/>
        <item x="2"/>
        <item t="default"/>
      </items>
    </pivotField>
    <pivotField showAll="0"/>
    <pivotField showAll="0"/>
    <pivotField showAll="0"/>
    <pivotField showAll="0">
      <items count="14">
        <item x="0"/>
        <item x="1"/>
        <item x="2"/>
        <item x="3"/>
        <item x="4"/>
        <item x="5"/>
        <item x="6"/>
        <item x="7"/>
        <item x="8"/>
        <item x="9"/>
        <item x="10"/>
        <item x="11"/>
        <item x="12"/>
        <item t="default"/>
      </items>
    </pivotField>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9">
    <chartFormat chart="46" format="12" series="1">
      <pivotArea type="data" outline="0" fieldPosition="0">
        <references count="1">
          <reference field="4294967294" count="1" selected="0">
            <x v="0"/>
          </reference>
        </references>
      </pivotArea>
    </chartFormat>
    <chartFormat chart="45" format="12" series="1">
      <pivotArea type="data" outline="0" fieldPosition="0">
        <references count="1">
          <reference field="4294967294" count="1" selected="0">
            <x v="0"/>
          </reference>
        </references>
      </pivotArea>
    </chartFormat>
    <chartFormat chart="46" format="13" series="1">
      <pivotArea type="data" outline="0" fieldPosition="0">
        <references count="2">
          <reference field="4294967294" count="1" selected="0">
            <x v="0"/>
          </reference>
          <reference field="14" count="1" selected="0">
            <x v="1"/>
          </reference>
        </references>
      </pivotArea>
    </chartFormat>
    <chartFormat chart="46" format="14" series="1">
      <pivotArea type="data" outline="0" fieldPosition="0">
        <references count="2">
          <reference field="4294967294" count="1" selected="0">
            <x v="0"/>
          </reference>
          <reference field="14" count="1" selected="0">
            <x v="2"/>
          </reference>
        </references>
      </pivotArea>
    </chartFormat>
    <chartFormat chart="46" format="15" series="1">
      <pivotArea type="data" outline="0" fieldPosition="0">
        <references count="2">
          <reference field="4294967294" count="1" selected="0">
            <x v="0"/>
          </reference>
          <reference field="14" count="1" selected="0">
            <x v="3"/>
          </reference>
        </references>
      </pivotArea>
    </chartFormat>
    <chartFormat chart="45" format="13" series="1">
      <pivotArea type="data" outline="0" fieldPosition="0">
        <references count="2">
          <reference field="4294967294" count="1" selected="0">
            <x v="0"/>
          </reference>
          <reference field="14" count="1" selected="0">
            <x v="1"/>
          </reference>
        </references>
      </pivotArea>
    </chartFormat>
    <chartFormat chart="45" format="14" series="1">
      <pivotArea type="data" outline="0" fieldPosition="0">
        <references count="2">
          <reference field="4294967294" count="1" selected="0">
            <x v="0"/>
          </reference>
          <reference field="14" count="1" selected="0">
            <x v="2"/>
          </reference>
        </references>
      </pivotArea>
    </chartFormat>
    <chartFormat chart="45" format="15" series="1">
      <pivotArea type="data" outline="0" fieldPosition="0">
        <references count="2">
          <reference field="4294967294" count="1" selected="0">
            <x v="0"/>
          </reference>
          <reference field="14" count="1" selected="0">
            <x v="3"/>
          </reference>
        </references>
      </pivotArea>
    </chartFormat>
    <chartFormat chart="46" format="16"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2A725BA2-2513-4983-A801-C4F03CC22463}" sourceName="Order Mode">
  <pivotTables>
    <pivotTable tabId="5" name="PivotTable9"/>
    <pivotTable tabId="5" name="PivotTable1"/>
    <pivotTable tabId="5" name="PivotTable2"/>
    <pivotTable tabId="5" name="PivotTable4"/>
    <pivotTable tabId="5" name="PivotTable5"/>
    <pivotTable tabId="5" name="PivotTable6"/>
    <pivotTable tabId="5" name="PivotTable7"/>
    <pivotTable tabId="5" name="PivotTable8"/>
  </pivotTables>
  <data>
    <tabular pivotCacheId="576075796">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F48DA720-104B-42C8-A243-BFA86202F556}" sourceName="Gender Value">
  <pivotTables>
    <pivotTable tabId="5" name="PivotTable9"/>
    <pivotTable tabId="5" name="PivotTable1"/>
    <pivotTable tabId="5" name="PivotTable2"/>
    <pivotTable tabId="5" name="PivotTable4"/>
    <pivotTable tabId="5" name="PivotTable5"/>
    <pivotTable tabId="5" name="PivotTable6"/>
    <pivotTable tabId="5" name="PivotTable7"/>
    <pivotTable tabId="5" name="PivotTable8"/>
  </pivotTables>
  <data>
    <tabular pivotCacheId="576075796">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 xr10:uid="{1D4A6256-596E-4E33-8E3B-1661BADDF419}" sourceName="Rating C">
  <pivotTables>
    <pivotTable tabId="5" name="PivotTable9"/>
    <pivotTable tabId="5" name="PivotTable1"/>
    <pivotTable tabId="5" name="PivotTable2"/>
    <pivotTable tabId="5" name="PivotTable4"/>
    <pivotTable tabId="5" name="PivotTable5"/>
    <pivotTable tabId="5" name="PivotTable6"/>
    <pivotTable tabId="5" name="PivotTable7"/>
    <pivotTable tabId="5" name="PivotTable8"/>
  </pivotTables>
  <data>
    <tabular pivotCacheId="576075796">
      <items count="5">
        <i x="3" s="1"/>
        <i x="4"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0FE4FD07-5510-4E42-BE94-0BB1F021677F}" cache="Slicer_Order_Mode" caption="Order Mode" rowHeight="247650"/>
  <slicer name="Gender Value" xr10:uid="{4C90A427-56DE-47E1-B4E6-3C9F761052BD}" cache="Slicer_Gender_Value" caption="Gender Value" rowHeight="247650"/>
  <slicer name="Rating C" xr10:uid="{4811CB91-2074-4EB1-8FC1-20161E6169A9}" cache="Slicer_Rating_C" caption="Rating C"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B38E3F24-8CBD-4977-951F-0053A8DA674C}" cache="Slicer_Order_Mode" caption="Order Mode" style="SlicerStyleLight5" rowHeight="247650"/>
  <slicer name="Gender Value 1" xr10:uid="{7DDD0D09-57FA-460B-A81F-351A20B451AC}" cache="Slicer_Gender_Value" caption="Gender Value" style="SlicerStyleLight5" rowHeight="247650"/>
  <slicer name="Rating C 1" xr10:uid="{16163201-03A5-4B4A-809C-056662BD4455}" cache="Slicer_Rating_C" caption="Rating C" style="SlicerStyleLight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ableColumns count="15">
    <tableColumn id="1" xr3:uid="{835BDA26-C722-4E6F-9298-258C54C0B701}" name="TX ID" totalsRowLabel="Total"/>
    <tableColumn id="2" xr3:uid="{D1EF005A-5696-4529-BA61-93E2EAA2107A}" name="Product"/>
    <tableColumn id="3" xr3:uid="{D49C5075-88A8-4A63-A107-04CDE748DF73}" name="Quantity"/>
    <tableColumn id="4" xr3:uid="{165FB9D7-E05A-4AF9-8E1E-85C779E2F26A}" name="Unit Price"/>
    <tableColumn id="5" xr3:uid="{ADAB0B65-CB79-438E-8639-84ED9A249D6D}" name="Amount" dataDxfId="39" totalsRowDxfId="25"/>
    <tableColumn id="6" xr3:uid="{F1CF05F9-0D26-457F-8C26-9F73C63CDAC6}" name="Order Date" dataDxfId="38" totalsRowDxfId="24"/>
    <tableColumn id="7" xr3:uid="{43BB5DBF-46E1-4185-80C0-4361F55A385C}" name="Ship Date" dataDxfId="37" totalsRowDxfId="23"/>
    <tableColumn id="8" xr3:uid="{414130C9-4E38-42D6-9A5C-4680F86C86A0}" name="Customer Gender" dataDxfId="36" totalsRowDxfId="15"/>
    <tableColumn id="9" xr3:uid="{8BBEC465-D535-4FE0-8A17-D6D08BC95D63}" name="Order Mode" dataDxfId="35" totalsRowDxfId="22"/>
    <tableColumn id="10" xr3:uid="{9F8B8E2F-389A-43C1-A866-C7B34C836FA7}" name="Rating C" dataDxfId="34" totalsRowDxfId="21"/>
    <tableColumn id="15" xr3:uid="{6AB4A82F-B440-4251-B6F1-F7FEC368BCB0}" name="State" dataDxfId="33" totalsRowDxfId="20"/>
    <tableColumn id="14" xr3:uid="{7677905C-5061-4DD9-BB0A-9B3AD4D72582}" name="County" dataDxfId="32" totalsRowDxfId="19"/>
    <tableColumn id="11" xr3:uid="{B121C182-B0E1-414B-A82C-D2FE9133B15C}" name="Days to Deliver" dataDxfId="31" totalsRowDxfId="18">
      <calculatedColumnFormula>orders[[#This Row],[Ship Date]]-orders[[#This Row],[Order Date]]</calculatedColumnFormula>
    </tableColumn>
    <tableColumn id="12" xr3:uid="{B071C0DA-87A9-4516-B4D9-4F5B7D3FF44A}" name="Weeknum" dataDxfId="30" totalsRowDxfId="17">
      <calculatedColumnFormula>WEEKNUM(orders[[#This Row],[Order Date]])</calculatedColumnFormula>
    </tableColumn>
    <tableColumn id="13" xr3:uid="{B8EA9E28-7541-4E76-9935-C26438661A18}" name="Gender Value" totalsRowFunction="count" dataDxfId="29" totalsRowDxfId="16">
      <calculatedColumnFormula array="1">_xlfn.IFS(orders[[#This Row],[Customer Gender]]="M","Male", orders[[#This Row],[Customer Gender]]="F","Female", orders[[#This Row],[Customer Gender]]="O","Other", TRUE,"Unknown")</calculatedColumnFormula>
    </tableColumn>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VivaCalif">
      <a:dk1>
        <a:sysClr val="windowText" lastClr="000000"/>
      </a:dk1>
      <a:lt1>
        <a:sysClr val="window" lastClr="FFFFFF"/>
      </a:lt1>
      <a:dk2>
        <a:srgbClr val="0E2841"/>
      </a:dk2>
      <a:lt2>
        <a:srgbClr val="E8E8E8"/>
      </a:lt2>
      <a:accent1>
        <a:srgbClr val="9FBFAD"/>
      </a:accent1>
      <a:accent2>
        <a:srgbClr val="748C76"/>
      </a:accent2>
      <a:accent3>
        <a:srgbClr val="505947"/>
      </a:accent3>
      <a:accent4>
        <a:srgbClr val="BF7F5A"/>
      </a:accent4>
      <a:accent5>
        <a:srgbClr val="BF3939"/>
      </a:accent5>
      <a:accent6>
        <a:srgbClr val="4887E6"/>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zoomScale="70" workbookViewId="0">
      <selection activeCell="Z10" sqref="Z10"/>
    </sheetView>
  </sheetViews>
  <sheetFormatPr defaultRowHeight="14.4" x14ac:dyDescent="0.3"/>
  <cols>
    <col min="1" max="1" width="12.109375" customWidth="1"/>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s="24" t="s">
        <v>4</v>
      </c>
      <c r="F1" s="24" t="s">
        <v>5</v>
      </c>
      <c r="G1" s="24" t="s">
        <v>6</v>
      </c>
      <c r="H1" s="24" t="s">
        <v>7</v>
      </c>
      <c r="I1" s="24" t="s">
        <v>8</v>
      </c>
      <c r="J1" s="24" t="s">
        <v>9</v>
      </c>
      <c r="K1" s="24" t="s">
        <v>10</v>
      </c>
      <c r="L1" s="24" t="s">
        <v>11</v>
      </c>
      <c r="M1" s="25" t="s">
        <v>12</v>
      </c>
      <c r="N1" s="25" t="s">
        <v>13</v>
      </c>
      <c r="O1" s="25" t="s">
        <v>14</v>
      </c>
    </row>
    <row r="2" spans="1:15" x14ac:dyDescent="0.3">
      <c r="A2" t="s">
        <v>15</v>
      </c>
      <c r="B2" t="s">
        <v>16</v>
      </c>
      <c r="C2">
        <v>1</v>
      </c>
      <c r="D2">
        <v>10.9</v>
      </c>
      <c r="E2" s="1">
        <v>10.9</v>
      </c>
      <c r="F2" s="2">
        <v>45658</v>
      </c>
      <c r="G2" s="2">
        <v>45663</v>
      </c>
      <c r="H2" s="1" t="s">
        <v>17</v>
      </c>
      <c r="I2" s="1" t="s">
        <v>18</v>
      </c>
      <c r="J2" s="1">
        <v>4</v>
      </c>
      <c r="K2" s="1" t="s">
        <v>19</v>
      </c>
      <c r="L2" s="1" t="s">
        <v>20</v>
      </c>
      <c r="M2" s="1">
        <f>orders[[#This Row],[Ship Date]]-orders[[#This Row],[Order Date]]</f>
        <v>5</v>
      </c>
      <c r="N2" s="1">
        <f>WEEKNUM(orders[[#This Row],[Order Date]])</f>
        <v>1</v>
      </c>
      <c r="O2" s="1" t="str" cm="1">
        <f t="array" ref="O2">_xlfn.IFS(orders[[#This Row],[Customer Gender]]="M","Male", orders[[#This Row],[Customer Gender]]="F","Female", orders[[#This Row],[Customer Gender]]="O","Other", TRUE,"Unknown")</f>
        <v>Unknown</v>
      </c>
    </row>
    <row r="3" spans="1:15" x14ac:dyDescent="0.3">
      <c r="A3" t="s">
        <v>21</v>
      </c>
      <c r="B3" t="s">
        <v>22</v>
      </c>
      <c r="C3">
        <v>2</v>
      </c>
      <c r="D3">
        <v>30.6</v>
      </c>
      <c r="E3" s="1">
        <v>61.2</v>
      </c>
      <c r="F3" s="2">
        <v>45658</v>
      </c>
      <c r="G3" s="2">
        <v>45660</v>
      </c>
      <c r="H3" s="1" t="s">
        <v>23</v>
      </c>
      <c r="I3" s="1" t="s">
        <v>18</v>
      </c>
      <c r="J3" s="1">
        <v>4</v>
      </c>
      <c r="K3" s="1" t="s">
        <v>19</v>
      </c>
      <c r="L3" s="1" t="s">
        <v>24</v>
      </c>
      <c r="M3" s="1">
        <f>orders[[#This Row],[Ship Date]]-orders[[#This Row],[Order Date]]</f>
        <v>2</v>
      </c>
      <c r="N3" s="1">
        <f>WEEKNUM(orders[[#This Row],[Order Date]])</f>
        <v>1</v>
      </c>
      <c r="O3" s="1" t="str" cm="1">
        <f t="array" ref="O3">_xlfn.IFS(orders[[#This Row],[Customer Gender]]="M","Male", orders[[#This Row],[Customer Gender]]="F","Female", orders[[#This Row],[Customer Gender]]="O","Other", TRUE,"Unknown")</f>
        <v>Male</v>
      </c>
    </row>
    <row r="4" spans="1:15" x14ac:dyDescent="0.3">
      <c r="A4" t="s">
        <v>25</v>
      </c>
      <c r="B4" t="s">
        <v>26</v>
      </c>
      <c r="C4">
        <v>3</v>
      </c>
      <c r="D4">
        <v>109.4</v>
      </c>
      <c r="E4" s="1">
        <v>328.20000000000005</v>
      </c>
      <c r="F4" s="2">
        <v>45658</v>
      </c>
      <c r="G4" s="2">
        <v>45661</v>
      </c>
      <c r="H4" s="1" t="s">
        <v>27</v>
      </c>
      <c r="I4" s="1" t="s">
        <v>18</v>
      </c>
      <c r="J4" s="1">
        <v>3</v>
      </c>
      <c r="K4" s="1" t="s">
        <v>19</v>
      </c>
      <c r="L4" s="1" t="s">
        <v>28</v>
      </c>
      <c r="M4" s="1">
        <f>orders[[#This Row],[Ship Date]]-orders[[#This Row],[Order Date]]</f>
        <v>3</v>
      </c>
      <c r="N4" s="1">
        <f>WEEKNUM(orders[[#This Row],[Order Date]])</f>
        <v>1</v>
      </c>
      <c r="O4" s="1" t="str" cm="1">
        <f t="array" ref="O4">_xlfn.IFS(orders[[#This Row],[Customer Gender]]="M","Male", orders[[#This Row],[Customer Gender]]="F","Female", orders[[#This Row],[Customer Gender]]="O","Other", TRUE,"Unknown")</f>
        <v>Female</v>
      </c>
    </row>
    <row r="5" spans="1:15" x14ac:dyDescent="0.3">
      <c r="A5" t="s">
        <v>29</v>
      </c>
      <c r="B5" t="s">
        <v>30</v>
      </c>
      <c r="C5">
        <v>7</v>
      </c>
      <c r="D5">
        <v>37.700000000000003</v>
      </c>
      <c r="E5" s="1">
        <v>263.90000000000003</v>
      </c>
      <c r="F5" s="2">
        <v>45658</v>
      </c>
      <c r="G5" s="2">
        <v>45659</v>
      </c>
      <c r="H5" s="1" t="s">
        <v>27</v>
      </c>
      <c r="I5" s="1" t="s">
        <v>18</v>
      </c>
      <c r="J5" s="1">
        <v>4</v>
      </c>
      <c r="K5" s="1" t="s">
        <v>19</v>
      </c>
      <c r="L5" s="1" t="s">
        <v>28</v>
      </c>
      <c r="M5" s="1">
        <f>orders[[#This Row],[Ship Date]]-orders[[#This Row],[Order Date]]</f>
        <v>1</v>
      </c>
      <c r="N5" s="1">
        <f>WEEKNUM(orders[[#This Row],[Order Date]])</f>
        <v>1</v>
      </c>
      <c r="O5" s="1" t="str" cm="1">
        <f t="array" ref="O5">_xlfn.IFS(orders[[#This Row],[Customer Gender]]="M","Male", orders[[#This Row],[Customer Gender]]="F","Female", orders[[#This Row],[Customer Gender]]="O","Other", TRUE,"Unknown")</f>
        <v>Female</v>
      </c>
    </row>
    <row r="6" spans="1:15" x14ac:dyDescent="0.3">
      <c r="A6" t="s">
        <v>31</v>
      </c>
      <c r="B6" t="s">
        <v>32</v>
      </c>
      <c r="C6">
        <v>3</v>
      </c>
      <c r="D6">
        <v>56.7</v>
      </c>
      <c r="E6" s="1">
        <v>170.10000000000002</v>
      </c>
      <c r="F6" s="2">
        <v>45658</v>
      </c>
      <c r="G6" s="2">
        <v>45661</v>
      </c>
      <c r="H6" s="1" t="s">
        <v>27</v>
      </c>
      <c r="I6" s="1" t="s">
        <v>18</v>
      </c>
      <c r="J6" s="1">
        <v>5</v>
      </c>
      <c r="K6" s="1" t="s">
        <v>19</v>
      </c>
      <c r="L6" s="1" t="s">
        <v>33</v>
      </c>
      <c r="M6" s="1">
        <f>orders[[#This Row],[Ship Date]]-orders[[#This Row],[Order Date]]</f>
        <v>3</v>
      </c>
      <c r="N6" s="1">
        <f>WEEKNUM(orders[[#This Row],[Order Date]])</f>
        <v>1</v>
      </c>
      <c r="O6" s="1" t="str" cm="1">
        <f t="array" ref="O6">_xlfn.IFS(orders[[#This Row],[Customer Gender]]="M","Male", orders[[#This Row],[Customer Gender]]="F","Female", orders[[#This Row],[Customer Gender]]="O","Other", TRUE,"Unknown")</f>
        <v>Female</v>
      </c>
    </row>
    <row r="7" spans="1:15" x14ac:dyDescent="0.3">
      <c r="A7" t="s">
        <v>34</v>
      </c>
      <c r="B7" t="s">
        <v>22</v>
      </c>
      <c r="C7">
        <v>12</v>
      </c>
      <c r="D7">
        <v>83.5</v>
      </c>
      <c r="E7" s="1">
        <v>1002</v>
      </c>
      <c r="F7" s="2">
        <v>45658</v>
      </c>
      <c r="G7" s="2">
        <v>45661</v>
      </c>
      <c r="H7" s="1" t="s">
        <v>23</v>
      </c>
      <c r="I7" s="1" t="s">
        <v>35</v>
      </c>
      <c r="J7" s="1">
        <v>4</v>
      </c>
      <c r="K7" s="1" t="s">
        <v>19</v>
      </c>
      <c r="L7" s="1" t="s">
        <v>33</v>
      </c>
      <c r="M7" s="1">
        <f>orders[[#This Row],[Ship Date]]-orders[[#This Row],[Order Date]]</f>
        <v>3</v>
      </c>
      <c r="N7" s="1">
        <f>WEEKNUM(orders[[#This Row],[Order Date]])</f>
        <v>1</v>
      </c>
      <c r="O7" s="1" t="str" cm="1">
        <f t="array" ref="O7">_xlfn.IFS(orders[[#This Row],[Customer Gender]]="M","Male", orders[[#This Row],[Customer Gender]]="F","Female", orders[[#This Row],[Customer Gender]]="O","Other", TRUE,"Unknown")</f>
        <v>Male</v>
      </c>
    </row>
    <row r="8" spans="1:15" x14ac:dyDescent="0.3">
      <c r="A8" t="s">
        <v>36</v>
      </c>
      <c r="B8" t="s">
        <v>37</v>
      </c>
      <c r="C8">
        <v>1</v>
      </c>
      <c r="D8">
        <v>55.3</v>
      </c>
      <c r="E8" s="1">
        <v>55.3</v>
      </c>
      <c r="F8" s="2">
        <v>45658</v>
      </c>
      <c r="G8" s="2">
        <v>45659</v>
      </c>
      <c r="H8" s="1" t="s">
        <v>27</v>
      </c>
      <c r="I8" s="1" t="s">
        <v>18</v>
      </c>
      <c r="J8" s="1">
        <v>4</v>
      </c>
      <c r="K8" s="1" t="s">
        <v>19</v>
      </c>
      <c r="L8" s="1" t="s">
        <v>33</v>
      </c>
      <c r="M8" s="1">
        <f>orders[[#This Row],[Ship Date]]-orders[[#This Row],[Order Date]]</f>
        <v>1</v>
      </c>
      <c r="N8" s="1">
        <f>WEEKNUM(orders[[#This Row],[Order Date]])</f>
        <v>1</v>
      </c>
      <c r="O8" s="1" t="str" cm="1">
        <f t="array" ref="O8">_xlfn.IFS(orders[[#This Row],[Customer Gender]]="M","Male", orders[[#This Row],[Customer Gender]]="F","Female", orders[[#This Row],[Customer Gender]]="O","Other", TRUE,"Unknown")</f>
        <v>Female</v>
      </c>
    </row>
    <row r="9" spans="1:15" x14ac:dyDescent="0.3">
      <c r="A9" t="s">
        <v>38</v>
      </c>
      <c r="B9" t="s">
        <v>39</v>
      </c>
      <c r="C9">
        <v>2</v>
      </c>
      <c r="D9">
        <v>40.299999999999997</v>
      </c>
      <c r="E9" s="1">
        <v>80.599999999999994</v>
      </c>
      <c r="F9" s="2">
        <v>45658</v>
      </c>
      <c r="G9" s="2">
        <v>45659</v>
      </c>
      <c r="H9" s="1" t="s">
        <v>23</v>
      </c>
      <c r="I9" s="1" t="s">
        <v>40</v>
      </c>
      <c r="J9" s="1">
        <v>5</v>
      </c>
      <c r="K9" s="1" t="s">
        <v>19</v>
      </c>
      <c r="L9" s="1" t="s">
        <v>33</v>
      </c>
      <c r="M9" s="1">
        <f>orders[[#This Row],[Ship Date]]-orders[[#This Row],[Order Date]]</f>
        <v>1</v>
      </c>
      <c r="N9" s="1">
        <f>WEEKNUM(orders[[#This Row],[Order Date]])</f>
        <v>1</v>
      </c>
      <c r="O9" s="1"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s="1">
        <v>392.70000000000005</v>
      </c>
      <c r="F10" s="2">
        <v>45658</v>
      </c>
      <c r="G10" s="2">
        <v>45659</v>
      </c>
      <c r="H10" s="1" t="s">
        <v>27</v>
      </c>
      <c r="I10" s="1" t="s">
        <v>18</v>
      </c>
      <c r="J10" s="1">
        <v>4</v>
      </c>
      <c r="K10" s="1" t="s">
        <v>19</v>
      </c>
      <c r="L10" s="1" t="s">
        <v>33</v>
      </c>
      <c r="M10" s="1">
        <f>orders[[#This Row],[Ship Date]]-orders[[#This Row],[Order Date]]</f>
        <v>1</v>
      </c>
      <c r="N10" s="1">
        <f>WEEKNUM(orders[[#This Row],[Order Date]])</f>
        <v>1</v>
      </c>
      <c r="O10" s="1" t="str" cm="1">
        <f t="array" ref="O10">_xlfn.IFS(orders[[#This Row],[Customer Gender]]="M","Male", orders[[#This Row],[Customer Gender]]="F","Female", orders[[#This Row],[Customer Gender]]="O","Other", TRUE,"Unknown")</f>
        <v>Female</v>
      </c>
    </row>
    <row r="11" spans="1:15" x14ac:dyDescent="0.3">
      <c r="A11" t="s">
        <v>43</v>
      </c>
      <c r="B11" t="s">
        <v>44</v>
      </c>
      <c r="C11">
        <v>7</v>
      </c>
      <c r="D11">
        <v>22.4</v>
      </c>
      <c r="E11" s="1">
        <v>156.79999999999998</v>
      </c>
      <c r="F11" s="2">
        <v>45658</v>
      </c>
      <c r="G11" s="2">
        <v>45661</v>
      </c>
      <c r="H11" s="1" t="s">
        <v>23</v>
      </c>
      <c r="I11" s="1" t="s">
        <v>18</v>
      </c>
      <c r="J11" s="1">
        <v>3</v>
      </c>
      <c r="K11" s="1" t="s">
        <v>19</v>
      </c>
      <c r="L11" s="1" t="s">
        <v>33</v>
      </c>
      <c r="M11" s="1">
        <f>orders[[#This Row],[Ship Date]]-orders[[#This Row],[Order Date]]</f>
        <v>3</v>
      </c>
      <c r="N11" s="1">
        <f>WEEKNUM(orders[[#This Row],[Order Date]])</f>
        <v>1</v>
      </c>
      <c r="O11" s="1" t="str" cm="1">
        <f t="array" ref="O11">_xlfn.IFS(orders[[#This Row],[Customer Gender]]="M","Male", orders[[#This Row],[Customer Gender]]="F","Female", orders[[#This Row],[Customer Gender]]="O","Other", TRUE,"Unknown")</f>
        <v>Male</v>
      </c>
    </row>
    <row r="12" spans="1:15" x14ac:dyDescent="0.3">
      <c r="A12" t="s">
        <v>45</v>
      </c>
      <c r="B12" t="s">
        <v>46</v>
      </c>
      <c r="C12">
        <v>2</v>
      </c>
      <c r="D12">
        <v>54.4</v>
      </c>
      <c r="E12" s="1">
        <v>108.8</v>
      </c>
      <c r="F12" s="2">
        <v>45658</v>
      </c>
      <c r="G12" s="2">
        <v>45664</v>
      </c>
      <c r="H12" s="1" t="s">
        <v>27</v>
      </c>
      <c r="I12" s="1" t="s">
        <v>18</v>
      </c>
      <c r="J12" s="1">
        <v>4</v>
      </c>
      <c r="K12" s="1" t="s">
        <v>19</v>
      </c>
      <c r="L12" s="1" t="s">
        <v>33</v>
      </c>
      <c r="M12" s="1">
        <f>orders[[#This Row],[Ship Date]]-orders[[#This Row],[Order Date]]</f>
        <v>6</v>
      </c>
      <c r="N12" s="1">
        <f>WEEKNUM(orders[[#This Row],[Order Date]])</f>
        <v>1</v>
      </c>
      <c r="O12" s="1" t="str" cm="1">
        <f t="array" ref="O12">_xlfn.IFS(orders[[#This Row],[Customer Gender]]="M","Male", orders[[#This Row],[Customer Gender]]="F","Female", orders[[#This Row],[Customer Gender]]="O","Other", TRUE,"Unknown")</f>
        <v>Female</v>
      </c>
    </row>
    <row r="13" spans="1:15" x14ac:dyDescent="0.3">
      <c r="A13" t="s">
        <v>47</v>
      </c>
      <c r="B13" t="s">
        <v>46</v>
      </c>
      <c r="C13">
        <v>2</v>
      </c>
      <c r="D13">
        <v>49</v>
      </c>
      <c r="E13" s="1">
        <v>98</v>
      </c>
      <c r="F13" s="2">
        <v>45658</v>
      </c>
      <c r="G13" s="2">
        <v>45660</v>
      </c>
      <c r="H13" s="1" t="s">
        <v>27</v>
      </c>
      <c r="I13" s="1" t="s">
        <v>40</v>
      </c>
      <c r="J13" s="1">
        <v>3</v>
      </c>
      <c r="K13" s="1" t="s">
        <v>19</v>
      </c>
      <c r="L13" s="1" t="s">
        <v>33</v>
      </c>
      <c r="M13" s="1">
        <f>orders[[#This Row],[Ship Date]]-orders[[#This Row],[Order Date]]</f>
        <v>2</v>
      </c>
      <c r="N13" s="1">
        <f>WEEKNUM(orders[[#This Row],[Order Date]])</f>
        <v>1</v>
      </c>
      <c r="O13" s="1" t="str" cm="1">
        <f t="array" ref="O13">_xlfn.IFS(orders[[#This Row],[Customer Gender]]="M","Male", orders[[#This Row],[Customer Gender]]="F","Female", orders[[#This Row],[Customer Gender]]="O","Other", TRUE,"Unknown")</f>
        <v>Female</v>
      </c>
    </row>
    <row r="14" spans="1:15" x14ac:dyDescent="0.3">
      <c r="A14" t="s">
        <v>48</v>
      </c>
      <c r="B14" t="s">
        <v>37</v>
      </c>
      <c r="C14">
        <v>7</v>
      </c>
      <c r="D14">
        <v>118.6</v>
      </c>
      <c r="E14" s="1">
        <v>830.19999999999993</v>
      </c>
      <c r="F14" s="2">
        <v>45658</v>
      </c>
      <c r="G14" s="2">
        <v>45662</v>
      </c>
      <c r="H14" s="1" t="s">
        <v>27</v>
      </c>
      <c r="I14" s="1" t="s">
        <v>35</v>
      </c>
      <c r="J14" s="1">
        <v>4</v>
      </c>
      <c r="K14" s="1" t="s">
        <v>19</v>
      </c>
      <c r="L14" s="1" t="s">
        <v>49</v>
      </c>
      <c r="M14" s="1">
        <f>orders[[#This Row],[Ship Date]]-orders[[#This Row],[Order Date]]</f>
        <v>4</v>
      </c>
      <c r="N14" s="1">
        <f>WEEKNUM(orders[[#This Row],[Order Date]])</f>
        <v>1</v>
      </c>
      <c r="O14" s="1" t="str" cm="1">
        <f t="array" ref="O14">_xlfn.IFS(orders[[#This Row],[Customer Gender]]="M","Male", orders[[#This Row],[Customer Gender]]="F","Female", orders[[#This Row],[Customer Gender]]="O","Other", TRUE,"Unknown")</f>
        <v>Female</v>
      </c>
    </row>
    <row r="15" spans="1:15" x14ac:dyDescent="0.3">
      <c r="A15" t="s">
        <v>50</v>
      </c>
      <c r="B15" t="s">
        <v>39</v>
      </c>
      <c r="C15">
        <v>27</v>
      </c>
      <c r="D15">
        <v>88.4</v>
      </c>
      <c r="E15" s="1">
        <v>2386.8000000000002</v>
      </c>
      <c r="F15" s="2">
        <v>45658</v>
      </c>
      <c r="G15" s="2">
        <v>45665</v>
      </c>
      <c r="H15" s="1" t="s">
        <v>23</v>
      </c>
      <c r="I15" s="1" t="s">
        <v>51</v>
      </c>
      <c r="J15" s="1">
        <v>4</v>
      </c>
      <c r="K15" s="1" t="s">
        <v>19</v>
      </c>
      <c r="L15" s="1" t="s">
        <v>52</v>
      </c>
      <c r="M15" s="1">
        <f>orders[[#This Row],[Ship Date]]-orders[[#This Row],[Order Date]]</f>
        <v>7</v>
      </c>
      <c r="N15" s="1">
        <f>WEEKNUM(orders[[#This Row],[Order Date]])</f>
        <v>1</v>
      </c>
      <c r="O15" s="1" t="str" cm="1">
        <f t="array" ref="O15">_xlfn.IFS(orders[[#This Row],[Customer Gender]]="M","Male", orders[[#This Row],[Customer Gender]]="F","Female", orders[[#This Row],[Customer Gender]]="O","Other", TRUE,"Unknown")</f>
        <v>Male</v>
      </c>
    </row>
    <row r="16" spans="1:15" x14ac:dyDescent="0.3">
      <c r="A16" t="s">
        <v>53</v>
      </c>
      <c r="B16" t="s">
        <v>54</v>
      </c>
      <c r="C16">
        <v>1</v>
      </c>
      <c r="D16">
        <v>66.7</v>
      </c>
      <c r="E16" s="1">
        <v>66.7</v>
      </c>
      <c r="F16" s="2">
        <v>45658</v>
      </c>
      <c r="G16" s="2">
        <v>45661</v>
      </c>
      <c r="H16" s="1" t="s">
        <v>23</v>
      </c>
      <c r="I16" s="1" t="s">
        <v>18</v>
      </c>
      <c r="J16" s="1">
        <v>4</v>
      </c>
      <c r="K16" s="1" t="s">
        <v>19</v>
      </c>
      <c r="L16" s="1" t="s">
        <v>55</v>
      </c>
      <c r="M16" s="1">
        <f>orders[[#This Row],[Ship Date]]-orders[[#This Row],[Order Date]]</f>
        <v>3</v>
      </c>
      <c r="N16" s="1">
        <f>WEEKNUM(orders[[#This Row],[Order Date]])</f>
        <v>1</v>
      </c>
      <c r="O16" s="1" t="str" cm="1">
        <f t="array" ref="O16">_xlfn.IFS(orders[[#This Row],[Customer Gender]]="M","Male", orders[[#This Row],[Customer Gender]]="F","Female", orders[[#This Row],[Customer Gender]]="O","Other", TRUE,"Unknown")</f>
        <v>Male</v>
      </c>
    </row>
    <row r="17" spans="1:15" x14ac:dyDescent="0.3">
      <c r="A17" t="s">
        <v>56</v>
      </c>
      <c r="B17" t="s">
        <v>46</v>
      </c>
      <c r="C17">
        <v>10</v>
      </c>
      <c r="D17">
        <v>30.9</v>
      </c>
      <c r="E17" s="1">
        <v>309</v>
      </c>
      <c r="F17" s="2">
        <v>45658</v>
      </c>
      <c r="G17" s="2">
        <v>45659</v>
      </c>
      <c r="H17" s="1" t="s">
        <v>23</v>
      </c>
      <c r="I17" s="1" t="s">
        <v>35</v>
      </c>
      <c r="J17" s="1">
        <v>5</v>
      </c>
      <c r="K17" s="1" t="s">
        <v>19</v>
      </c>
      <c r="L17" s="1" t="s">
        <v>55</v>
      </c>
      <c r="M17" s="1">
        <f>orders[[#This Row],[Ship Date]]-orders[[#This Row],[Order Date]]</f>
        <v>1</v>
      </c>
      <c r="N17" s="1">
        <f>WEEKNUM(orders[[#This Row],[Order Date]])</f>
        <v>1</v>
      </c>
      <c r="O17" s="1" t="str" cm="1">
        <f t="array" ref="O17">_xlfn.IFS(orders[[#This Row],[Customer Gender]]="M","Male", orders[[#This Row],[Customer Gender]]="F","Female", orders[[#This Row],[Customer Gender]]="O","Other", TRUE,"Unknown")</f>
        <v>Male</v>
      </c>
    </row>
    <row r="18" spans="1:15" x14ac:dyDescent="0.3">
      <c r="A18" t="s">
        <v>57</v>
      </c>
      <c r="B18" t="s">
        <v>32</v>
      </c>
      <c r="C18">
        <v>3</v>
      </c>
      <c r="D18">
        <v>31.1</v>
      </c>
      <c r="E18" s="1">
        <v>93.300000000000011</v>
      </c>
      <c r="F18" s="2">
        <v>45658</v>
      </c>
      <c r="G18" s="2">
        <v>45659</v>
      </c>
      <c r="H18" s="1" t="s">
        <v>27</v>
      </c>
      <c r="I18" s="1" t="s">
        <v>18</v>
      </c>
      <c r="J18" s="1">
        <v>3</v>
      </c>
      <c r="K18" s="1" t="s">
        <v>19</v>
      </c>
      <c r="L18" s="1" t="s">
        <v>55</v>
      </c>
      <c r="M18" s="1">
        <f>orders[[#This Row],[Ship Date]]-orders[[#This Row],[Order Date]]</f>
        <v>1</v>
      </c>
      <c r="N18" s="1">
        <f>WEEKNUM(orders[[#This Row],[Order Date]])</f>
        <v>1</v>
      </c>
      <c r="O18" s="1" t="str" cm="1">
        <f t="array" ref="O18">_xlfn.IFS(orders[[#This Row],[Customer Gender]]="M","Male", orders[[#This Row],[Customer Gender]]="F","Female", orders[[#This Row],[Customer Gender]]="O","Other", TRUE,"Unknown")</f>
        <v>Female</v>
      </c>
    </row>
    <row r="19" spans="1:15" x14ac:dyDescent="0.3">
      <c r="A19" t="s">
        <v>58</v>
      </c>
      <c r="B19" t="s">
        <v>42</v>
      </c>
      <c r="C19">
        <v>3</v>
      </c>
      <c r="D19">
        <v>36.6</v>
      </c>
      <c r="E19" s="1">
        <v>109.80000000000001</v>
      </c>
      <c r="F19" s="2">
        <v>45658</v>
      </c>
      <c r="G19" s="2">
        <v>45661</v>
      </c>
      <c r="H19" s="1" t="s">
        <v>27</v>
      </c>
      <c r="I19" s="1" t="s">
        <v>18</v>
      </c>
      <c r="J19" s="1">
        <v>4</v>
      </c>
      <c r="K19" s="1" t="s">
        <v>19</v>
      </c>
      <c r="L19" s="1" t="s">
        <v>59</v>
      </c>
      <c r="M19" s="1">
        <f>orders[[#This Row],[Ship Date]]-orders[[#This Row],[Order Date]]</f>
        <v>3</v>
      </c>
      <c r="N19" s="1">
        <f>WEEKNUM(orders[[#This Row],[Order Date]])</f>
        <v>1</v>
      </c>
      <c r="O19" s="1" t="str" cm="1">
        <f t="array" ref="O19">_xlfn.IFS(orders[[#This Row],[Customer Gender]]="M","Male", orders[[#This Row],[Customer Gender]]="F","Female", orders[[#This Row],[Customer Gender]]="O","Other", TRUE,"Unknown")</f>
        <v>Female</v>
      </c>
    </row>
    <row r="20" spans="1:15" x14ac:dyDescent="0.3">
      <c r="A20" t="s">
        <v>60</v>
      </c>
      <c r="B20" t="s">
        <v>39</v>
      </c>
      <c r="C20">
        <v>8</v>
      </c>
      <c r="D20">
        <v>51.1</v>
      </c>
      <c r="E20" s="1">
        <v>408.8</v>
      </c>
      <c r="F20" s="2">
        <v>45658</v>
      </c>
      <c r="G20" s="2">
        <v>45661</v>
      </c>
      <c r="H20" s="1" t="s">
        <v>27</v>
      </c>
      <c r="I20" s="1" t="s">
        <v>40</v>
      </c>
      <c r="J20" s="1">
        <v>1</v>
      </c>
      <c r="K20" s="1" t="s">
        <v>19</v>
      </c>
      <c r="L20" s="1" t="s">
        <v>59</v>
      </c>
      <c r="M20" s="1">
        <f>orders[[#This Row],[Ship Date]]-orders[[#This Row],[Order Date]]</f>
        <v>3</v>
      </c>
      <c r="N20" s="1">
        <f>WEEKNUM(orders[[#This Row],[Order Date]])</f>
        <v>1</v>
      </c>
      <c r="O20" s="1" t="str" cm="1">
        <f t="array" ref="O20">_xlfn.IFS(orders[[#This Row],[Customer Gender]]="M","Male", orders[[#This Row],[Customer Gender]]="F","Female", orders[[#This Row],[Customer Gender]]="O","Other", TRUE,"Unknown")</f>
        <v>Female</v>
      </c>
    </row>
    <row r="21" spans="1:15" x14ac:dyDescent="0.3">
      <c r="A21" t="s">
        <v>61</v>
      </c>
      <c r="B21" t="s">
        <v>46</v>
      </c>
      <c r="C21">
        <v>1</v>
      </c>
      <c r="D21">
        <v>25.2</v>
      </c>
      <c r="E21" s="1">
        <v>25.2</v>
      </c>
      <c r="F21" s="2">
        <v>45658</v>
      </c>
      <c r="G21" s="2">
        <v>45659</v>
      </c>
      <c r="H21" s="1" t="s">
        <v>27</v>
      </c>
      <c r="I21" s="1" t="s">
        <v>35</v>
      </c>
      <c r="J21" s="1">
        <v>5</v>
      </c>
      <c r="K21" s="1" t="s">
        <v>19</v>
      </c>
      <c r="L21" s="1" t="s">
        <v>62</v>
      </c>
      <c r="M21" s="1">
        <f>orders[[#This Row],[Ship Date]]-orders[[#This Row],[Order Date]]</f>
        <v>1</v>
      </c>
      <c r="N21" s="1">
        <f>WEEKNUM(orders[[#This Row],[Order Date]])</f>
        <v>1</v>
      </c>
      <c r="O21" s="1" t="str" cm="1">
        <f t="array" ref="O21">_xlfn.IFS(orders[[#This Row],[Customer Gender]]="M","Male", orders[[#This Row],[Customer Gender]]="F","Female", orders[[#This Row],[Customer Gender]]="O","Other", TRUE,"Unknown")</f>
        <v>Female</v>
      </c>
    </row>
    <row r="22" spans="1:15" x14ac:dyDescent="0.3">
      <c r="A22" t="s">
        <v>63</v>
      </c>
      <c r="B22" t="s">
        <v>46</v>
      </c>
      <c r="C22">
        <v>5</v>
      </c>
      <c r="D22">
        <v>43.8</v>
      </c>
      <c r="E22" s="1">
        <v>219</v>
      </c>
      <c r="F22" s="2">
        <v>45658</v>
      </c>
      <c r="G22" s="2">
        <v>45661</v>
      </c>
      <c r="H22" s="1" t="s">
        <v>27</v>
      </c>
      <c r="I22" s="1" t="s">
        <v>40</v>
      </c>
      <c r="J22" s="1">
        <v>4</v>
      </c>
      <c r="K22" s="1" t="s">
        <v>19</v>
      </c>
      <c r="L22" s="1" t="s">
        <v>62</v>
      </c>
      <c r="M22" s="1">
        <f>orders[[#This Row],[Ship Date]]-orders[[#This Row],[Order Date]]</f>
        <v>3</v>
      </c>
      <c r="N22" s="1">
        <f>WEEKNUM(orders[[#This Row],[Order Date]])</f>
        <v>1</v>
      </c>
      <c r="O22" s="1" t="str" cm="1">
        <f t="array" ref="O22">_xlfn.IFS(orders[[#This Row],[Customer Gender]]="M","Male", orders[[#This Row],[Customer Gender]]="F","Female", orders[[#This Row],[Customer Gender]]="O","Other", TRUE,"Unknown")</f>
        <v>Female</v>
      </c>
    </row>
    <row r="23" spans="1:15" x14ac:dyDescent="0.3">
      <c r="A23" t="s">
        <v>64</v>
      </c>
      <c r="B23" t="s">
        <v>44</v>
      </c>
      <c r="C23">
        <v>12</v>
      </c>
      <c r="D23">
        <v>46.7</v>
      </c>
      <c r="E23" s="1">
        <v>560.40000000000009</v>
      </c>
      <c r="F23" s="2">
        <v>45658</v>
      </c>
      <c r="G23" s="2">
        <v>45659</v>
      </c>
      <c r="H23" s="1" t="s">
        <v>27</v>
      </c>
      <c r="I23" s="1" t="s">
        <v>35</v>
      </c>
      <c r="J23" s="1">
        <v>3</v>
      </c>
      <c r="K23" s="1" t="s">
        <v>19</v>
      </c>
      <c r="L23" s="1" t="s">
        <v>62</v>
      </c>
      <c r="M23" s="1">
        <f>orders[[#This Row],[Ship Date]]-orders[[#This Row],[Order Date]]</f>
        <v>1</v>
      </c>
      <c r="N23" s="1">
        <f>WEEKNUM(orders[[#This Row],[Order Date]])</f>
        <v>1</v>
      </c>
      <c r="O23" s="1"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s="1">
        <v>1518.1000000000001</v>
      </c>
      <c r="F24" s="2">
        <v>45658</v>
      </c>
      <c r="G24" s="2">
        <v>45659</v>
      </c>
      <c r="H24" s="1" t="s">
        <v>23</v>
      </c>
      <c r="I24" s="1" t="s">
        <v>18</v>
      </c>
      <c r="J24" s="1">
        <v>5</v>
      </c>
      <c r="K24" s="1" t="s">
        <v>19</v>
      </c>
      <c r="L24" s="1" t="s">
        <v>62</v>
      </c>
      <c r="M24" s="1">
        <f>orders[[#This Row],[Ship Date]]-orders[[#This Row],[Order Date]]</f>
        <v>1</v>
      </c>
      <c r="N24" s="1">
        <f>WEEKNUM(orders[[#This Row],[Order Date]])</f>
        <v>1</v>
      </c>
      <c r="O24" s="1" t="str" cm="1">
        <f t="array" ref="O24">_xlfn.IFS(orders[[#This Row],[Customer Gender]]="M","Male", orders[[#This Row],[Customer Gender]]="F","Female", orders[[#This Row],[Customer Gender]]="O","Other", TRUE,"Unknown")</f>
        <v>Male</v>
      </c>
    </row>
    <row r="25" spans="1:15" x14ac:dyDescent="0.3">
      <c r="A25" t="s">
        <v>66</v>
      </c>
      <c r="B25" t="s">
        <v>67</v>
      </c>
      <c r="C25">
        <v>8</v>
      </c>
      <c r="D25">
        <v>26.4</v>
      </c>
      <c r="E25" s="1">
        <v>211.2</v>
      </c>
      <c r="F25" s="2">
        <v>45658</v>
      </c>
      <c r="G25" s="2">
        <v>45659</v>
      </c>
      <c r="H25" s="1" t="s">
        <v>27</v>
      </c>
      <c r="I25" s="1" t="s">
        <v>51</v>
      </c>
      <c r="J25" s="1">
        <v>4</v>
      </c>
      <c r="K25" s="1" t="s">
        <v>19</v>
      </c>
      <c r="L25" s="1" t="s">
        <v>62</v>
      </c>
      <c r="M25" s="1">
        <f>orders[[#This Row],[Ship Date]]-orders[[#This Row],[Order Date]]</f>
        <v>1</v>
      </c>
      <c r="N25" s="1">
        <f>WEEKNUM(orders[[#This Row],[Order Date]])</f>
        <v>1</v>
      </c>
      <c r="O25" s="1" t="str" cm="1">
        <f t="array" ref="O25">_xlfn.IFS(orders[[#This Row],[Customer Gender]]="M","Male", orders[[#This Row],[Customer Gender]]="F","Female", orders[[#This Row],[Customer Gender]]="O","Other", TRUE,"Unknown")</f>
        <v>Female</v>
      </c>
    </row>
    <row r="26" spans="1:15" x14ac:dyDescent="0.3">
      <c r="A26" t="s">
        <v>68</v>
      </c>
      <c r="B26" t="s">
        <v>69</v>
      </c>
      <c r="C26">
        <v>8</v>
      </c>
      <c r="D26">
        <v>88.8</v>
      </c>
      <c r="E26" s="1">
        <v>710.4</v>
      </c>
      <c r="F26" s="2">
        <v>45658</v>
      </c>
      <c r="G26" s="2">
        <v>45659</v>
      </c>
      <c r="H26" s="1" t="s">
        <v>27</v>
      </c>
      <c r="I26" s="1" t="s">
        <v>70</v>
      </c>
      <c r="J26" s="1">
        <v>4</v>
      </c>
      <c r="K26" s="1" t="s">
        <v>19</v>
      </c>
      <c r="L26" s="1" t="s">
        <v>62</v>
      </c>
      <c r="M26" s="1">
        <f>orders[[#This Row],[Ship Date]]-orders[[#This Row],[Order Date]]</f>
        <v>1</v>
      </c>
      <c r="N26" s="1">
        <f>WEEKNUM(orders[[#This Row],[Order Date]])</f>
        <v>1</v>
      </c>
      <c r="O26" s="1" t="str" cm="1">
        <f t="array" ref="O26">_xlfn.IFS(orders[[#This Row],[Customer Gender]]="M","Male", orders[[#This Row],[Customer Gender]]="F","Female", orders[[#This Row],[Customer Gender]]="O","Other", TRUE,"Unknown")</f>
        <v>Female</v>
      </c>
    </row>
    <row r="27" spans="1:15" x14ac:dyDescent="0.3">
      <c r="A27" t="s">
        <v>71</v>
      </c>
      <c r="B27" t="s">
        <v>16</v>
      </c>
      <c r="C27">
        <v>10</v>
      </c>
      <c r="D27">
        <v>17.5</v>
      </c>
      <c r="E27" s="1">
        <v>175</v>
      </c>
      <c r="F27" s="2">
        <v>45658</v>
      </c>
      <c r="G27" s="2">
        <v>45659</v>
      </c>
      <c r="H27" s="1" t="s">
        <v>27</v>
      </c>
      <c r="I27" s="1" t="s">
        <v>40</v>
      </c>
      <c r="J27" s="1">
        <v>4</v>
      </c>
      <c r="K27" s="1" t="s">
        <v>19</v>
      </c>
      <c r="L27" s="1" t="s">
        <v>72</v>
      </c>
      <c r="M27" s="1">
        <f>orders[[#This Row],[Ship Date]]-orders[[#This Row],[Order Date]]</f>
        <v>1</v>
      </c>
      <c r="N27" s="1">
        <f>WEEKNUM(orders[[#This Row],[Order Date]])</f>
        <v>1</v>
      </c>
      <c r="O27" s="1"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s="1">
        <v>348.3</v>
      </c>
      <c r="F28" s="2">
        <v>45658</v>
      </c>
      <c r="G28" s="2">
        <v>45661</v>
      </c>
      <c r="H28" s="1" t="s">
        <v>23</v>
      </c>
      <c r="I28" s="1" t="s">
        <v>35</v>
      </c>
      <c r="J28" s="1">
        <v>4</v>
      </c>
      <c r="K28" s="1" t="s">
        <v>19</v>
      </c>
      <c r="L28" s="1" t="s">
        <v>74</v>
      </c>
      <c r="M28" s="1">
        <f>orders[[#This Row],[Ship Date]]-orders[[#This Row],[Order Date]]</f>
        <v>3</v>
      </c>
      <c r="N28" s="1">
        <f>WEEKNUM(orders[[#This Row],[Order Date]])</f>
        <v>1</v>
      </c>
      <c r="O28" s="1" t="str" cm="1">
        <f t="array" ref="O28">_xlfn.IFS(orders[[#This Row],[Customer Gender]]="M","Male", orders[[#This Row],[Customer Gender]]="F","Female", orders[[#This Row],[Customer Gender]]="O","Other", TRUE,"Unknown")</f>
        <v>Male</v>
      </c>
    </row>
    <row r="29" spans="1:15" x14ac:dyDescent="0.3">
      <c r="A29" t="s">
        <v>75</v>
      </c>
      <c r="B29" t="s">
        <v>76</v>
      </c>
      <c r="C29">
        <v>4</v>
      </c>
      <c r="D29">
        <v>57.2</v>
      </c>
      <c r="E29" s="1">
        <v>228.8</v>
      </c>
      <c r="F29" s="2">
        <v>45658</v>
      </c>
      <c r="G29" s="2">
        <v>45660</v>
      </c>
      <c r="H29" s="1" t="s">
        <v>17</v>
      </c>
      <c r="I29" s="1" t="s">
        <v>35</v>
      </c>
      <c r="J29" s="1">
        <v>5</v>
      </c>
      <c r="K29" s="1" t="s">
        <v>19</v>
      </c>
      <c r="L29" s="1" t="s">
        <v>77</v>
      </c>
      <c r="M29" s="1">
        <f>orders[[#This Row],[Ship Date]]-orders[[#This Row],[Order Date]]</f>
        <v>2</v>
      </c>
      <c r="N29" s="1">
        <f>WEEKNUM(orders[[#This Row],[Order Date]])</f>
        <v>1</v>
      </c>
      <c r="O29" s="1" t="str" cm="1">
        <f t="array" ref="O29">_xlfn.IFS(orders[[#This Row],[Customer Gender]]="M","Male", orders[[#This Row],[Customer Gender]]="F","Female", orders[[#This Row],[Customer Gender]]="O","Other", TRUE,"Unknown")</f>
        <v>Unknown</v>
      </c>
    </row>
    <row r="30" spans="1:15" x14ac:dyDescent="0.3">
      <c r="A30" t="s">
        <v>78</v>
      </c>
      <c r="B30" t="s">
        <v>39</v>
      </c>
      <c r="C30">
        <v>5</v>
      </c>
      <c r="D30">
        <v>50.9</v>
      </c>
      <c r="E30" s="1">
        <v>254.5</v>
      </c>
      <c r="F30" s="2">
        <v>45658</v>
      </c>
      <c r="G30" s="2">
        <v>45664</v>
      </c>
      <c r="H30" s="1" t="s">
        <v>17</v>
      </c>
      <c r="I30" s="1" t="s">
        <v>35</v>
      </c>
      <c r="J30" s="1">
        <v>5</v>
      </c>
      <c r="K30" s="1" t="s">
        <v>19</v>
      </c>
      <c r="L30" s="1" t="s">
        <v>79</v>
      </c>
      <c r="M30" s="1">
        <f>orders[[#This Row],[Ship Date]]-orders[[#This Row],[Order Date]]</f>
        <v>6</v>
      </c>
      <c r="N30" s="1">
        <f>WEEKNUM(orders[[#This Row],[Order Date]])</f>
        <v>1</v>
      </c>
      <c r="O30" s="1" t="str" cm="1">
        <f t="array" ref="O30">_xlfn.IFS(orders[[#This Row],[Customer Gender]]="M","Male", orders[[#This Row],[Customer Gender]]="F","Female", orders[[#This Row],[Customer Gender]]="O","Other", TRUE,"Unknown")</f>
        <v>Unknown</v>
      </c>
    </row>
    <row r="31" spans="1:15" x14ac:dyDescent="0.3">
      <c r="A31" t="s">
        <v>80</v>
      </c>
      <c r="B31" t="s">
        <v>81</v>
      </c>
      <c r="C31">
        <v>7</v>
      </c>
      <c r="D31">
        <v>41</v>
      </c>
      <c r="E31" s="1">
        <v>287</v>
      </c>
      <c r="F31" s="2">
        <v>45658</v>
      </c>
      <c r="G31" s="2">
        <v>45662</v>
      </c>
      <c r="H31" s="1" t="s">
        <v>27</v>
      </c>
      <c r="I31" s="1" t="s">
        <v>35</v>
      </c>
      <c r="J31" s="1">
        <v>4</v>
      </c>
      <c r="K31" s="1" t="s">
        <v>19</v>
      </c>
      <c r="L31" s="1" t="s">
        <v>82</v>
      </c>
      <c r="M31" s="1">
        <f>orders[[#This Row],[Ship Date]]-orders[[#This Row],[Order Date]]</f>
        <v>4</v>
      </c>
      <c r="N31" s="1">
        <f>WEEKNUM(orders[[#This Row],[Order Date]])</f>
        <v>1</v>
      </c>
      <c r="O31" s="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s="1">
        <v>133.70000000000002</v>
      </c>
      <c r="F32" s="2">
        <v>45658</v>
      </c>
      <c r="G32" s="2">
        <v>45662</v>
      </c>
      <c r="H32" s="1" t="s">
        <v>23</v>
      </c>
      <c r="I32" s="1" t="s">
        <v>18</v>
      </c>
      <c r="J32" s="1">
        <v>5</v>
      </c>
      <c r="K32" s="1" t="s">
        <v>19</v>
      </c>
      <c r="L32" s="1" t="s">
        <v>84</v>
      </c>
      <c r="M32" s="1">
        <f>orders[[#This Row],[Ship Date]]-orders[[#This Row],[Order Date]]</f>
        <v>4</v>
      </c>
      <c r="N32" s="1">
        <f>WEEKNUM(orders[[#This Row],[Order Date]])</f>
        <v>1</v>
      </c>
      <c r="O32" s="1" t="str" cm="1">
        <f t="array" ref="O32">_xlfn.IFS(orders[[#This Row],[Customer Gender]]="M","Male", orders[[#This Row],[Customer Gender]]="F","Female", orders[[#This Row],[Customer Gender]]="O","Other", TRUE,"Unknown")</f>
        <v>Male</v>
      </c>
    </row>
    <row r="33" spans="1:15" x14ac:dyDescent="0.3">
      <c r="A33" t="s">
        <v>85</v>
      </c>
      <c r="B33" t="s">
        <v>26</v>
      </c>
      <c r="C33">
        <v>5</v>
      </c>
      <c r="D33">
        <v>166.1</v>
      </c>
      <c r="E33" s="1">
        <v>830.5</v>
      </c>
      <c r="F33" s="2">
        <v>45658</v>
      </c>
      <c r="G33" s="2">
        <v>45661</v>
      </c>
      <c r="H33" s="1" t="s">
        <v>23</v>
      </c>
      <c r="I33" s="1" t="s">
        <v>18</v>
      </c>
      <c r="J33" s="1">
        <v>4</v>
      </c>
      <c r="K33" s="1" t="s">
        <v>19</v>
      </c>
      <c r="L33" s="1" t="s">
        <v>86</v>
      </c>
      <c r="M33" s="1">
        <f>orders[[#This Row],[Ship Date]]-orders[[#This Row],[Order Date]]</f>
        <v>3</v>
      </c>
      <c r="N33" s="1">
        <f>WEEKNUM(orders[[#This Row],[Order Date]])</f>
        <v>1</v>
      </c>
      <c r="O33" s="1" t="str" cm="1">
        <f t="array" ref="O33">_xlfn.IFS(orders[[#This Row],[Customer Gender]]="M","Male", orders[[#This Row],[Customer Gender]]="F","Female", orders[[#This Row],[Customer Gender]]="O","Other", TRUE,"Unknown")</f>
        <v>Male</v>
      </c>
    </row>
    <row r="34" spans="1:15" x14ac:dyDescent="0.3">
      <c r="A34" t="s">
        <v>87</v>
      </c>
      <c r="B34" t="s">
        <v>32</v>
      </c>
      <c r="C34">
        <v>3</v>
      </c>
      <c r="D34">
        <v>29.9</v>
      </c>
      <c r="E34" s="1">
        <v>89.699999999999989</v>
      </c>
      <c r="F34" s="2">
        <v>45658</v>
      </c>
      <c r="G34" s="2">
        <v>45659</v>
      </c>
      <c r="H34" s="1" t="s">
        <v>23</v>
      </c>
      <c r="I34" s="1" t="s">
        <v>51</v>
      </c>
      <c r="J34" s="1">
        <v>4</v>
      </c>
      <c r="K34" s="1" t="s">
        <v>19</v>
      </c>
      <c r="L34" s="1" t="s">
        <v>33</v>
      </c>
      <c r="M34" s="1">
        <f>orders[[#This Row],[Ship Date]]-orders[[#This Row],[Order Date]]</f>
        <v>1</v>
      </c>
      <c r="N34" s="1">
        <f>WEEKNUM(orders[[#This Row],[Order Date]])</f>
        <v>1</v>
      </c>
      <c r="O34" s="1" t="str" cm="1">
        <f t="array" ref="O34">_xlfn.IFS(orders[[#This Row],[Customer Gender]]="M","Male", orders[[#This Row],[Customer Gender]]="F","Female", orders[[#This Row],[Customer Gender]]="O","Other", TRUE,"Unknown")</f>
        <v>Male</v>
      </c>
    </row>
    <row r="35" spans="1:15" x14ac:dyDescent="0.3">
      <c r="A35" t="s">
        <v>88</v>
      </c>
      <c r="B35" t="s">
        <v>54</v>
      </c>
      <c r="C35">
        <v>6</v>
      </c>
      <c r="D35">
        <v>21.7</v>
      </c>
      <c r="E35" s="1">
        <v>130.19999999999999</v>
      </c>
      <c r="F35" s="2">
        <v>45658</v>
      </c>
      <c r="G35" s="2">
        <v>45660</v>
      </c>
      <c r="H35" s="1" t="s">
        <v>89</v>
      </c>
      <c r="I35" s="1" t="s">
        <v>40</v>
      </c>
      <c r="J35" s="1">
        <v>5</v>
      </c>
      <c r="K35" s="1" t="s">
        <v>19</v>
      </c>
      <c r="L35" s="1" t="s">
        <v>33</v>
      </c>
      <c r="M35" s="1">
        <f>orders[[#This Row],[Ship Date]]-orders[[#This Row],[Order Date]]</f>
        <v>2</v>
      </c>
      <c r="N35" s="1">
        <f>WEEKNUM(orders[[#This Row],[Order Date]])</f>
        <v>1</v>
      </c>
      <c r="O35" s="1" t="str" cm="1">
        <f t="array" ref="O35">_xlfn.IFS(orders[[#This Row],[Customer Gender]]="M","Male", orders[[#This Row],[Customer Gender]]="F","Female", orders[[#This Row],[Customer Gender]]="O","Other", TRUE,"Unknown")</f>
        <v>Other</v>
      </c>
    </row>
    <row r="36" spans="1:15" x14ac:dyDescent="0.3">
      <c r="A36" t="s">
        <v>90</v>
      </c>
      <c r="B36" t="s">
        <v>67</v>
      </c>
      <c r="C36">
        <v>2</v>
      </c>
      <c r="D36">
        <v>32</v>
      </c>
      <c r="E36" s="1">
        <v>64</v>
      </c>
      <c r="F36" s="2">
        <v>45658</v>
      </c>
      <c r="G36" s="2">
        <v>45661</v>
      </c>
      <c r="H36" s="1" t="s">
        <v>23</v>
      </c>
      <c r="I36" s="1" t="s">
        <v>18</v>
      </c>
      <c r="J36" s="1">
        <v>5</v>
      </c>
      <c r="K36" s="1" t="s">
        <v>19</v>
      </c>
      <c r="L36" s="1" t="s">
        <v>33</v>
      </c>
      <c r="M36" s="1">
        <f>orders[[#This Row],[Ship Date]]-orders[[#This Row],[Order Date]]</f>
        <v>3</v>
      </c>
      <c r="N36" s="1">
        <f>WEEKNUM(orders[[#This Row],[Order Date]])</f>
        <v>1</v>
      </c>
      <c r="O36" s="1" t="str" cm="1">
        <f t="array" ref="O36">_xlfn.IFS(orders[[#This Row],[Customer Gender]]="M","Male", orders[[#This Row],[Customer Gender]]="F","Female", orders[[#This Row],[Customer Gender]]="O","Other", TRUE,"Unknown")</f>
        <v>Male</v>
      </c>
    </row>
    <row r="37" spans="1:15" x14ac:dyDescent="0.3">
      <c r="A37" t="s">
        <v>91</v>
      </c>
      <c r="B37" t="s">
        <v>44</v>
      </c>
      <c r="C37">
        <v>2</v>
      </c>
      <c r="D37">
        <v>15.8</v>
      </c>
      <c r="E37" s="1">
        <v>31.6</v>
      </c>
      <c r="F37" s="2">
        <v>45658</v>
      </c>
      <c r="G37" s="2">
        <v>45659</v>
      </c>
      <c r="H37" s="1" t="s">
        <v>23</v>
      </c>
      <c r="I37" s="1" t="s">
        <v>70</v>
      </c>
      <c r="J37" s="1">
        <v>5</v>
      </c>
      <c r="K37" s="1" t="s">
        <v>19</v>
      </c>
      <c r="L37" s="1" t="s">
        <v>33</v>
      </c>
      <c r="M37" s="1">
        <f>orders[[#This Row],[Ship Date]]-orders[[#This Row],[Order Date]]</f>
        <v>1</v>
      </c>
      <c r="N37" s="1">
        <f>WEEKNUM(orders[[#This Row],[Order Date]])</f>
        <v>1</v>
      </c>
      <c r="O37" s="1" t="str" cm="1">
        <f t="array" ref="O37">_xlfn.IFS(orders[[#This Row],[Customer Gender]]="M","Male", orders[[#This Row],[Customer Gender]]="F","Female", orders[[#This Row],[Customer Gender]]="O","Other", TRUE,"Unknown")</f>
        <v>Male</v>
      </c>
    </row>
    <row r="38" spans="1:15" x14ac:dyDescent="0.3">
      <c r="A38" t="s">
        <v>92</v>
      </c>
      <c r="B38" t="s">
        <v>26</v>
      </c>
      <c r="C38">
        <v>17</v>
      </c>
      <c r="D38">
        <v>203.1</v>
      </c>
      <c r="E38" s="1">
        <v>3452.7</v>
      </c>
      <c r="F38" s="2">
        <v>45658</v>
      </c>
      <c r="G38" s="2">
        <v>45662</v>
      </c>
      <c r="H38" s="1" t="s">
        <v>23</v>
      </c>
      <c r="I38" s="1" t="s">
        <v>51</v>
      </c>
      <c r="J38" s="1">
        <v>3</v>
      </c>
      <c r="K38" s="1" t="s">
        <v>19</v>
      </c>
      <c r="L38" s="1" t="s">
        <v>33</v>
      </c>
      <c r="M38" s="1">
        <f>orders[[#This Row],[Ship Date]]-orders[[#This Row],[Order Date]]</f>
        <v>4</v>
      </c>
      <c r="N38" s="1">
        <f>WEEKNUM(orders[[#This Row],[Order Date]])</f>
        <v>1</v>
      </c>
      <c r="O38" s="1" t="str" cm="1">
        <f t="array" ref="O38">_xlfn.IFS(orders[[#This Row],[Customer Gender]]="M","Male", orders[[#This Row],[Customer Gender]]="F","Female", orders[[#This Row],[Customer Gender]]="O","Other", TRUE,"Unknown")</f>
        <v>Male</v>
      </c>
    </row>
    <row r="39" spans="1:15" x14ac:dyDescent="0.3">
      <c r="A39" t="s">
        <v>93</v>
      </c>
      <c r="B39" t="s">
        <v>42</v>
      </c>
      <c r="C39">
        <v>13</v>
      </c>
      <c r="D39">
        <v>39</v>
      </c>
      <c r="E39" s="1">
        <v>507</v>
      </c>
      <c r="F39" s="2">
        <v>45658</v>
      </c>
      <c r="G39" s="2">
        <v>45664</v>
      </c>
      <c r="H39" s="1" t="s">
        <v>23</v>
      </c>
      <c r="I39" s="1" t="s">
        <v>18</v>
      </c>
      <c r="J39" s="1">
        <v>5</v>
      </c>
      <c r="K39" s="1" t="s">
        <v>19</v>
      </c>
      <c r="L39" s="1" t="s">
        <v>33</v>
      </c>
      <c r="M39" s="1">
        <f>orders[[#This Row],[Ship Date]]-orders[[#This Row],[Order Date]]</f>
        <v>6</v>
      </c>
      <c r="N39" s="1">
        <f>WEEKNUM(orders[[#This Row],[Order Date]])</f>
        <v>1</v>
      </c>
      <c r="O39" s="1" t="str" cm="1">
        <f t="array" ref="O39">_xlfn.IFS(orders[[#This Row],[Customer Gender]]="M","Male", orders[[#This Row],[Customer Gender]]="F","Female", orders[[#This Row],[Customer Gender]]="O","Other", TRUE,"Unknown")</f>
        <v>Male</v>
      </c>
    </row>
    <row r="40" spans="1:15" x14ac:dyDescent="0.3">
      <c r="A40" t="s">
        <v>94</v>
      </c>
      <c r="B40" t="s">
        <v>54</v>
      </c>
      <c r="C40">
        <v>1</v>
      </c>
      <c r="D40">
        <v>26.5</v>
      </c>
      <c r="E40" s="1">
        <v>26.5</v>
      </c>
      <c r="F40" s="2">
        <v>45659</v>
      </c>
      <c r="G40" s="2">
        <v>45660</v>
      </c>
      <c r="H40" s="1" t="s">
        <v>23</v>
      </c>
      <c r="I40" s="1" t="s">
        <v>40</v>
      </c>
      <c r="J40" s="1">
        <v>4</v>
      </c>
      <c r="K40" s="1" t="s">
        <v>19</v>
      </c>
      <c r="L40" s="1" t="s">
        <v>33</v>
      </c>
      <c r="M40" s="1">
        <f>orders[[#This Row],[Ship Date]]-orders[[#This Row],[Order Date]]</f>
        <v>1</v>
      </c>
      <c r="N40" s="1">
        <f>WEEKNUM(orders[[#This Row],[Order Date]])</f>
        <v>1</v>
      </c>
      <c r="O40" s="1" t="str" cm="1">
        <f t="array" ref="O40">_xlfn.IFS(orders[[#This Row],[Customer Gender]]="M","Male", orders[[#This Row],[Customer Gender]]="F","Female", orders[[#This Row],[Customer Gender]]="O","Other", TRUE,"Unknown")</f>
        <v>Male</v>
      </c>
    </row>
    <row r="41" spans="1:15" x14ac:dyDescent="0.3">
      <c r="A41" t="s">
        <v>95</v>
      </c>
      <c r="B41" t="s">
        <v>37</v>
      </c>
      <c r="C41">
        <v>1</v>
      </c>
      <c r="D41">
        <v>43.1</v>
      </c>
      <c r="E41" s="1">
        <v>43.1</v>
      </c>
      <c r="F41" s="2">
        <v>45659</v>
      </c>
      <c r="G41" s="2">
        <v>45660</v>
      </c>
      <c r="H41" s="1" t="s">
        <v>27</v>
      </c>
      <c r="I41" s="1" t="s">
        <v>40</v>
      </c>
      <c r="J41" s="1">
        <v>3</v>
      </c>
      <c r="K41" s="1" t="s">
        <v>19</v>
      </c>
      <c r="L41" s="1" t="s">
        <v>33</v>
      </c>
      <c r="M41" s="1">
        <f>orders[[#This Row],[Ship Date]]-orders[[#This Row],[Order Date]]</f>
        <v>1</v>
      </c>
      <c r="N41" s="1">
        <f>WEEKNUM(orders[[#This Row],[Order Date]])</f>
        <v>1</v>
      </c>
      <c r="O41" s="1" t="str" cm="1">
        <f t="array" ref="O41">_xlfn.IFS(orders[[#This Row],[Customer Gender]]="M","Male", orders[[#This Row],[Customer Gender]]="F","Female", orders[[#This Row],[Customer Gender]]="O","Other", TRUE,"Unknown")</f>
        <v>Female</v>
      </c>
    </row>
    <row r="42" spans="1:15" x14ac:dyDescent="0.3">
      <c r="A42" t="s">
        <v>96</v>
      </c>
      <c r="B42" t="s">
        <v>22</v>
      </c>
      <c r="C42">
        <v>3</v>
      </c>
      <c r="D42">
        <v>139</v>
      </c>
      <c r="E42" s="1">
        <v>417</v>
      </c>
      <c r="F42" s="2">
        <v>45659</v>
      </c>
      <c r="G42" s="2">
        <v>45660</v>
      </c>
      <c r="H42" s="1" t="s">
        <v>27</v>
      </c>
      <c r="I42" s="1" t="s">
        <v>70</v>
      </c>
      <c r="J42" s="1">
        <v>5</v>
      </c>
      <c r="K42" s="1" t="s">
        <v>19</v>
      </c>
      <c r="L42" s="1" t="s">
        <v>33</v>
      </c>
      <c r="M42" s="1">
        <f>orders[[#This Row],[Ship Date]]-orders[[#This Row],[Order Date]]</f>
        <v>1</v>
      </c>
      <c r="N42" s="1">
        <f>WEEKNUM(orders[[#This Row],[Order Date]])</f>
        <v>1</v>
      </c>
      <c r="O42" s="1" t="str" cm="1">
        <f t="array" ref="O42">_xlfn.IFS(orders[[#This Row],[Customer Gender]]="M","Male", orders[[#This Row],[Customer Gender]]="F","Female", orders[[#This Row],[Customer Gender]]="O","Other", TRUE,"Unknown")</f>
        <v>Female</v>
      </c>
    </row>
    <row r="43" spans="1:15" x14ac:dyDescent="0.3">
      <c r="A43" t="s">
        <v>97</v>
      </c>
      <c r="B43" t="s">
        <v>69</v>
      </c>
      <c r="C43">
        <v>1</v>
      </c>
      <c r="D43">
        <v>80.7</v>
      </c>
      <c r="E43" s="1">
        <v>80.7</v>
      </c>
      <c r="F43" s="2">
        <v>45659</v>
      </c>
      <c r="G43" s="2">
        <v>45660</v>
      </c>
      <c r="H43" s="1" t="s">
        <v>23</v>
      </c>
      <c r="I43" s="1" t="s">
        <v>18</v>
      </c>
      <c r="J43" s="1">
        <v>5</v>
      </c>
      <c r="K43" s="1" t="s">
        <v>19</v>
      </c>
      <c r="L43" s="1" t="s">
        <v>98</v>
      </c>
      <c r="M43" s="1">
        <f>orders[[#This Row],[Ship Date]]-orders[[#This Row],[Order Date]]</f>
        <v>1</v>
      </c>
      <c r="N43" s="1">
        <f>WEEKNUM(orders[[#This Row],[Order Date]])</f>
        <v>1</v>
      </c>
      <c r="O43" s="1" t="str" cm="1">
        <f t="array" ref="O43">_xlfn.IFS(orders[[#This Row],[Customer Gender]]="M","Male", orders[[#This Row],[Customer Gender]]="F","Female", orders[[#This Row],[Customer Gender]]="O","Other", TRUE,"Unknown")</f>
        <v>Male</v>
      </c>
    </row>
    <row r="44" spans="1:15" x14ac:dyDescent="0.3">
      <c r="A44" t="s">
        <v>99</v>
      </c>
      <c r="B44" t="s">
        <v>32</v>
      </c>
      <c r="C44">
        <v>2</v>
      </c>
      <c r="D44">
        <v>54.5</v>
      </c>
      <c r="E44" s="1">
        <v>109</v>
      </c>
      <c r="F44" s="2">
        <v>45659</v>
      </c>
      <c r="G44" s="2">
        <v>45661</v>
      </c>
      <c r="H44" s="1" t="s">
        <v>23</v>
      </c>
      <c r="I44" s="1" t="s">
        <v>35</v>
      </c>
      <c r="J44" s="1">
        <v>3</v>
      </c>
      <c r="K44" s="1" t="s">
        <v>19</v>
      </c>
      <c r="L44" s="1" t="s">
        <v>55</v>
      </c>
      <c r="M44" s="1">
        <f>orders[[#This Row],[Ship Date]]-orders[[#This Row],[Order Date]]</f>
        <v>2</v>
      </c>
      <c r="N44" s="1">
        <f>WEEKNUM(orders[[#This Row],[Order Date]])</f>
        <v>1</v>
      </c>
      <c r="O44" s="1"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s="1">
        <v>205.79999999999998</v>
      </c>
      <c r="F45" s="2">
        <v>45659</v>
      </c>
      <c r="G45" s="2">
        <v>45659</v>
      </c>
      <c r="H45" s="1" t="s">
        <v>27</v>
      </c>
      <c r="I45" s="1" t="s">
        <v>18</v>
      </c>
      <c r="J45" s="1">
        <v>3</v>
      </c>
      <c r="K45" s="1" t="s">
        <v>19</v>
      </c>
      <c r="L45" s="1" t="s">
        <v>62</v>
      </c>
      <c r="M45" s="1">
        <f>orders[[#This Row],[Ship Date]]-orders[[#This Row],[Order Date]]</f>
        <v>0</v>
      </c>
      <c r="N45" s="1">
        <f>WEEKNUM(orders[[#This Row],[Order Date]])</f>
        <v>1</v>
      </c>
      <c r="O45" s="1" t="str" cm="1">
        <f t="array" ref="O45">_xlfn.IFS(orders[[#This Row],[Customer Gender]]="M","Male", orders[[#This Row],[Customer Gender]]="F","Female", orders[[#This Row],[Customer Gender]]="O","Other", TRUE,"Unknown")</f>
        <v>Female</v>
      </c>
    </row>
    <row r="46" spans="1:15" x14ac:dyDescent="0.3">
      <c r="A46" t="s">
        <v>101</v>
      </c>
      <c r="B46" t="s">
        <v>26</v>
      </c>
      <c r="C46">
        <v>4</v>
      </c>
      <c r="D46">
        <v>135.9</v>
      </c>
      <c r="E46" s="1">
        <v>543.6</v>
      </c>
      <c r="F46" s="2">
        <v>45659</v>
      </c>
      <c r="G46" s="2">
        <v>45660</v>
      </c>
      <c r="H46" s="1" t="s">
        <v>27</v>
      </c>
      <c r="I46" s="1" t="s">
        <v>40</v>
      </c>
      <c r="J46" s="1">
        <v>5</v>
      </c>
      <c r="K46" s="1" t="s">
        <v>19</v>
      </c>
      <c r="L46" s="1" t="s">
        <v>62</v>
      </c>
      <c r="M46" s="1">
        <f>orders[[#This Row],[Ship Date]]-orders[[#This Row],[Order Date]]</f>
        <v>1</v>
      </c>
      <c r="N46" s="1">
        <f>WEEKNUM(orders[[#This Row],[Order Date]])</f>
        <v>1</v>
      </c>
      <c r="O46" s="1"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s="1">
        <v>283.60000000000002</v>
      </c>
      <c r="F47" s="2">
        <v>45659</v>
      </c>
      <c r="G47" s="2">
        <v>45660</v>
      </c>
      <c r="H47" s="1" t="s">
        <v>27</v>
      </c>
      <c r="I47" s="1" t="s">
        <v>18</v>
      </c>
      <c r="J47" s="1">
        <v>4</v>
      </c>
      <c r="K47" s="1" t="s">
        <v>19</v>
      </c>
      <c r="L47" s="1" t="s">
        <v>103</v>
      </c>
      <c r="M47" s="1">
        <f>orders[[#This Row],[Ship Date]]-orders[[#This Row],[Order Date]]</f>
        <v>1</v>
      </c>
      <c r="N47" s="1">
        <f>WEEKNUM(orders[[#This Row],[Order Date]])</f>
        <v>1</v>
      </c>
      <c r="O47" s="1" t="str" cm="1">
        <f t="array" ref="O47">_xlfn.IFS(orders[[#This Row],[Customer Gender]]="M","Male", orders[[#This Row],[Customer Gender]]="F","Female", orders[[#This Row],[Customer Gender]]="O","Other", TRUE,"Unknown")</f>
        <v>Female</v>
      </c>
    </row>
    <row r="48" spans="1:15" x14ac:dyDescent="0.3">
      <c r="A48" t="s">
        <v>104</v>
      </c>
      <c r="B48" t="s">
        <v>22</v>
      </c>
      <c r="C48">
        <v>5</v>
      </c>
      <c r="D48">
        <v>63.7</v>
      </c>
      <c r="E48" s="1">
        <v>318.5</v>
      </c>
      <c r="F48" s="2">
        <v>45659</v>
      </c>
      <c r="G48" s="2">
        <v>45660</v>
      </c>
      <c r="H48" s="1" t="s">
        <v>23</v>
      </c>
      <c r="I48" s="1" t="s">
        <v>35</v>
      </c>
      <c r="J48" s="1">
        <v>3</v>
      </c>
      <c r="K48" s="1" t="s">
        <v>19</v>
      </c>
      <c r="L48" s="1" t="s">
        <v>72</v>
      </c>
      <c r="M48" s="1">
        <f>orders[[#This Row],[Ship Date]]-orders[[#This Row],[Order Date]]</f>
        <v>1</v>
      </c>
      <c r="N48" s="1">
        <f>WEEKNUM(orders[[#This Row],[Order Date]])</f>
        <v>1</v>
      </c>
      <c r="O48" s="1" t="str" cm="1">
        <f t="array" ref="O48">_xlfn.IFS(orders[[#This Row],[Customer Gender]]="M","Male", orders[[#This Row],[Customer Gender]]="F","Female", orders[[#This Row],[Customer Gender]]="O","Other", TRUE,"Unknown")</f>
        <v>Male</v>
      </c>
    </row>
    <row r="49" spans="1:15" x14ac:dyDescent="0.3">
      <c r="A49" t="s">
        <v>105</v>
      </c>
      <c r="B49" t="s">
        <v>76</v>
      </c>
      <c r="C49">
        <v>1</v>
      </c>
      <c r="D49">
        <v>29.7</v>
      </c>
      <c r="E49" s="1">
        <v>29.7</v>
      </c>
      <c r="F49" s="2">
        <v>45659</v>
      </c>
      <c r="G49" s="2">
        <v>45661</v>
      </c>
      <c r="H49" s="1" t="s">
        <v>27</v>
      </c>
      <c r="I49" s="1" t="s">
        <v>35</v>
      </c>
      <c r="J49" s="1">
        <v>4</v>
      </c>
      <c r="K49" s="1" t="s">
        <v>19</v>
      </c>
      <c r="L49" s="1" t="s">
        <v>77</v>
      </c>
      <c r="M49" s="1">
        <f>orders[[#This Row],[Ship Date]]-orders[[#This Row],[Order Date]]</f>
        <v>2</v>
      </c>
      <c r="N49" s="1">
        <f>WEEKNUM(orders[[#This Row],[Order Date]])</f>
        <v>1</v>
      </c>
      <c r="O49" s="1" t="str" cm="1">
        <f t="array" ref="O49">_xlfn.IFS(orders[[#This Row],[Customer Gender]]="M","Male", orders[[#This Row],[Customer Gender]]="F","Female", orders[[#This Row],[Customer Gender]]="O","Other", TRUE,"Unknown")</f>
        <v>Female</v>
      </c>
    </row>
    <row r="50" spans="1:15" x14ac:dyDescent="0.3">
      <c r="A50" t="s">
        <v>106</v>
      </c>
      <c r="B50" t="s">
        <v>32</v>
      </c>
      <c r="C50">
        <v>3</v>
      </c>
      <c r="D50">
        <v>26.8</v>
      </c>
      <c r="E50" s="1">
        <v>80.400000000000006</v>
      </c>
      <c r="F50" s="2">
        <v>45659</v>
      </c>
      <c r="G50" s="2">
        <v>45668</v>
      </c>
      <c r="H50" s="1" t="s">
        <v>27</v>
      </c>
      <c r="I50" s="1" t="s">
        <v>35</v>
      </c>
      <c r="J50" s="1">
        <v>5</v>
      </c>
      <c r="K50" s="1" t="s">
        <v>19</v>
      </c>
      <c r="L50" s="1" t="s">
        <v>77</v>
      </c>
      <c r="M50" s="1">
        <f>orders[[#This Row],[Ship Date]]-orders[[#This Row],[Order Date]]</f>
        <v>9</v>
      </c>
      <c r="N50" s="1">
        <f>WEEKNUM(orders[[#This Row],[Order Date]])</f>
        <v>1</v>
      </c>
      <c r="O50" s="1" t="str" cm="1">
        <f t="array" ref="O50">_xlfn.IFS(orders[[#This Row],[Customer Gender]]="M","Male", orders[[#This Row],[Customer Gender]]="F","Female", orders[[#This Row],[Customer Gender]]="O","Other", TRUE,"Unknown")</f>
        <v>Female</v>
      </c>
    </row>
    <row r="51" spans="1:15" x14ac:dyDescent="0.3">
      <c r="A51" t="s">
        <v>107</v>
      </c>
      <c r="B51" t="s">
        <v>81</v>
      </c>
      <c r="C51">
        <v>1</v>
      </c>
      <c r="D51">
        <v>27</v>
      </c>
      <c r="E51" s="1">
        <v>27</v>
      </c>
      <c r="F51" s="2">
        <v>45659</v>
      </c>
      <c r="G51" s="2">
        <v>45661</v>
      </c>
      <c r="H51" s="1" t="s">
        <v>27</v>
      </c>
      <c r="I51" s="1" t="s">
        <v>18</v>
      </c>
      <c r="J51" s="1">
        <v>4</v>
      </c>
      <c r="K51" s="1" t="s">
        <v>19</v>
      </c>
      <c r="L51" s="1" t="s">
        <v>108</v>
      </c>
      <c r="M51" s="1">
        <f>orders[[#This Row],[Ship Date]]-orders[[#This Row],[Order Date]]</f>
        <v>2</v>
      </c>
      <c r="N51" s="1">
        <f>WEEKNUM(orders[[#This Row],[Order Date]])</f>
        <v>1</v>
      </c>
      <c r="O51" s="1" t="str" cm="1">
        <f t="array" ref="O51">_xlfn.IFS(orders[[#This Row],[Customer Gender]]="M","Male", orders[[#This Row],[Customer Gender]]="F","Female", orders[[#This Row],[Customer Gender]]="O","Other", TRUE,"Unknown")</f>
        <v>Female</v>
      </c>
    </row>
    <row r="52" spans="1:15" x14ac:dyDescent="0.3">
      <c r="A52" t="s">
        <v>109</v>
      </c>
      <c r="B52" t="s">
        <v>44</v>
      </c>
      <c r="C52">
        <v>1</v>
      </c>
      <c r="D52">
        <v>41.4</v>
      </c>
      <c r="E52" s="1">
        <v>41.4</v>
      </c>
      <c r="F52" s="2">
        <v>45659</v>
      </c>
      <c r="G52" s="2">
        <v>45660</v>
      </c>
      <c r="H52" s="1" t="s">
        <v>23</v>
      </c>
      <c r="I52" s="1" t="s">
        <v>35</v>
      </c>
      <c r="J52" s="1">
        <v>5</v>
      </c>
      <c r="K52" s="1" t="s">
        <v>19</v>
      </c>
      <c r="L52" s="1" t="s">
        <v>110</v>
      </c>
      <c r="M52" s="1">
        <f>orders[[#This Row],[Ship Date]]-orders[[#This Row],[Order Date]]</f>
        <v>1</v>
      </c>
      <c r="N52" s="1">
        <f>WEEKNUM(orders[[#This Row],[Order Date]])</f>
        <v>1</v>
      </c>
      <c r="O52" s="1" t="str" cm="1">
        <f t="array" ref="O52">_xlfn.IFS(orders[[#This Row],[Customer Gender]]="M","Male", orders[[#This Row],[Customer Gender]]="F","Female", orders[[#This Row],[Customer Gender]]="O","Other", TRUE,"Unknown")</f>
        <v>Male</v>
      </c>
    </row>
    <row r="53" spans="1:15" x14ac:dyDescent="0.3">
      <c r="A53" t="s">
        <v>111</v>
      </c>
      <c r="B53" t="s">
        <v>44</v>
      </c>
      <c r="C53">
        <v>2</v>
      </c>
      <c r="D53">
        <v>24.3</v>
      </c>
      <c r="E53" s="1">
        <v>48.6</v>
      </c>
      <c r="F53" s="2">
        <v>45659</v>
      </c>
      <c r="G53" s="2">
        <v>45662</v>
      </c>
      <c r="H53" s="1" t="s">
        <v>27</v>
      </c>
      <c r="I53" s="1" t="s">
        <v>35</v>
      </c>
      <c r="J53" s="1">
        <v>4</v>
      </c>
      <c r="K53" s="1" t="s">
        <v>19</v>
      </c>
      <c r="L53" s="1" t="s">
        <v>110</v>
      </c>
      <c r="M53" s="1">
        <f>orders[[#This Row],[Ship Date]]-orders[[#This Row],[Order Date]]</f>
        <v>3</v>
      </c>
      <c r="N53" s="1">
        <f>WEEKNUM(orders[[#This Row],[Order Date]])</f>
        <v>1</v>
      </c>
      <c r="O53" s="1" t="str" cm="1">
        <f t="array" ref="O53">_xlfn.IFS(orders[[#This Row],[Customer Gender]]="M","Male", orders[[#This Row],[Customer Gender]]="F","Female", orders[[#This Row],[Customer Gender]]="O","Other", TRUE,"Unknown")</f>
        <v>Female</v>
      </c>
    </row>
    <row r="54" spans="1:15" x14ac:dyDescent="0.3">
      <c r="A54" t="s">
        <v>112</v>
      </c>
      <c r="B54" t="s">
        <v>44</v>
      </c>
      <c r="C54">
        <v>3</v>
      </c>
      <c r="D54">
        <v>41.7</v>
      </c>
      <c r="E54" s="1">
        <v>125.10000000000001</v>
      </c>
      <c r="F54" s="2">
        <v>45659</v>
      </c>
      <c r="G54" s="2">
        <v>45661</v>
      </c>
      <c r="H54" s="1" t="s">
        <v>23</v>
      </c>
      <c r="I54" s="1" t="s">
        <v>18</v>
      </c>
      <c r="J54" s="1">
        <v>5</v>
      </c>
      <c r="K54" s="1" t="s">
        <v>19</v>
      </c>
      <c r="L54" s="1" t="s">
        <v>113</v>
      </c>
      <c r="M54" s="1">
        <f>orders[[#This Row],[Ship Date]]-orders[[#This Row],[Order Date]]</f>
        <v>2</v>
      </c>
      <c r="N54" s="1">
        <f>WEEKNUM(orders[[#This Row],[Order Date]])</f>
        <v>1</v>
      </c>
      <c r="O54" s="1" t="str" cm="1">
        <f t="array" ref="O54">_xlfn.IFS(orders[[#This Row],[Customer Gender]]="M","Male", orders[[#This Row],[Customer Gender]]="F","Female", orders[[#This Row],[Customer Gender]]="O","Other", TRUE,"Unknown")</f>
        <v>Male</v>
      </c>
    </row>
    <row r="55" spans="1:15" x14ac:dyDescent="0.3">
      <c r="A55" t="s">
        <v>114</v>
      </c>
      <c r="B55" t="s">
        <v>16</v>
      </c>
      <c r="C55">
        <v>2</v>
      </c>
      <c r="D55">
        <v>18</v>
      </c>
      <c r="E55" s="1">
        <v>36</v>
      </c>
      <c r="F55" s="2">
        <v>45659</v>
      </c>
      <c r="G55" s="2">
        <v>45660</v>
      </c>
      <c r="H55" s="1" t="s">
        <v>27</v>
      </c>
      <c r="I55" s="1" t="s">
        <v>18</v>
      </c>
      <c r="J55" s="1">
        <v>5</v>
      </c>
      <c r="K55" s="1" t="s">
        <v>19</v>
      </c>
      <c r="L55" s="1" t="s">
        <v>115</v>
      </c>
      <c r="M55" s="1">
        <f>orders[[#This Row],[Ship Date]]-orders[[#This Row],[Order Date]]</f>
        <v>1</v>
      </c>
      <c r="N55" s="1">
        <f>WEEKNUM(orders[[#This Row],[Order Date]])</f>
        <v>1</v>
      </c>
      <c r="O55" s="1" t="str" cm="1">
        <f t="array" ref="O55">_xlfn.IFS(orders[[#This Row],[Customer Gender]]="M","Male", orders[[#This Row],[Customer Gender]]="F","Female", orders[[#This Row],[Customer Gender]]="O","Other", TRUE,"Unknown")</f>
        <v>Female</v>
      </c>
    </row>
    <row r="56" spans="1:15" x14ac:dyDescent="0.3">
      <c r="A56" t="s">
        <v>116</v>
      </c>
      <c r="B56" t="s">
        <v>42</v>
      </c>
      <c r="C56">
        <v>3</v>
      </c>
      <c r="D56">
        <v>91.3</v>
      </c>
      <c r="E56" s="1">
        <v>273.89999999999998</v>
      </c>
      <c r="F56" s="2">
        <v>45659</v>
      </c>
      <c r="G56" s="2">
        <v>45662</v>
      </c>
      <c r="H56" s="1" t="s">
        <v>23</v>
      </c>
      <c r="I56" s="1" t="s">
        <v>40</v>
      </c>
      <c r="J56" s="1">
        <v>5</v>
      </c>
      <c r="K56" s="1" t="s">
        <v>19</v>
      </c>
      <c r="L56" s="1" t="s">
        <v>33</v>
      </c>
      <c r="M56" s="1">
        <f>orders[[#This Row],[Ship Date]]-orders[[#This Row],[Order Date]]</f>
        <v>3</v>
      </c>
      <c r="N56" s="1">
        <f>WEEKNUM(orders[[#This Row],[Order Date]])</f>
        <v>1</v>
      </c>
      <c r="O56" s="1" t="str" cm="1">
        <f t="array" ref="O56">_xlfn.IFS(orders[[#This Row],[Customer Gender]]="M","Male", orders[[#This Row],[Customer Gender]]="F","Female", orders[[#This Row],[Customer Gender]]="O","Other", TRUE,"Unknown")</f>
        <v>Male</v>
      </c>
    </row>
    <row r="57" spans="1:15" x14ac:dyDescent="0.3">
      <c r="A57" t="s">
        <v>117</v>
      </c>
      <c r="B57" t="s">
        <v>44</v>
      </c>
      <c r="C57">
        <v>8</v>
      </c>
      <c r="D57">
        <v>19.3</v>
      </c>
      <c r="E57" s="1">
        <v>154.4</v>
      </c>
      <c r="F57" s="2">
        <v>45659</v>
      </c>
      <c r="G57" s="2">
        <v>45660</v>
      </c>
      <c r="H57" s="1" t="s">
        <v>23</v>
      </c>
      <c r="I57" s="1" t="s">
        <v>18</v>
      </c>
      <c r="J57" s="1">
        <v>4</v>
      </c>
      <c r="K57" s="1" t="s">
        <v>19</v>
      </c>
      <c r="L57" s="1" t="s">
        <v>33</v>
      </c>
      <c r="M57" s="1">
        <f>orders[[#This Row],[Ship Date]]-orders[[#This Row],[Order Date]]</f>
        <v>1</v>
      </c>
      <c r="N57" s="1">
        <f>WEEKNUM(orders[[#This Row],[Order Date]])</f>
        <v>1</v>
      </c>
      <c r="O57" s="1" t="str" cm="1">
        <f t="array" ref="O57">_xlfn.IFS(orders[[#This Row],[Customer Gender]]="M","Male", orders[[#This Row],[Customer Gender]]="F","Female", orders[[#This Row],[Customer Gender]]="O","Other", TRUE,"Unknown")</f>
        <v>Male</v>
      </c>
    </row>
    <row r="58" spans="1:15" x14ac:dyDescent="0.3">
      <c r="A58" t="s">
        <v>118</v>
      </c>
      <c r="B58" t="s">
        <v>69</v>
      </c>
      <c r="C58">
        <v>13</v>
      </c>
      <c r="D58">
        <v>63.2</v>
      </c>
      <c r="E58" s="1">
        <v>821.6</v>
      </c>
      <c r="F58" s="2">
        <v>45659</v>
      </c>
      <c r="G58" s="2">
        <v>45660</v>
      </c>
      <c r="H58" s="1" t="s">
        <v>27</v>
      </c>
      <c r="I58" s="1" t="s">
        <v>18</v>
      </c>
      <c r="J58" s="1">
        <v>4</v>
      </c>
      <c r="K58" s="1" t="s">
        <v>19</v>
      </c>
      <c r="L58" s="1" t="s">
        <v>33</v>
      </c>
      <c r="M58" s="1">
        <f>orders[[#This Row],[Ship Date]]-orders[[#This Row],[Order Date]]</f>
        <v>1</v>
      </c>
      <c r="N58" s="1">
        <f>WEEKNUM(orders[[#This Row],[Order Date]])</f>
        <v>1</v>
      </c>
      <c r="O58" s="1"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s="1">
        <v>299.7</v>
      </c>
      <c r="F59" s="2">
        <v>45660</v>
      </c>
      <c r="G59" s="2">
        <v>45668</v>
      </c>
      <c r="H59" s="1" t="s">
        <v>27</v>
      </c>
      <c r="I59" s="1" t="s">
        <v>18</v>
      </c>
      <c r="J59" s="1">
        <v>5</v>
      </c>
      <c r="K59" s="1" t="s">
        <v>19</v>
      </c>
      <c r="L59" s="1" t="s">
        <v>33</v>
      </c>
      <c r="M59" s="1">
        <f>orders[[#This Row],[Ship Date]]-orders[[#This Row],[Order Date]]</f>
        <v>8</v>
      </c>
      <c r="N59" s="1">
        <f>WEEKNUM(orders[[#This Row],[Order Date]])</f>
        <v>1</v>
      </c>
      <c r="O59" s="1" t="str" cm="1">
        <f t="array" ref="O59">_xlfn.IFS(orders[[#This Row],[Customer Gender]]="M","Male", orders[[#This Row],[Customer Gender]]="F","Female", orders[[#This Row],[Customer Gender]]="O","Other", TRUE,"Unknown")</f>
        <v>Female</v>
      </c>
    </row>
    <row r="60" spans="1:15" x14ac:dyDescent="0.3">
      <c r="A60" t="s">
        <v>120</v>
      </c>
      <c r="B60" t="s">
        <v>42</v>
      </c>
      <c r="C60">
        <v>2</v>
      </c>
      <c r="D60">
        <v>64.2</v>
      </c>
      <c r="E60" s="1">
        <v>128.4</v>
      </c>
      <c r="F60" s="2">
        <v>45660</v>
      </c>
      <c r="G60" s="2">
        <v>45661</v>
      </c>
      <c r="H60" s="1" t="s">
        <v>23</v>
      </c>
      <c r="I60" s="1" t="s">
        <v>18</v>
      </c>
      <c r="J60" s="1">
        <v>5</v>
      </c>
      <c r="K60" s="1" t="s">
        <v>19</v>
      </c>
      <c r="L60" s="1" t="s">
        <v>33</v>
      </c>
      <c r="M60" s="1">
        <f>orders[[#This Row],[Ship Date]]-orders[[#This Row],[Order Date]]</f>
        <v>1</v>
      </c>
      <c r="N60" s="1">
        <f>WEEKNUM(orders[[#This Row],[Order Date]])</f>
        <v>1</v>
      </c>
      <c r="O60" s="1" t="str" cm="1">
        <f t="array" ref="O60">_xlfn.IFS(orders[[#This Row],[Customer Gender]]="M","Male", orders[[#This Row],[Customer Gender]]="F","Female", orders[[#This Row],[Customer Gender]]="O","Other", TRUE,"Unknown")</f>
        <v>Male</v>
      </c>
    </row>
    <row r="61" spans="1:15" x14ac:dyDescent="0.3">
      <c r="A61" t="s">
        <v>121</v>
      </c>
      <c r="B61" t="s">
        <v>46</v>
      </c>
      <c r="C61">
        <v>3</v>
      </c>
      <c r="D61">
        <v>23.1</v>
      </c>
      <c r="E61" s="1">
        <v>69.300000000000011</v>
      </c>
      <c r="F61" s="2">
        <v>45660</v>
      </c>
      <c r="G61" s="2">
        <v>45663</v>
      </c>
      <c r="H61" s="1" t="s">
        <v>27</v>
      </c>
      <c r="I61" s="1" t="s">
        <v>35</v>
      </c>
      <c r="J61" s="1">
        <v>5</v>
      </c>
      <c r="K61" s="1" t="s">
        <v>19</v>
      </c>
      <c r="L61" s="1" t="s">
        <v>33</v>
      </c>
      <c r="M61" s="1">
        <f>orders[[#This Row],[Ship Date]]-orders[[#This Row],[Order Date]]</f>
        <v>3</v>
      </c>
      <c r="N61" s="1">
        <f>WEEKNUM(orders[[#This Row],[Order Date]])</f>
        <v>1</v>
      </c>
      <c r="O61" s="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s="1">
        <v>142.19999999999999</v>
      </c>
      <c r="F62" s="2">
        <v>45660</v>
      </c>
      <c r="G62" s="2">
        <v>45662</v>
      </c>
      <c r="H62" s="1" t="s">
        <v>27</v>
      </c>
      <c r="I62" s="1" t="s">
        <v>51</v>
      </c>
      <c r="J62" s="1">
        <v>3</v>
      </c>
      <c r="K62" s="1" t="s">
        <v>19</v>
      </c>
      <c r="L62" s="1" t="s">
        <v>33</v>
      </c>
      <c r="M62" s="1">
        <f>orders[[#This Row],[Ship Date]]-orders[[#This Row],[Order Date]]</f>
        <v>2</v>
      </c>
      <c r="N62" s="1">
        <f>WEEKNUM(orders[[#This Row],[Order Date]])</f>
        <v>1</v>
      </c>
      <c r="O62" s="1" t="str" cm="1">
        <f t="array" ref="O62">_xlfn.IFS(orders[[#This Row],[Customer Gender]]="M","Male", orders[[#This Row],[Customer Gender]]="F","Female", orders[[#This Row],[Customer Gender]]="O","Other", TRUE,"Unknown")</f>
        <v>Female</v>
      </c>
    </row>
    <row r="63" spans="1:15" x14ac:dyDescent="0.3">
      <c r="A63" t="s">
        <v>124</v>
      </c>
      <c r="B63" t="s">
        <v>16</v>
      </c>
      <c r="C63">
        <v>2</v>
      </c>
      <c r="D63">
        <v>11.5</v>
      </c>
      <c r="E63" s="1">
        <v>23</v>
      </c>
      <c r="F63" s="2">
        <v>45660</v>
      </c>
      <c r="G63" s="2">
        <v>45661</v>
      </c>
      <c r="H63" s="1" t="s">
        <v>27</v>
      </c>
      <c r="I63" s="1" t="s">
        <v>18</v>
      </c>
      <c r="J63" s="1">
        <v>4</v>
      </c>
      <c r="K63" s="1" t="s">
        <v>19</v>
      </c>
      <c r="L63" s="1" t="s">
        <v>33</v>
      </c>
      <c r="M63" s="1">
        <f>orders[[#This Row],[Ship Date]]-orders[[#This Row],[Order Date]]</f>
        <v>1</v>
      </c>
      <c r="N63" s="1">
        <f>WEEKNUM(orders[[#This Row],[Order Date]])</f>
        <v>1</v>
      </c>
      <c r="O63" s="1" t="str" cm="1">
        <f t="array" ref="O63">_xlfn.IFS(orders[[#This Row],[Customer Gender]]="M","Male", orders[[#This Row],[Customer Gender]]="F","Female", orders[[#This Row],[Customer Gender]]="O","Other", TRUE,"Unknown")</f>
        <v>Female</v>
      </c>
    </row>
    <row r="64" spans="1:15" x14ac:dyDescent="0.3">
      <c r="A64" t="s">
        <v>125</v>
      </c>
      <c r="B64" t="s">
        <v>123</v>
      </c>
      <c r="C64">
        <v>19</v>
      </c>
      <c r="D64">
        <v>69.2</v>
      </c>
      <c r="E64" s="1">
        <v>1314.8</v>
      </c>
      <c r="F64" s="2">
        <v>45660</v>
      </c>
      <c r="G64" s="2">
        <v>45665</v>
      </c>
      <c r="H64" s="1" t="s">
        <v>27</v>
      </c>
      <c r="I64" s="1" t="s">
        <v>18</v>
      </c>
      <c r="J64" s="1">
        <v>4</v>
      </c>
      <c r="K64" s="1" t="s">
        <v>19</v>
      </c>
      <c r="L64" s="1" t="s">
        <v>33</v>
      </c>
      <c r="M64" s="1">
        <f>orders[[#This Row],[Ship Date]]-orders[[#This Row],[Order Date]]</f>
        <v>5</v>
      </c>
      <c r="N64" s="1">
        <f>WEEKNUM(orders[[#This Row],[Order Date]])</f>
        <v>1</v>
      </c>
      <c r="O64" s="1" t="str" cm="1">
        <f t="array" ref="O64">_xlfn.IFS(orders[[#This Row],[Customer Gender]]="M","Male", orders[[#This Row],[Customer Gender]]="F","Female", orders[[#This Row],[Customer Gender]]="O","Other", TRUE,"Unknown")</f>
        <v>Female</v>
      </c>
    </row>
    <row r="65" spans="1:15" x14ac:dyDescent="0.3">
      <c r="A65" t="s">
        <v>126</v>
      </c>
      <c r="B65" t="s">
        <v>16</v>
      </c>
      <c r="C65">
        <v>1</v>
      </c>
      <c r="D65">
        <v>26.8</v>
      </c>
      <c r="E65" s="1">
        <v>26.8</v>
      </c>
      <c r="F65" s="2">
        <v>45660</v>
      </c>
      <c r="G65" s="2">
        <v>45661</v>
      </c>
      <c r="H65" s="1" t="s">
        <v>23</v>
      </c>
      <c r="I65" s="1" t="s">
        <v>40</v>
      </c>
      <c r="J65" s="1">
        <v>2</v>
      </c>
      <c r="K65" s="1" t="s">
        <v>19</v>
      </c>
      <c r="L65" s="1" t="s">
        <v>33</v>
      </c>
      <c r="M65" s="1">
        <f>orders[[#This Row],[Ship Date]]-orders[[#This Row],[Order Date]]</f>
        <v>1</v>
      </c>
      <c r="N65" s="1">
        <f>WEEKNUM(orders[[#This Row],[Order Date]])</f>
        <v>1</v>
      </c>
      <c r="O65" s="1" t="str" cm="1">
        <f t="array" ref="O65">_xlfn.IFS(orders[[#This Row],[Customer Gender]]="M","Male", orders[[#This Row],[Customer Gender]]="F","Female", orders[[#This Row],[Customer Gender]]="O","Other", TRUE,"Unknown")</f>
        <v>Male</v>
      </c>
    </row>
    <row r="66" spans="1:15" x14ac:dyDescent="0.3">
      <c r="A66" t="s">
        <v>127</v>
      </c>
      <c r="B66" t="s">
        <v>128</v>
      </c>
      <c r="C66">
        <v>3</v>
      </c>
      <c r="D66">
        <v>31.2</v>
      </c>
      <c r="E66" s="1">
        <v>93.6</v>
      </c>
      <c r="F66" s="2">
        <v>45660</v>
      </c>
      <c r="G66" s="2">
        <v>45663</v>
      </c>
      <c r="H66" s="1" t="s">
        <v>27</v>
      </c>
      <c r="I66" s="1" t="s">
        <v>18</v>
      </c>
      <c r="J66" s="1">
        <v>4</v>
      </c>
      <c r="K66" s="1" t="s">
        <v>19</v>
      </c>
      <c r="L66" s="1" t="s">
        <v>33</v>
      </c>
      <c r="M66" s="1">
        <f>orders[[#This Row],[Ship Date]]-orders[[#This Row],[Order Date]]</f>
        <v>3</v>
      </c>
      <c r="N66" s="1">
        <f>WEEKNUM(orders[[#This Row],[Order Date]])</f>
        <v>1</v>
      </c>
      <c r="O66" s="1" t="str" cm="1">
        <f t="array" ref="O66">_xlfn.IFS(orders[[#This Row],[Customer Gender]]="M","Male", orders[[#This Row],[Customer Gender]]="F","Female", orders[[#This Row],[Customer Gender]]="O","Other", TRUE,"Unknown")</f>
        <v>Female</v>
      </c>
    </row>
    <row r="67" spans="1:15" x14ac:dyDescent="0.3">
      <c r="A67" t="s">
        <v>129</v>
      </c>
      <c r="B67" t="s">
        <v>69</v>
      </c>
      <c r="C67">
        <v>2</v>
      </c>
      <c r="D67">
        <v>113.2</v>
      </c>
      <c r="E67" s="1">
        <v>226.4</v>
      </c>
      <c r="F67" s="2">
        <v>45660</v>
      </c>
      <c r="G67" s="2">
        <v>45661</v>
      </c>
      <c r="H67" s="1" t="s">
        <v>27</v>
      </c>
      <c r="I67" s="1" t="s">
        <v>70</v>
      </c>
      <c r="J67" s="1">
        <v>4</v>
      </c>
      <c r="K67" s="1" t="s">
        <v>19</v>
      </c>
      <c r="L67" s="1" t="s">
        <v>33</v>
      </c>
      <c r="M67" s="1">
        <f>orders[[#This Row],[Ship Date]]-orders[[#This Row],[Order Date]]</f>
        <v>1</v>
      </c>
      <c r="N67" s="1">
        <f>WEEKNUM(orders[[#This Row],[Order Date]])</f>
        <v>1</v>
      </c>
      <c r="O67" s="1" t="str" cm="1">
        <f t="array" ref="O67">_xlfn.IFS(orders[[#This Row],[Customer Gender]]="M","Male", orders[[#This Row],[Customer Gender]]="F","Female", orders[[#This Row],[Customer Gender]]="O","Other", TRUE,"Unknown")</f>
        <v>Female</v>
      </c>
    </row>
    <row r="68" spans="1:15" x14ac:dyDescent="0.3">
      <c r="A68" t="s">
        <v>130</v>
      </c>
      <c r="B68" t="s">
        <v>54</v>
      </c>
      <c r="C68">
        <v>8</v>
      </c>
      <c r="D68">
        <v>21</v>
      </c>
      <c r="E68" s="1">
        <v>168</v>
      </c>
      <c r="F68" s="2">
        <v>45660</v>
      </c>
      <c r="G68" s="2">
        <v>45661</v>
      </c>
      <c r="H68" s="1" t="s">
        <v>23</v>
      </c>
      <c r="I68" s="1" t="s">
        <v>18</v>
      </c>
      <c r="J68" s="1">
        <v>4</v>
      </c>
      <c r="K68" s="1" t="s">
        <v>19</v>
      </c>
      <c r="L68" s="1" t="s">
        <v>55</v>
      </c>
      <c r="M68" s="1">
        <f>orders[[#This Row],[Ship Date]]-orders[[#This Row],[Order Date]]</f>
        <v>1</v>
      </c>
      <c r="N68" s="1">
        <f>WEEKNUM(orders[[#This Row],[Order Date]])</f>
        <v>1</v>
      </c>
      <c r="O68" s="1" t="str" cm="1">
        <f t="array" ref="O68">_xlfn.IFS(orders[[#This Row],[Customer Gender]]="M","Male", orders[[#This Row],[Customer Gender]]="F","Female", orders[[#This Row],[Customer Gender]]="O","Other", TRUE,"Unknown")</f>
        <v>Male</v>
      </c>
    </row>
    <row r="69" spans="1:15" x14ac:dyDescent="0.3">
      <c r="A69" t="s">
        <v>131</v>
      </c>
      <c r="B69" t="s">
        <v>22</v>
      </c>
      <c r="C69">
        <v>2</v>
      </c>
      <c r="D69">
        <v>89.1</v>
      </c>
      <c r="E69" s="1">
        <v>178.2</v>
      </c>
      <c r="F69" s="2">
        <v>45660</v>
      </c>
      <c r="G69" s="2">
        <v>45661</v>
      </c>
      <c r="H69" s="1" t="s">
        <v>27</v>
      </c>
      <c r="I69" s="1" t="s">
        <v>40</v>
      </c>
      <c r="J69" s="1">
        <v>5</v>
      </c>
      <c r="K69" s="1" t="s">
        <v>19</v>
      </c>
      <c r="L69" s="1" t="s">
        <v>55</v>
      </c>
      <c r="M69" s="1">
        <f>orders[[#This Row],[Ship Date]]-orders[[#This Row],[Order Date]]</f>
        <v>1</v>
      </c>
      <c r="N69" s="1">
        <f>WEEKNUM(orders[[#This Row],[Order Date]])</f>
        <v>1</v>
      </c>
      <c r="O69" s="1" t="str" cm="1">
        <f t="array" ref="O69">_xlfn.IFS(orders[[#This Row],[Customer Gender]]="M","Male", orders[[#This Row],[Customer Gender]]="F","Female", orders[[#This Row],[Customer Gender]]="O","Other", TRUE,"Unknown")</f>
        <v>Female</v>
      </c>
    </row>
    <row r="70" spans="1:15" x14ac:dyDescent="0.3">
      <c r="A70" t="s">
        <v>132</v>
      </c>
      <c r="B70" t="s">
        <v>22</v>
      </c>
      <c r="C70">
        <v>1</v>
      </c>
      <c r="D70">
        <v>97.7</v>
      </c>
      <c r="E70" s="1">
        <v>97.7</v>
      </c>
      <c r="F70" s="2">
        <v>45660</v>
      </c>
      <c r="G70" s="2">
        <v>45662</v>
      </c>
      <c r="H70" s="1" t="s">
        <v>27</v>
      </c>
      <c r="I70" s="1" t="s">
        <v>18</v>
      </c>
      <c r="J70" s="1">
        <v>3</v>
      </c>
      <c r="K70" s="1" t="s">
        <v>19</v>
      </c>
      <c r="L70" s="1" t="s">
        <v>55</v>
      </c>
      <c r="M70" s="1">
        <f>orders[[#This Row],[Ship Date]]-orders[[#This Row],[Order Date]]</f>
        <v>2</v>
      </c>
      <c r="N70" s="1">
        <f>WEEKNUM(orders[[#This Row],[Order Date]])</f>
        <v>1</v>
      </c>
      <c r="O70" s="1" t="str" cm="1">
        <f t="array" ref="O70">_xlfn.IFS(orders[[#This Row],[Customer Gender]]="M","Male", orders[[#This Row],[Customer Gender]]="F","Female", orders[[#This Row],[Customer Gender]]="O","Other", TRUE,"Unknown")</f>
        <v>Female</v>
      </c>
    </row>
    <row r="71" spans="1:15" x14ac:dyDescent="0.3">
      <c r="A71" t="s">
        <v>133</v>
      </c>
      <c r="B71" t="s">
        <v>123</v>
      </c>
      <c r="C71">
        <v>4</v>
      </c>
      <c r="D71">
        <v>97.7</v>
      </c>
      <c r="E71" s="1">
        <v>390.8</v>
      </c>
      <c r="F71" s="2">
        <v>45660</v>
      </c>
      <c r="G71" s="2">
        <v>45662</v>
      </c>
      <c r="H71" s="1" t="s">
        <v>23</v>
      </c>
      <c r="I71" s="1" t="s">
        <v>51</v>
      </c>
      <c r="J71" s="1">
        <v>4</v>
      </c>
      <c r="K71" s="1" t="s">
        <v>19</v>
      </c>
      <c r="L71" s="1" t="s">
        <v>55</v>
      </c>
      <c r="M71" s="1">
        <f>orders[[#This Row],[Ship Date]]-orders[[#This Row],[Order Date]]</f>
        <v>2</v>
      </c>
      <c r="N71" s="1">
        <f>WEEKNUM(orders[[#This Row],[Order Date]])</f>
        <v>1</v>
      </c>
      <c r="O71" s="1" t="str" cm="1">
        <f t="array" ref="O71">_xlfn.IFS(orders[[#This Row],[Customer Gender]]="M","Male", orders[[#This Row],[Customer Gender]]="F","Female", orders[[#This Row],[Customer Gender]]="O","Other", TRUE,"Unknown")</f>
        <v>Male</v>
      </c>
    </row>
    <row r="72" spans="1:15" x14ac:dyDescent="0.3">
      <c r="A72" t="s">
        <v>134</v>
      </c>
      <c r="B72" t="s">
        <v>135</v>
      </c>
      <c r="C72">
        <v>3</v>
      </c>
      <c r="D72">
        <v>47.4</v>
      </c>
      <c r="E72" s="1">
        <v>142.19999999999999</v>
      </c>
      <c r="F72" s="2">
        <v>45660</v>
      </c>
      <c r="G72" s="2">
        <v>45663</v>
      </c>
      <c r="H72" s="1" t="s">
        <v>23</v>
      </c>
      <c r="I72" s="1" t="s">
        <v>51</v>
      </c>
      <c r="J72" s="1">
        <v>5</v>
      </c>
      <c r="K72" s="1" t="s">
        <v>19</v>
      </c>
      <c r="L72" s="1" t="s">
        <v>62</v>
      </c>
      <c r="M72" s="1">
        <f>orders[[#This Row],[Ship Date]]-orders[[#This Row],[Order Date]]</f>
        <v>3</v>
      </c>
      <c r="N72" s="1">
        <f>WEEKNUM(orders[[#This Row],[Order Date]])</f>
        <v>1</v>
      </c>
      <c r="O72" s="1" t="str" cm="1">
        <f t="array" ref="O72">_xlfn.IFS(orders[[#This Row],[Customer Gender]]="M","Male", orders[[#This Row],[Customer Gender]]="F","Female", orders[[#This Row],[Customer Gender]]="O","Other", TRUE,"Unknown")</f>
        <v>Male</v>
      </c>
    </row>
    <row r="73" spans="1:15" x14ac:dyDescent="0.3">
      <c r="A73" t="s">
        <v>136</v>
      </c>
      <c r="B73" t="s">
        <v>42</v>
      </c>
      <c r="C73">
        <v>1</v>
      </c>
      <c r="D73">
        <v>89.6</v>
      </c>
      <c r="E73" s="1">
        <v>89.6</v>
      </c>
      <c r="F73" s="2">
        <v>45660</v>
      </c>
      <c r="G73" s="2">
        <v>45663</v>
      </c>
      <c r="H73" s="1" t="s">
        <v>27</v>
      </c>
      <c r="I73" s="1" t="s">
        <v>18</v>
      </c>
      <c r="J73" s="1">
        <v>5</v>
      </c>
      <c r="K73" s="1" t="s">
        <v>19</v>
      </c>
      <c r="L73" s="1" t="s">
        <v>62</v>
      </c>
      <c r="M73" s="1">
        <f>orders[[#This Row],[Ship Date]]-orders[[#This Row],[Order Date]]</f>
        <v>3</v>
      </c>
      <c r="N73" s="1">
        <f>WEEKNUM(orders[[#This Row],[Order Date]])</f>
        <v>1</v>
      </c>
      <c r="O73" s="1" t="str" cm="1">
        <f t="array" ref="O73">_xlfn.IFS(orders[[#This Row],[Customer Gender]]="M","Male", orders[[#This Row],[Customer Gender]]="F","Female", orders[[#This Row],[Customer Gender]]="O","Other", TRUE,"Unknown")</f>
        <v>Female</v>
      </c>
    </row>
    <row r="74" spans="1:15" x14ac:dyDescent="0.3">
      <c r="A74" t="s">
        <v>137</v>
      </c>
      <c r="B74" t="s">
        <v>54</v>
      </c>
      <c r="C74">
        <v>18</v>
      </c>
      <c r="D74">
        <v>28.4</v>
      </c>
      <c r="E74" s="1">
        <v>511.2</v>
      </c>
      <c r="F74" s="2">
        <v>45660</v>
      </c>
      <c r="G74" s="2">
        <v>45663</v>
      </c>
      <c r="H74" s="1" t="s">
        <v>27</v>
      </c>
      <c r="I74" s="1" t="s">
        <v>51</v>
      </c>
      <c r="J74" s="1">
        <v>5</v>
      </c>
      <c r="K74" s="1" t="s">
        <v>19</v>
      </c>
      <c r="L74" s="1" t="s">
        <v>103</v>
      </c>
      <c r="M74" s="1">
        <f>orders[[#This Row],[Ship Date]]-orders[[#This Row],[Order Date]]</f>
        <v>3</v>
      </c>
      <c r="N74" s="1">
        <f>WEEKNUM(orders[[#This Row],[Order Date]])</f>
        <v>1</v>
      </c>
      <c r="O74" s="1"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s="1">
        <v>35.799999999999997</v>
      </c>
      <c r="F75" s="2">
        <v>45660</v>
      </c>
      <c r="G75" s="2">
        <v>45661</v>
      </c>
      <c r="H75" s="1" t="s">
        <v>27</v>
      </c>
      <c r="I75" s="1" t="s">
        <v>18</v>
      </c>
      <c r="J75" s="1">
        <v>5</v>
      </c>
      <c r="K75" s="1" t="s">
        <v>19</v>
      </c>
      <c r="L75" s="1" t="s">
        <v>72</v>
      </c>
      <c r="M75" s="1">
        <f>orders[[#This Row],[Ship Date]]-orders[[#This Row],[Order Date]]</f>
        <v>1</v>
      </c>
      <c r="N75" s="1">
        <f>WEEKNUM(orders[[#This Row],[Order Date]])</f>
        <v>1</v>
      </c>
      <c r="O75" s="1" t="str" cm="1">
        <f t="array" ref="O75">_xlfn.IFS(orders[[#This Row],[Customer Gender]]="M","Male", orders[[#This Row],[Customer Gender]]="F","Female", orders[[#This Row],[Customer Gender]]="O","Other", TRUE,"Unknown")</f>
        <v>Female</v>
      </c>
    </row>
    <row r="76" spans="1:15" x14ac:dyDescent="0.3">
      <c r="A76" t="s">
        <v>139</v>
      </c>
      <c r="B76" t="s">
        <v>46</v>
      </c>
      <c r="C76">
        <v>2</v>
      </c>
      <c r="D76">
        <v>48.4</v>
      </c>
      <c r="E76" s="1">
        <v>96.8</v>
      </c>
      <c r="F76" s="2">
        <v>45660</v>
      </c>
      <c r="G76" s="2">
        <v>45663</v>
      </c>
      <c r="H76" s="1" t="s">
        <v>23</v>
      </c>
      <c r="I76" s="1" t="s">
        <v>35</v>
      </c>
      <c r="J76" s="1">
        <v>4</v>
      </c>
      <c r="K76" s="1" t="s">
        <v>19</v>
      </c>
      <c r="L76" s="1" t="s">
        <v>72</v>
      </c>
      <c r="M76" s="1">
        <f>orders[[#This Row],[Ship Date]]-orders[[#This Row],[Order Date]]</f>
        <v>3</v>
      </c>
      <c r="N76" s="1">
        <f>WEEKNUM(orders[[#This Row],[Order Date]])</f>
        <v>1</v>
      </c>
      <c r="O76" s="1" t="str" cm="1">
        <f t="array" ref="O76">_xlfn.IFS(orders[[#This Row],[Customer Gender]]="M","Male", orders[[#This Row],[Customer Gender]]="F","Female", orders[[#This Row],[Customer Gender]]="O","Other", TRUE,"Unknown")</f>
        <v>Male</v>
      </c>
    </row>
    <row r="77" spans="1:15" x14ac:dyDescent="0.3">
      <c r="A77" t="s">
        <v>140</v>
      </c>
      <c r="B77" t="s">
        <v>69</v>
      </c>
      <c r="C77">
        <v>4</v>
      </c>
      <c r="D77">
        <v>44.4</v>
      </c>
      <c r="E77" s="1">
        <v>177.6</v>
      </c>
      <c r="F77" s="2">
        <v>45660</v>
      </c>
      <c r="G77" s="2">
        <v>45661</v>
      </c>
      <c r="H77" s="1" t="s">
        <v>89</v>
      </c>
      <c r="I77" s="1" t="s">
        <v>35</v>
      </c>
      <c r="J77" s="1">
        <v>3</v>
      </c>
      <c r="K77" s="1" t="s">
        <v>19</v>
      </c>
      <c r="L77" s="1" t="s">
        <v>77</v>
      </c>
      <c r="M77" s="1">
        <f>orders[[#This Row],[Ship Date]]-orders[[#This Row],[Order Date]]</f>
        <v>1</v>
      </c>
      <c r="N77" s="1">
        <f>WEEKNUM(orders[[#This Row],[Order Date]])</f>
        <v>1</v>
      </c>
      <c r="O77" s="1" t="str" cm="1">
        <f t="array" ref="O77">_xlfn.IFS(orders[[#This Row],[Customer Gender]]="M","Male", orders[[#This Row],[Customer Gender]]="F","Female", orders[[#This Row],[Customer Gender]]="O","Other", TRUE,"Unknown")</f>
        <v>Other</v>
      </c>
    </row>
    <row r="78" spans="1:15" x14ac:dyDescent="0.3">
      <c r="A78" t="s">
        <v>141</v>
      </c>
      <c r="B78" t="s">
        <v>26</v>
      </c>
      <c r="C78">
        <v>8</v>
      </c>
      <c r="D78">
        <v>103.7</v>
      </c>
      <c r="E78" s="1">
        <v>829.6</v>
      </c>
      <c r="F78" s="2">
        <v>45660</v>
      </c>
      <c r="G78" s="2">
        <v>45661</v>
      </c>
      <c r="H78" s="1" t="s">
        <v>27</v>
      </c>
      <c r="I78" s="1" t="s">
        <v>18</v>
      </c>
      <c r="J78" s="1">
        <v>3</v>
      </c>
      <c r="K78" s="1" t="s">
        <v>19</v>
      </c>
      <c r="L78" s="1" t="s">
        <v>110</v>
      </c>
      <c r="M78" s="1">
        <f>orders[[#This Row],[Ship Date]]-orders[[#This Row],[Order Date]]</f>
        <v>1</v>
      </c>
      <c r="N78" s="1">
        <f>WEEKNUM(orders[[#This Row],[Order Date]])</f>
        <v>1</v>
      </c>
      <c r="O78" s="1" t="str" cm="1">
        <f t="array" ref="O78">_xlfn.IFS(orders[[#This Row],[Customer Gender]]="M","Male", orders[[#This Row],[Customer Gender]]="F","Female", orders[[#This Row],[Customer Gender]]="O","Other", TRUE,"Unknown")</f>
        <v>Female</v>
      </c>
    </row>
    <row r="79" spans="1:15" x14ac:dyDescent="0.3">
      <c r="A79" t="s">
        <v>142</v>
      </c>
      <c r="B79" t="s">
        <v>37</v>
      </c>
      <c r="C79">
        <v>4</v>
      </c>
      <c r="D79">
        <v>58.6</v>
      </c>
      <c r="E79" s="1">
        <v>234.4</v>
      </c>
      <c r="F79" s="2">
        <v>45660</v>
      </c>
      <c r="G79" s="2">
        <v>45662</v>
      </c>
      <c r="H79" s="1" t="s">
        <v>23</v>
      </c>
      <c r="I79" s="1" t="s">
        <v>51</v>
      </c>
      <c r="J79" s="1">
        <v>4</v>
      </c>
      <c r="K79" s="1" t="s">
        <v>19</v>
      </c>
      <c r="L79" s="1" t="s">
        <v>110</v>
      </c>
      <c r="M79" s="1">
        <f>orders[[#This Row],[Ship Date]]-orders[[#This Row],[Order Date]]</f>
        <v>2</v>
      </c>
      <c r="N79" s="1">
        <f>WEEKNUM(orders[[#This Row],[Order Date]])</f>
        <v>1</v>
      </c>
      <c r="O79" s="1" t="str" cm="1">
        <f t="array" ref="O79">_xlfn.IFS(orders[[#This Row],[Customer Gender]]="M","Male", orders[[#This Row],[Customer Gender]]="F","Female", orders[[#This Row],[Customer Gender]]="O","Other", TRUE,"Unknown")</f>
        <v>Male</v>
      </c>
    </row>
    <row r="80" spans="1:15" x14ac:dyDescent="0.3">
      <c r="A80" t="s">
        <v>143</v>
      </c>
      <c r="B80" t="s">
        <v>46</v>
      </c>
      <c r="C80">
        <v>4</v>
      </c>
      <c r="D80">
        <v>54.8</v>
      </c>
      <c r="E80" s="1">
        <v>219.2</v>
      </c>
      <c r="F80" s="2">
        <v>45660</v>
      </c>
      <c r="G80" s="2">
        <v>45664</v>
      </c>
      <c r="H80" s="1" t="s">
        <v>27</v>
      </c>
      <c r="I80" s="1" t="s">
        <v>40</v>
      </c>
      <c r="J80" s="1">
        <v>3</v>
      </c>
      <c r="K80" s="1" t="s">
        <v>19</v>
      </c>
      <c r="L80" s="1" t="s">
        <v>82</v>
      </c>
      <c r="M80" s="1">
        <f>orders[[#This Row],[Ship Date]]-orders[[#This Row],[Order Date]]</f>
        <v>4</v>
      </c>
      <c r="N80" s="1">
        <f>WEEKNUM(orders[[#This Row],[Order Date]])</f>
        <v>1</v>
      </c>
      <c r="O80" s="1" t="str" cm="1">
        <f t="array" ref="O80">_xlfn.IFS(orders[[#This Row],[Customer Gender]]="M","Male", orders[[#This Row],[Customer Gender]]="F","Female", orders[[#This Row],[Customer Gender]]="O","Other", TRUE,"Unknown")</f>
        <v>Female</v>
      </c>
    </row>
    <row r="81" spans="1:15" x14ac:dyDescent="0.3">
      <c r="A81" t="s">
        <v>144</v>
      </c>
      <c r="B81" t="s">
        <v>69</v>
      </c>
      <c r="C81">
        <v>3</v>
      </c>
      <c r="D81">
        <v>78.8</v>
      </c>
      <c r="E81" s="1">
        <v>236.39999999999998</v>
      </c>
      <c r="F81" s="2">
        <v>45660</v>
      </c>
      <c r="G81" s="2">
        <v>45666</v>
      </c>
      <c r="H81" s="1" t="s">
        <v>27</v>
      </c>
      <c r="I81" s="1" t="s">
        <v>70</v>
      </c>
      <c r="J81" s="1">
        <v>3</v>
      </c>
      <c r="K81" s="1" t="s">
        <v>19</v>
      </c>
      <c r="L81" s="1" t="s">
        <v>115</v>
      </c>
      <c r="M81" s="1">
        <f>orders[[#This Row],[Ship Date]]-orders[[#This Row],[Order Date]]</f>
        <v>6</v>
      </c>
      <c r="N81" s="1">
        <f>WEEKNUM(orders[[#This Row],[Order Date]])</f>
        <v>1</v>
      </c>
      <c r="O81" s="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s="1">
        <v>184</v>
      </c>
      <c r="F82" s="2">
        <v>45660</v>
      </c>
      <c r="G82" s="2">
        <v>45663</v>
      </c>
      <c r="H82" s="1" t="s">
        <v>23</v>
      </c>
      <c r="I82" s="1" t="s">
        <v>70</v>
      </c>
      <c r="J82" s="1">
        <v>3</v>
      </c>
      <c r="K82" s="1" t="s">
        <v>19</v>
      </c>
      <c r="L82" s="1" t="s">
        <v>147</v>
      </c>
      <c r="M82" s="1">
        <f>orders[[#This Row],[Ship Date]]-orders[[#This Row],[Order Date]]</f>
        <v>3</v>
      </c>
      <c r="N82" s="1">
        <f>WEEKNUM(orders[[#This Row],[Order Date]])</f>
        <v>1</v>
      </c>
      <c r="O82" s="1" t="str" cm="1">
        <f t="array" ref="O82">_xlfn.IFS(orders[[#This Row],[Customer Gender]]="M","Male", orders[[#This Row],[Customer Gender]]="F","Female", orders[[#This Row],[Customer Gender]]="O","Other", TRUE,"Unknown")</f>
        <v>Male</v>
      </c>
    </row>
    <row r="83" spans="1:15" x14ac:dyDescent="0.3">
      <c r="A83" t="s">
        <v>148</v>
      </c>
      <c r="B83" t="s">
        <v>39</v>
      </c>
      <c r="C83">
        <v>6</v>
      </c>
      <c r="D83">
        <v>50.6</v>
      </c>
      <c r="E83" s="1">
        <v>303.60000000000002</v>
      </c>
      <c r="F83" s="2">
        <v>45660</v>
      </c>
      <c r="G83" s="2">
        <v>45662</v>
      </c>
      <c r="H83" s="1" t="s">
        <v>27</v>
      </c>
      <c r="I83" s="1" t="s">
        <v>51</v>
      </c>
      <c r="J83" s="1">
        <v>4</v>
      </c>
      <c r="K83" s="1" t="s">
        <v>19</v>
      </c>
      <c r="L83" s="1" t="s">
        <v>33</v>
      </c>
      <c r="M83" s="1">
        <f>orders[[#This Row],[Ship Date]]-orders[[#This Row],[Order Date]]</f>
        <v>2</v>
      </c>
      <c r="N83" s="1">
        <f>WEEKNUM(orders[[#This Row],[Order Date]])</f>
        <v>1</v>
      </c>
      <c r="O83" s="1"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s="1">
        <v>110.39999999999999</v>
      </c>
      <c r="F84" s="2">
        <v>45660</v>
      </c>
      <c r="G84" s="2">
        <v>45660</v>
      </c>
      <c r="H84" s="1" t="s">
        <v>23</v>
      </c>
      <c r="I84" s="1" t="s">
        <v>40</v>
      </c>
      <c r="J84" s="1">
        <v>3</v>
      </c>
      <c r="K84" s="1" t="s">
        <v>19</v>
      </c>
      <c r="L84" s="1" t="s">
        <v>33</v>
      </c>
      <c r="M84" s="1">
        <f>orders[[#This Row],[Ship Date]]-orders[[#This Row],[Order Date]]</f>
        <v>0</v>
      </c>
      <c r="N84" s="1">
        <f>WEEKNUM(orders[[#This Row],[Order Date]])</f>
        <v>1</v>
      </c>
      <c r="O84" s="1" t="str" cm="1">
        <f t="array" ref="O84">_xlfn.IFS(orders[[#This Row],[Customer Gender]]="M","Male", orders[[#This Row],[Customer Gender]]="F","Female", orders[[#This Row],[Customer Gender]]="O","Other", TRUE,"Unknown")</f>
        <v>Male</v>
      </c>
    </row>
    <row r="85" spans="1:15" x14ac:dyDescent="0.3">
      <c r="A85" t="s">
        <v>150</v>
      </c>
      <c r="B85" t="s">
        <v>44</v>
      </c>
      <c r="C85">
        <v>9</v>
      </c>
      <c r="D85">
        <v>41.8</v>
      </c>
      <c r="E85" s="1">
        <v>376.2</v>
      </c>
      <c r="F85" s="2">
        <v>45661</v>
      </c>
      <c r="G85" s="2">
        <v>45667</v>
      </c>
      <c r="H85" s="1" t="s">
        <v>27</v>
      </c>
      <c r="I85" s="1" t="s">
        <v>51</v>
      </c>
      <c r="J85" s="1">
        <v>4</v>
      </c>
      <c r="K85" s="1" t="s">
        <v>19</v>
      </c>
      <c r="L85" s="1" t="s">
        <v>33</v>
      </c>
      <c r="M85" s="1">
        <f>orders[[#This Row],[Ship Date]]-orders[[#This Row],[Order Date]]</f>
        <v>6</v>
      </c>
      <c r="N85" s="1">
        <f>WEEKNUM(orders[[#This Row],[Order Date]])</f>
        <v>1</v>
      </c>
      <c r="O85" s="1" t="str" cm="1">
        <f t="array" ref="O85">_xlfn.IFS(orders[[#This Row],[Customer Gender]]="M","Male", orders[[#This Row],[Customer Gender]]="F","Female", orders[[#This Row],[Customer Gender]]="O","Other", TRUE,"Unknown")</f>
        <v>Female</v>
      </c>
    </row>
    <row r="86" spans="1:15" x14ac:dyDescent="0.3">
      <c r="A86" t="s">
        <v>151</v>
      </c>
      <c r="B86" t="s">
        <v>146</v>
      </c>
      <c r="C86">
        <v>1</v>
      </c>
      <c r="D86">
        <v>77.3</v>
      </c>
      <c r="E86" s="1">
        <v>77.3</v>
      </c>
      <c r="F86" s="2">
        <v>45661</v>
      </c>
      <c r="G86" s="2">
        <v>45662</v>
      </c>
      <c r="H86" s="1" t="s">
        <v>23</v>
      </c>
      <c r="I86" s="1" t="s">
        <v>70</v>
      </c>
      <c r="J86" s="1">
        <v>2</v>
      </c>
      <c r="K86" s="1" t="s">
        <v>19</v>
      </c>
      <c r="L86" s="1" t="s">
        <v>33</v>
      </c>
      <c r="M86" s="1">
        <f>orders[[#This Row],[Ship Date]]-orders[[#This Row],[Order Date]]</f>
        <v>1</v>
      </c>
      <c r="N86" s="1">
        <f>WEEKNUM(orders[[#This Row],[Order Date]])</f>
        <v>1</v>
      </c>
      <c r="O86" s="1" t="str" cm="1">
        <f t="array" ref="O86">_xlfn.IFS(orders[[#This Row],[Customer Gender]]="M","Male", orders[[#This Row],[Customer Gender]]="F","Female", orders[[#This Row],[Customer Gender]]="O","Other", TRUE,"Unknown")</f>
        <v>Male</v>
      </c>
    </row>
    <row r="87" spans="1:15" x14ac:dyDescent="0.3">
      <c r="A87" t="s">
        <v>152</v>
      </c>
      <c r="B87" t="s">
        <v>44</v>
      </c>
      <c r="C87">
        <v>4</v>
      </c>
      <c r="D87">
        <v>19.8</v>
      </c>
      <c r="E87" s="1">
        <v>79.2</v>
      </c>
      <c r="F87" s="2">
        <v>45661</v>
      </c>
      <c r="G87" s="2">
        <v>45667</v>
      </c>
      <c r="H87" s="1" t="s">
        <v>23</v>
      </c>
      <c r="I87" s="1" t="s">
        <v>35</v>
      </c>
      <c r="J87" s="1">
        <v>5</v>
      </c>
      <c r="K87" s="1" t="s">
        <v>19</v>
      </c>
      <c r="L87" s="1" t="s">
        <v>33</v>
      </c>
      <c r="M87" s="1">
        <f>orders[[#This Row],[Ship Date]]-orders[[#This Row],[Order Date]]</f>
        <v>6</v>
      </c>
      <c r="N87" s="1">
        <f>WEEKNUM(orders[[#This Row],[Order Date]])</f>
        <v>1</v>
      </c>
      <c r="O87" s="1" t="str" cm="1">
        <f t="array" ref="O87">_xlfn.IFS(orders[[#This Row],[Customer Gender]]="M","Male", orders[[#This Row],[Customer Gender]]="F","Female", orders[[#This Row],[Customer Gender]]="O","Other", TRUE,"Unknown")</f>
        <v>Male</v>
      </c>
    </row>
    <row r="88" spans="1:15" x14ac:dyDescent="0.3">
      <c r="A88" t="s">
        <v>153</v>
      </c>
      <c r="B88" t="s">
        <v>76</v>
      </c>
      <c r="C88">
        <v>4</v>
      </c>
      <c r="D88">
        <v>15.5</v>
      </c>
      <c r="E88" s="1">
        <v>62</v>
      </c>
      <c r="F88" s="2">
        <v>45661</v>
      </c>
      <c r="G88" s="2">
        <v>45662</v>
      </c>
      <c r="H88" s="1" t="s">
        <v>27</v>
      </c>
      <c r="I88" s="1" t="s">
        <v>35</v>
      </c>
      <c r="J88" s="1">
        <v>5</v>
      </c>
      <c r="K88" s="1" t="s">
        <v>19</v>
      </c>
      <c r="L88" s="1" t="s">
        <v>33</v>
      </c>
      <c r="M88" s="1">
        <f>orders[[#This Row],[Ship Date]]-orders[[#This Row],[Order Date]]</f>
        <v>1</v>
      </c>
      <c r="N88" s="1">
        <f>WEEKNUM(orders[[#This Row],[Order Date]])</f>
        <v>1</v>
      </c>
      <c r="O88" s="1" t="str" cm="1">
        <f t="array" ref="O88">_xlfn.IFS(orders[[#This Row],[Customer Gender]]="M","Male", orders[[#This Row],[Customer Gender]]="F","Female", orders[[#This Row],[Customer Gender]]="O","Other", TRUE,"Unknown")</f>
        <v>Female</v>
      </c>
    </row>
    <row r="89" spans="1:15" x14ac:dyDescent="0.3">
      <c r="A89" t="s">
        <v>154</v>
      </c>
      <c r="B89" t="s">
        <v>69</v>
      </c>
      <c r="C89">
        <v>1</v>
      </c>
      <c r="D89">
        <v>46.8</v>
      </c>
      <c r="E89" s="1">
        <v>46.8</v>
      </c>
      <c r="F89" s="2">
        <v>45661</v>
      </c>
      <c r="G89" s="2">
        <v>45665</v>
      </c>
      <c r="H89" s="1" t="s">
        <v>23</v>
      </c>
      <c r="I89" s="1" t="s">
        <v>18</v>
      </c>
      <c r="J89" s="1">
        <v>5</v>
      </c>
      <c r="K89" s="1" t="s">
        <v>19</v>
      </c>
      <c r="L89" s="1" t="s">
        <v>33</v>
      </c>
      <c r="M89" s="1">
        <f>orders[[#This Row],[Ship Date]]-orders[[#This Row],[Order Date]]</f>
        <v>4</v>
      </c>
      <c r="N89" s="1">
        <f>WEEKNUM(orders[[#This Row],[Order Date]])</f>
        <v>1</v>
      </c>
      <c r="O89" s="1" t="str" cm="1">
        <f t="array" ref="O89">_xlfn.IFS(orders[[#This Row],[Customer Gender]]="M","Male", orders[[#This Row],[Customer Gender]]="F","Female", orders[[#This Row],[Customer Gender]]="O","Other", TRUE,"Unknown")</f>
        <v>Male</v>
      </c>
    </row>
    <row r="90" spans="1:15" x14ac:dyDescent="0.3">
      <c r="A90" t="s">
        <v>155</v>
      </c>
      <c r="B90" t="s">
        <v>46</v>
      </c>
      <c r="C90">
        <v>9</v>
      </c>
      <c r="D90">
        <v>28.6</v>
      </c>
      <c r="E90" s="1">
        <v>257.40000000000003</v>
      </c>
      <c r="F90" s="2">
        <v>45661</v>
      </c>
      <c r="G90" s="2">
        <v>45665</v>
      </c>
      <c r="H90" s="1" t="s">
        <v>23</v>
      </c>
      <c r="I90" s="1" t="s">
        <v>18</v>
      </c>
      <c r="J90" s="1">
        <v>5</v>
      </c>
      <c r="K90" s="1" t="s">
        <v>19</v>
      </c>
      <c r="L90" s="1" t="s">
        <v>33</v>
      </c>
      <c r="M90" s="1">
        <f>orders[[#This Row],[Ship Date]]-orders[[#This Row],[Order Date]]</f>
        <v>4</v>
      </c>
      <c r="N90" s="1">
        <f>WEEKNUM(orders[[#This Row],[Order Date]])</f>
        <v>1</v>
      </c>
      <c r="O90" s="1" t="str" cm="1">
        <f t="array" ref="O90">_xlfn.IFS(orders[[#This Row],[Customer Gender]]="M","Male", orders[[#This Row],[Customer Gender]]="F","Female", orders[[#This Row],[Customer Gender]]="O","Other", TRUE,"Unknown")</f>
        <v>Male</v>
      </c>
    </row>
    <row r="91" spans="1:15" x14ac:dyDescent="0.3">
      <c r="A91" t="s">
        <v>156</v>
      </c>
      <c r="B91" t="s">
        <v>26</v>
      </c>
      <c r="C91">
        <v>1</v>
      </c>
      <c r="D91">
        <v>97.7</v>
      </c>
      <c r="E91" s="1">
        <v>97.7</v>
      </c>
      <c r="F91" s="2">
        <v>45661</v>
      </c>
      <c r="G91" s="2">
        <v>45664</v>
      </c>
      <c r="H91" s="1" t="s">
        <v>27</v>
      </c>
      <c r="I91" s="1" t="s">
        <v>35</v>
      </c>
      <c r="J91" s="1">
        <v>4</v>
      </c>
      <c r="K91" s="1" t="s">
        <v>19</v>
      </c>
      <c r="L91" s="1" t="s">
        <v>33</v>
      </c>
      <c r="M91" s="1">
        <f>orders[[#This Row],[Ship Date]]-orders[[#This Row],[Order Date]]</f>
        <v>3</v>
      </c>
      <c r="N91" s="1">
        <f>WEEKNUM(orders[[#This Row],[Order Date]])</f>
        <v>1</v>
      </c>
      <c r="O91" s="1" t="str" cm="1">
        <f t="array" ref="O91">_xlfn.IFS(orders[[#This Row],[Customer Gender]]="M","Male", orders[[#This Row],[Customer Gender]]="F","Female", orders[[#This Row],[Customer Gender]]="O","Other", TRUE,"Unknown")</f>
        <v>Female</v>
      </c>
    </row>
    <row r="92" spans="1:15" x14ac:dyDescent="0.3">
      <c r="A92" t="s">
        <v>157</v>
      </c>
      <c r="B92" t="s">
        <v>46</v>
      </c>
      <c r="C92">
        <v>5</v>
      </c>
      <c r="D92">
        <v>54.7</v>
      </c>
      <c r="E92" s="1">
        <v>273.5</v>
      </c>
      <c r="F92" s="2">
        <v>45661</v>
      </c>
      <c r="G92" s="2">
        <v>45664</v>
      </c>
      <c r="H92" s="1" t="s">
        <v>17</v>
      </c>
      <c r="I92" s="1" t="s">
        <v>18</v>
      </c>
      <c r="J92" s="1">
        <v>5</v>
      </c>
      <c r="K92" s="1" t="s">
        <v>19</v>
      </c>
      <c r="L92" s="1" t="s">
        <v>158</v>
      </c>
      <c r="M92" s="1">
        <f>orders[[#This Row],[Ship Date]]-orders[[#This Row],[Order Date]]</f>
        <v>3</v>
      </c>
      <c r="N92" s="1">
        <f>WEEKNUM(orders[[#This Row],[Order Date]])</f>
        <v>1</v>
      </c>
      <c r="O92" s="1" t="str" cm="1">
        <f t="array" ref="O92">_xlfn.IFS(orders[[#This Row],[Customer Gender]]="M","Male", orders[[#This Row],[Customer Gender]]="F","Female", orders[[#This Row],[Customer Gender]]="O","Other", TRUE,"Unknown")</f>
        <v>Unknown</v>
      </c>
    </row>
    <row r="93" spans="1:15" x14ac:dyDescent="0.3">
      <c r="A93" t="s">
        <v>159</v>
      </c>
      <c r="B93" t="s">
        <v>26</v>
      </c>
      <c r="C93">
        <v>6</v>
      </c>
      <c r="D93">
        <v>130.5</v>
      </c>
      <c r="E93" s="1">
        <v>783</v>
      </c>
      <c r="F93" s="2">
        <v>45661</v>
      </c>
      <c r="G93" s="2">
        <v>45663</v>
      </c>
      <c r="H93" s="1" t="s">
        <v>27</v>
      </c>
      <c r="I93" s="1" t="s">
        <v>18</v>
      </c>
      <c r="J93" s="1">
        <v>3</v>
      </c>
      <c r="K93" s="1" t="s">
        <v>19</v>
      </c>
      <c r="L93" s="1" t="s">
        <v>158</v>
      </c>
      <c r="M93" s="1">
        <f>orders[[#This Row],[Ship Date]]-orders[[#This Row],[Order Date]]</f>
        <v>2</v>
      </c>
      <c r="N93" s="1">
        <f>WEEKNUM(orders[[#This Row],[Order Date]])</f>
        <v>1</v>
      </c>
      <c r="O93" s="1" t="str" cm="1">
        <f t="array" ref="O93">_xlfn.IFS(orders[[#This Row],[Customer Gender]]="M","Male", orders[[#This Row],[Customer Gender]]="F","Female", orders[[#This Row],[Customer Gender]]="O","Other", TRUE,"Unknown")</f>
        <v>Female</v>
      </c>
    </row>
    <row r="94" spans="1:15" x14ac:dyDescent="0.3">
      <c r="A94" t="s">
        <v>160</v>
      </c>
      <c r="B94" t="s">
        <v>67</v>
      </c>
      <c r="C94">
        <v>2</v>
      </c>
      <c r="D94">
        <v>50.4</v>
      </c>
      <c r="E94" s="1">
        <v>100.8</v>
      </c>
      <c r="F94" s="2">
        <v>45661</v>
      </c>
      <c r="G94" s="2">
        <v>45663</v>
      </c>
      <c r="H94" s="1" t="s">
        <v>23</v>
      </c>
      <c r="I94" s="1" t="s">
        <v>40</v>
      </c>
      <c r="J94" s="1">
        <v>5</v>
      </c>
      <c r="K94" s="1" t="s">
        <v>19</v>
      </c>
      <c r="L94" s="1" t="s">
        <v>55</v>
      </c>
      <c r="M94" s="1">
        <f>orders[[#This Row],[Ship Date]]-orders[[#This Row],[Order Date]]</f>
        <v>2</v>
      </c>
      <c r="N94" s="1">
        <f>WEEKNUM(orders[[#This Row],[Order Date]])</f>
        <v>1</v>
      </c>
      <c r="O94" s="1" t="str" cm="1">
        <f t="array" ref="O94">_xlfn.IFS(orders[[#This Row],[Customer Gender]]="M","Male", orders[[#This Row],[Customer Gender]]="F","Female", orders[[#This Row],[Customer Gender]]="O","Other", TRUE,"Unknown")</f>
        <v>Male</v>
      </c>
    </row>
    <row r="95" spans="1:15" x14ac:dyDescent="0.3">
      <c r="A95" t="s">
        <v>161</v>
      </c>
      <c r="B95" t="s">
        <v>39</v>
      </c>
      <c r="C95">
        <v>13</v>
      </c>
      <c r="D95">
        <v>61.5</v>
      </c>
      <c r="E95" s="1">
        <v>799.5</v>
      </c>
      <c r="F95" s="2">
        <v>45661</v>
      </c>
      <c r="G95" s="2">
        <v>45662</v>
      </c>
      <c r="H95" s="1" t="s">
        <v>17</v>
      </c>
      <c r="I95" s="1" t="s">
        <v>51</v>
      </c>
      <c r="J95" s="1">
        <v>3</v>
      </c>
      <c r="K95" s="1" t="s">
        <v>19</v>
      </c>
      <c r="L95" s="1" t="s">
        <v>77</v>
      </c>
      <c r="M95" s="1">
        <f>orders[[#This Row],[Ship Date]]-orders[[#This Row],[Order Date]]</f>
        <v>1</v>
      </c>
      <c r="N95" s="1">
        <f>WEEKNUM(orders[[#This Row],[Order Date]])</f>
        <v>1</v>
      </c>
      <c r="O95" s="1" t="str" cm="1">
        <f t="array" ref="O95">_xlfn.IFS(orders[[#This Row],[Customer Gender]]="M","Male", orders[[#This Row],[Customer Gender]]="F","Female", orders[[#This Row],[Customer Gender]]="O","Other", TRUE,"Unknown")</f>
        <v>Unknown</v>
      </c>
    </row>
    <row r="96" spans="1:15" x14ac:dyDescent="0.3">
      <c r="A96" t="s">
        <v>162</v>
      </c>
      <c r="B96" t="s">
        <v>46</v>
      </c>
      <c r="C96">
        <v>4</v>
      </c>
      <c r="D96">
        <v>30.1</v>
      </c>
      <c r="E96" s="1">
        <v>120.4</v>
      </c>
      <c r="F96" s="2">
        <v>45661</v>
      </c>
      <c r="G96" s="2">
        <v>45662</v>
      </c>
      <c r="H96" s="1" t="s">
        <v>27</v>
      </c>
      <c r="I96" s="1" t="s">
        <v>18</v>
      </c>
      <c r="J96" s="1">
        <v>5</v>
      </c>
      <c r="K96" s="1" t="s">
        <v>19</v>
      </c>
      <c r="L96" s="1" t="s">
        <v>115</v>
      </c>
      <c r="M96" s="1">
        <f>orders[[#This Row],[Ship Date]]-orders[[#This Row],[Order Date]]</f>
        <v>1</v>
      </c>
      <c r="N96" s="1">
        <f>WEEKNUM(orders[[#This Row],[Order Date]])</f>
        <v>1</v>
      </c>
      <c r="O96" s="1" t="str" cm="1">
        <f t="array" ref="O96">_xlfn.IFS(orders[[#This Row],[Customer Gender]]="M","Male", orders[[#This Row],[Customer Gender]]="F","Female", orders[[#This Row],[Customer Gender]]="O","Other", TRUE,"Unknown")</f>
        <v>Female</v>
      </c>
    </row>
    <row r="97" spans="1:15" x14ac:dyDescent="0.3">
      <c r="A97" t="s">
        <v>163</v>
      </c>
      <c r="B97" t="s">
        <v>26</v>
      </c>
      <c r="C97">
        <v>5</v>
      </c>
      <c r="D97">
        <v>74.8</v>
      </c>
      <c r="E97" s="1">
        <v>374</v>
      </c>
      <c r="F97" s="2">
        <v>45661</v>
      </c>
      <c r="G97" s="2">
        <v>45662</v>
      </c>
      <c r="H97" s="1" t="s">
        <v>27</v>
      </c>
      <c r="I97" s="1" t="s">
        <v>35</v>
      </c>
      <c r="J97" s="1">
        <v>4</v>
      </c>
      <c r="K97" s="1" t="s">
        <v>19</v>
      </c>
      <c r="L97" s="1" t="s">
        <v>24</v>
      </c>
      <c r="M97" s="1">
        <f>orders[[#This Row],[Ship Date]]-orders[[#This Row],[Order Date]]</f>
        <v>1</v>
      </c>
      <c r="N97" s="1">
        <f>WEEKNUM(orders[[#This Row],[Order Date]])</f>
        <v>1</v>
      </c>
      <c r="O97" s="1"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s="1">
        <v>194.70000000000002</v>
      </c>
      <c r="F98" s="2">
        <v>45661</v>
      </c>
      <c r="G98" s="2">
        <v>45668</v>
      </c>
      <c r="H98" s="1" t="s">
        <v>23</v>
      </c>
      <c r="I98" s="1" t="s">
        <v>18</v>
      </c>
      <c r="J98" s="1">
        <v>4</v>
      </c>
      <c r="K98" s="1" t="s">
        <v>19</v>
      </c>
      <c r="L98" s="1" t="s">
        <v>28</v>
      </c>
      <c r="M98" s="1">
        <f>orders[[#This Row],[Ship Date]]-orders[[#This Row],[Order Date]]</f>
        <v>7</v>
      </c>
      <c r="N98" s="1">
        <f>WEEKNUM(orders[[#This Row],[Order Date]])</f>
        <v>1</v>
      </c>
      <c r="O98" s="1" t="str" cm="1">
        <f t="array" ref="O98">_xlfn.IFS(orders[[#This Row],[Customer Gender]]="M","Male", orders[[#This Row],[Customer Gender]]="F","Female", orders[[#This Row],[Customer Gender]]="O","Other", TRUE,"Unknown")</f>
        <v>Male</v>
      </c>
    </row>
    <row r="99" spans="1:15" x14ac:dyDescent="0.3">
      <c r="A99" t="s">
        <v>165</v>
      </c>
      <c r="B99" t="s">
        <v>46</v>
      </c>
      <c r="C99">
        <v>2</v>
      </c>
      <c r="D99">
        <v>50.5</v>
      </c>
      <c r="E99" s="1">
        <v>101</v>
      </c>
      <c r="F99" s="2">
        <v>45661</v>
      </c>
      <c r="G99" s="2">
        <v>45663</v>
      </c>
      <c r="H99" s="1" t="s">
        <v>23</v>
      </c>
      <c r="I99" s="1" t="s">
        <v>35</v>
      </c>
      <c r="J99" s="1">
        <v>4</v>
      </c>
      <c r="K99" s="1" t="s">
        <v>19</v>
      </c>
      <c r="L99" s="1" t="s">
        <v>147</v>
      </c>
      <c r="M99" s="1">
        <f>orders[[#This Row],[Ship Date]]-orders[[#This Row],[Order Date]]</f>
        <v>2</v>
      </c>
      <c r="N99" s="1">
        <f>WEEKNUM(orders[[#This Row],[Order Date]])</f>
        <v>1</v>
      </c>
      <c r="O99" s="1" t="str" cm="1">
        <f t="array" ref="O99">_xlfn.IFS(orders[[#This Row],[Customer Gender]]="M","Male", orders[[#This Row],[Customer Gender]]="F","Female", orders[[#This Row],[Customer Gender]]="O","Other", TRUE,"Unknown")</f>
        <v>Male</v>
      </c>
    </row>
    <row r="100" spans="1:15" x14ac:dyDescent="0.3">
      <c r="A100" t="s">
        <v>166</v>
      </c>
      <c r="B100" t="s">
        <v>67</v>
      </c>
      <c r="C100">
        <v>7</v>
      </c>
      <c r="D100">
        <v>63</v>
      </c>
      <c r="E100" s="1">
        <v>441</v>
      </c>
      <c r="F100" s="2">
        <v>45661</v>
      </c>
      <c r="G100" s="2">
        <v>45664</v>
      </c>
      <c r="H100" s="1" t="s">
        <v>23</v>
      </c>
      <c r="I100" s="1" t="s">
        <v>51</v>
      </c>
      <c r="J100" s="1">
        <v>5</v>
      </c>
      <c r="K100" s="1" t="s">
        <v>19</v>
      </c>
      <c r="L100" s="1" t="s">
        <v>33</v>
      </c>
      <c r="M100" s="1">
        <f>orders[[#This Row],[Ship Date]]-orders[[#This Row],[Order Date]]</f>
        <v>3</v>
      </c>
      <c r="N100" s="1">
        <f>WEEKNUM(orders[[#This Row],[Order Date]])</f>
        <v>1</v>
      </c>
      <c r="O100" s="1" t="str" cm="1">
        <f t="array" ref="O100">_xlfn.IFS(orders[[#This Row],[Customer Gender]]="M","Male", orders[[#This Row],[Customer Gender]]="F","Female", orders[[#This Row],[Customer Gender]]="O","Other", TRUE,"Unknown")</f>
        <v>Male</v>
      </c>
    </row>
    <row r="101" spans="1:15" x14ac:dyDescent="0.3">
      <c r="A101" t="s">
        <v>167</v>
      </c>
      <c r="B101" t="s">
        <v>26</v>
      </c>
      <c r="C101">
        <v>3</v>
      </c>
      <c r="D101">
        <v>93.6</v>
      </c>
      <c r="E101" s="1">
        <v>280.79999999999995</v>
      </c>
      <c r="F101" s="2">
        <v>45661</v>
      </c>
      <c r="G101" s="2">
        <v>45674</v>
      </c>
      <c r="H101" s="1" t="s">
        <v>27</v>
      </c>
      <c r="I101" s="1" t="s">
        <v>18</v>
      </c>
      <c r="J101" s="1">
        <v>5</v>
      </c>
      <c r="K101" s="1" t="s">
        <v>19</v>
      </c>
      <c r="L101" s="1" t="s">
        <v>33</v>
      </c>
      <c r="M101" s="1">
        <f>orders[[#This Row],[Ship Date]]-orders[[#This Row],[Order Date]]</f>
        <v>13</v>
      </c>
      <c r="N101" s="1">
        <f>WEEKNUM(orders[[#This Row],[Order Date]])</f>
        <v>1</v>
      </c>
      <c r="O101" s="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s="1">
        <v>1242</v>
      </c>
      <c r="F102" s="2">
        <v>45661</v>
      </c>
      <c r="G102" s="2">
        <v>45665</v>
      </c>
      <c r="H102" s="1" t="s">
        <v>23</v>
      </c>
      <c r="I102" s="1" t="s">
        <v>40</v>
      </c>
      <c r="J102" s="1">
        <v>5</v>
      </c>
      <c r="K102" s="1" t="s">
        <v>19</v>
      </c>
      <c r="L102" s="1" t="s">
        <v>33</v>
      </c>
      <c r="M102" s="1">
        <f>orders[[#This Row],[Ship Date]]-orders[[#This Row],[Order Date]]</f>
        <v>4</v>
      </c>
      <c r="N102" s="1">
        <f>WEEKNUM(orders[[#This Row],[Order Date]])</f>
        <v>1</v>
      </c>
      <c r="O102" s="1" t="str" cm="1">
        <f t="array" ref="O102">_xlfn.IFS(orders[[#This Row],[Customer Gender]]="M","Male", orders[[#This Row],[Customer Gender]]="F","Female", orders[[#This Row],[Customer Gender]]="O","Other", TRUE,"Unknown")</f>
        <v>Male</v>
      </c>
    </row>
    <row r="103" spans="1:15" x14ac:dyDescent="0.3">
      <c r="A103" t="s">
        <v>169</v>
      </c>
      <c r="B103" t="s">
        <v>26</v>
      </c>
      <c r="C103">
        <v>2</v>
      </c>
      <c r="D103">
        <v>160</v>
      </c>
      <c r="E103" s="1">
        <v>320</v>
      </c>
      <c r="F103" s="2">
        <v>45662</v>
      </c>
      <c r="G103" s="2">
        <v>45663</v>
      </c>
      <c r="H103" s="1" t="s">
        <v>23</v>
      </c>
      <c r="I103" s="1" t="s">
        <v>40</v>
      </c>
      <c r="J103" s="1">
        <v>5</v>
      </c>
      <c r="K103" s="1" t="s">
        <v>19</v>
      </c>
      <c r="L103" s="1" t="s">
        <v>52</v>
      </c>
      <c r="M103" s="1">
        <f>orders[[#This Row],[Ship Date]]-orders[[#This Row],[Order Date]]</f>
        <v>1</v>
      </c>
      <c r="N103" s="1">
        <f>WEEKNUM(orders[[#This Row],[Order Date]])</f>
        <v>2</v>
      </c>
      <c r="O103" s="1"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s="1">
        <v>115.5</v>
      </c>
      <c r="F104" s="2">
        <v>45662</v>
      </c>
      <c r="G104" s="2">
        <v>45665</v>
      </c>
      <c r="H104" s="1" t="s">
        <v>27</v>
      </c>
      <c r="I104" s="1" t="s">
        <v>70</v>
      </c>
      <c r="J104" s="1">
        <v>4</v>
      </c>
      <c r="K104" s="1" t="s">
        <v>19</v>
      </c>
      <c r="L104" s="1" t="s">
        <v>62</v>
      </c>
      <c r="M104" s="1">
        <f>orders[[#This Row],[Ship Date]]-orders[[#This Row],[Order Date]]</f>
        <v>3</v>
      </c>
      <c r="N104" s="1">
        <f>WEEKNUM(orders[[#This Row],[Order Date]])</f>
        <v>2</v>
      </c>
      <c r="O104" s="1" t="str" cm="1">
        <f t="array" ref="O104">_xlfn.IFS(orders[[#This Row],[Customer Gender]]="M","Male", orders[[#This Row],[Customer Gender]]="F","Female", orders[[#This Row],[Customer Gender]]="O","Other", TRUE,"Unknown")</f>
        <v>Female</v>
      </c>
    </row>
    <row r="105" spans="1:15" x14ac:dyDescent="0.3">
      <c r="A105" t="s">
        <v>172</v>
      </c>
      <c r="B105" t="s">
        <v>54</v>
      </c>
      <c r="C105">
        <v>2</v>
      </c>
      <c r="D105">
        <v>53</v>
      </c>
      <c r="E105" s="1">
        <v>106</v>
      </c>
      <c r="F105" s="2">
        <v>45662</v>
      </c>
      <c r="G105" s="2">
        <v>45662</v>
      </c>
      <c r="H105" s="1" t="s">
        <v>23</v>
      </c>
      <c r="I105" s="1" t="s">
        <v>40</v>
      </c>
      <c r="J105" s="1">
        <v>2</v>
      </c>
      <c r="K105" s="1" t="s">
        <v>19</v>
      </c>
      <c r="L105" s="1" t="s">
        <v>103</v>
      </c>
      <c r="M105" s="1">
        <f>orders[[#This Row],[Ship Date]]-orders[[#This Row],[Order Date]]</f>
        <v>0</v>
      </c>
      <c r="N105" s="1">
        <f>WEEKNUM(orders[[#This Row],[Order Date]])</f>
        <v>2</v>
      </c>
      <c r="O105" s="1" t="str" cm="1">
        <f t="array" ref="O105">_xlfn.IFS(orders[[#This Row],[Customer Gender]]="M","Male", orders[[#This Row],[Customer Gender]]="F","Female", orders[[#This Row],[Customer Gender]]="O","Other", TRUE,"Unknown")</f>
        <v>Male</v>
      </c>
    </row>
    <row r="106" spans="1:15" x14ac:dyDescent="0.3">
      <c r="A106" t="s">
        <v>173</v>
      </c>
      <c r="B106" t="s">
        <v>44</v>
      </c>
      <c r="C106">
        <v>3</v>
      </c>
      <c r="D106">
        <v>18.5</v>
      </c>
      <c r="E106" s="1">
        <v>55.5</v>
      </c>
      <c r="F106" s="2">
        <v>45662</v>
      </c>
      <c r="G106" s="2">
        <v>45667</v>
      </c>
      <c r="H106" s="1" t="s">
        <v>27</v>
      </c>
      <c r="I106" s="1" t="s">
        <v>35</v>
      </c>
      <c r="J106" s="1">
        <v>5</v>
      </c>
      <c r="K106" s="1" t="s">
        <v>19</v>
      </c>
      <c r="L106" s="1" t="s">
        <v>77</v>
      </c>
      <c r="M106" s="1">
        <f>orders[[#This Row],[Ship Date]]-orders[[#This Row],[Order Date]]</f>
        <v>5</v>
      </c>
      <c r="N106" s="1">
        <f>WEEKNUM(orders[[#This Row],[Order Date]])</f>
        <v>2</v>
      </c>
      <c r="O106" s="1"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s="1">
        <v>253.5</v>
      </c>
      <c r="F107" s="2">
        <v>45662</v>
      </c>
      <c r="G107" s="2">
        <v>45664</v>
      </c>
      <c r="H107" s="1" t="s">
        <v>27</v>
      </c>
      <c r="I107" s="1" t="s">
        <v>70</v>
      </c>
      <c r="J107" s="1">
        <v>3</v>
      </c>
      <c r="K107" s="1" t="s">
        <v>19</v>
      </c>
      <c r="L107" s="1" t="s">
        <v>82</v>
      </c>
      <c r="M107" s="1">
        <f>orders[[#This Row],[Ship Date]]-orders[[#This Row],[Order Date]]</f>
        <v>2</v>
      </c>
      <c r="N107" s="1">
        <f>WEEKNUM(orders[[#This Row],[Order Date]])</f>
        <v>2</v>
      </c>
      <c r="O107" s="1"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s="1">
        <v>218.4</v>
      </c>
      <c r="F108" s="2">
        <v>45662</v>
      </c>
      <c r="G108" s="2">
        <v>45662</v>
      </c>
      <c r="H108" s="1" t="s">
        <v>27</v>
      </c>
      <c r="I108" s="1" t="s">
        <v>40</v>
      </c>
      <c r="J108" s="1">
        <v>5</v>
      </c>
      <c r="K108" s="1" t="s">
        <v>19</v>
      </c>
      <c r="L108" s="1" t="s">
        <v>33</v>
      </c>
      <c r="M108" s="1">
        <f>orders[[#This Row],[Ship Date]]-orders[[#This Row],[Order Date]]</f>
        <v>0</v>
      </c>
      <c r="N108" s="1">
        <f>WEEKNUM(orders[[#This Row],[Order Date]])</f>
        <v>2</v>
      </c>
      <c r="O108" s="1"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s="1">
        <v>586.80000000000007</v>
      </c>
      <c r="F109" s="2">
        <v>45662</v>
      </c>
      <c r="G109" s="2">
        <v>45663</v>
      </c>
      <c r="H109" s="1" t="s">
        <v>23</v>
      </c>
      <c r="I109" s="1" t="s">
        <v>35</v>
      </c>
      <c r="J109" s="1">
        <v>3</v>
      </c>
      <c r="K109" s="1" t="s">
        <v>19</v>
      </c>
      <c r="L109" s="1" t="s">
        <v>33</v>
      </c>
      <c r="M109" s="1">
        <f>orders[[#This Row],[Ship Date]]-orders[[#This Row],[Order Date]]</f>
        <v>1</v>
      </c>
      <c r="N109" s="1">
        <f>WEEKNUM(orders[[#This Row],[Order Date]])</f>
        <v>2</v>
      </c>
      <c r="O109" s="1" t="str" cm="1">
        <f t="array" ref="O109">_xlfn.IFS(orders[[#This Row],[Customer Gender]]="M","Male", orders[[#This Row],[Customer Gender]]="F","Female", orders[[#This Row],[Customer Gender]]="O","Other", TRUE,"Unknown")</f>
        <v>Male</v>
      </c>
    </row>
    <row r="110" spans="1:15" x14ac:dyDescent="0.3">
      <c r="A110" t="s">
        <v>177</v>
      </c>
      <c r="B110" t="s">
        <v>54</v>
      </c>
      <c r="C110">
        <v>4</v>
      </c>
      <c r="D110">
        <v>45.4</v>
      </c>
      <c r="E110" s="1">
        <v>181.6</v>
      </c>
      <c r="F110" s="2">
        <v>45662</v>
      </c>
      <c r="G110" s="2">
        <v>45664</v>
      </c>
      <c r="H110" s="1" t="s">
        <v>23</v>
      </c>
      <c r="I110" s="1" t="s">
        <v>35</v>
      </c>
      <c r="J110" s="1">
        <v>4</v>
      </c>
      <c r="K110" s="1" t="s">
        <v>19</v>
      </c>
      <c r="L110" s="1" t="s">
        <v>33</v>
      </c>
      <c r="M110" s="1">
        <f>orders[[#This Row],[Ship Date]]-orders[[#This Row],[Order Date]]</f>
        <v>2</v>
      </c>
      <c r="N110" s="1">
        <f>WEEKNUM(orders[[#This Row],[Order Date]])</f>
        <v>2</v>
      </c>
      <c r="O110" s="1" t="str" cm="1">
        <f t="array" ref="O110">_xlfn.IFS(orders[[#This Row],[Customer Gender]]="M","Male", orders[[#This Row],[Customer Gender]]="F","Female", orders[[#This Row],[Customer Gender]]="O","Other", TRUE,"Unknown")</f>
        <v>Male</v>
      </c>
    </row>
    <row r="111" spans="1:15" x14ac:dyDescent="0.3">
      <c r="A111" t="s">
        <v>178</v>
      </c>
      <c r="B111" t="s">
        <v>26</v>
      </c>
      <c r="C111">
        <v>12</v>
      </c>
      <c r="D111">
        <v>120</v>
      </c>
      <c r="E111" s="1">
        <v>1440</v>
      </c>
      <c r="F111" s="2">
        <v>45662</v>
      </c>
      <c r="G111" s="2">
        <v>45663</v>
      </c>
      <c r="H111" s="1" t="s">
        <v>27</v>
      </c>
      <c r="I111" s="1" t="s">
        <v>40</v>
      </c>
      <c r="J111" s="1">
        <v>2</v>
      </c>
      <c r="K111" s="1" t="s">
        <v>19</v>
      </c>
      <c r="L111" s="1" t="s">
        <v>33</v>
      </c>
      <c r="M111" s="1">
        <f>orders[[#This Row],[Ship Date]]-orders[[#This Row],[Order Date]]</f>
        <v>1</v>
      </c>
      <c r="N111" s="1">
        <f>WEEKNUM(orders[[#This Row],[Order Date]])</f>
        <v>2</v>
      </c>
      <c r="O111" s="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s="1">
        <v>75.599999999999994</v>
      </c>
      <c r="F112" s="2">
        <v>45662</v>
      </c>
      <c r="G112" s="2">
        <v>45664</v>
      </c>
      <c r="H112" s="1" t="s">
        <v>23</v>
      </c>
      <c r="I112" s="1" t="s">
        <v>18</v>
      </c>
      <c r="J112" s="1">
        <v>5</v>
      </c>
      <c r="K112" s="1" t="s">
        <v>19</v>
      </c>
      <c r="L112" s="1" t="s">
        <v>33</v>
      </c>
      <c r="M112" s="1">
        <f>orders[[#This Row],[Ship Date]]-orders[[#This Row],[Order Date]]</f>
        <v>2</v>
      </c>
      <c r="N112" s="1">
        <f>WEEKNUM(orders[[#This Row],[Order Date]])</f>
        <v>2</v>
      </c>
      <c r="O112" s="1" t="str" cm="1">
        <f t="array" ref="O112">_xlfn.IFS(orders[[#This Row],[Customer Gender]]="M","Male", orders[[#This Row],[Customer Gender]]="F","Female", orders[[#This Row],[Customer Gender]]="O","Other", TRUE,"Unknown")</f>
        <v>Male</v>
      </c>
    </row>
    <row r="113" spans="1:15" x14ac:dyDescent="0.3">
      <c r="A113" t="s">
        <v>180</v>
      </c>
      <c r="B113" t="s">
        <v>32</v>
      </c>
      <c r="C113">
        <v>1</v>
      </c>
      <c r="D113">
        <v>32</v>
      </c>
      <c r="E113" s="1">
        <v>32</v>
      </c>
      <c r="F113" s="2">
        <v>45662</v>
      </c>
      <c r="G113" s="2">
        <v>45664</v>
      </c>
      <c r="H113" s="1" t="s">
        <v>27</v>
      </c>
      <c r="I113" s="1" t="s">
        <v>70</v>
      </c>
      <c r="J113" s="1">
        <v>4</v>
      </c>
      <c r="K113" s="1" t="s">
        <v>19</v>
      </c>
      <c r="L113" s="1" t="s">
        <v>33</v>
      </c>
      <c r="M113" s="1">
        <f>orders[[#This Row],[Ship Date]]-orders[[#This Row],[Order Date]]</f>
        <v>2</v>
      </c>
      <c r="N113" s="1">
        <f>WEEKNUM(orders[[#This Row],[Order Date]])</f>
        <v>2</v>
      </c>
      <c r="O113" s="1"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s="1">
        <v>74.599999999999994</v>
      </c>
      <c r="F114" s="2">
        <v>45662</v>
      </c>
      <c r="G114" s="2">
        <v>45663</v>
      </c>
      <c r="H114" s="1" t="s">
        <v>23</v>
      </c>
      <c r="I114" s="1" t="s">
        <v>40</v>
      </c>
      <c r="J114" s="1">
        <v>4</v>
      </c>
      <c r="K114" s="1" t="s">
        <v>19</v>
      </c>
      <c r="L114" s="1" t="s">
        <v>33</v>
      </c>
      <c r="M114" s="1">
        <f>orders[[#This Row],[Ship Date]]-orders[[#This Row],[Order Date]]</f>
        <v>1</v>
      </c>
      <c r="N114" s="1">
        <f>WEEKNUM(orders[[#This Row],[Order Date]])</f>
        <v>2</v>
      </c>
      <c r="O114" s="1"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s="1">
        <v>119.8</v>
      </c>
      <c r="F115" s="2">
        <v>45662</v>
      </c>
      <c r="G115" s="2">
        <v>45663</v>
      </c>
      <c r="H115" s="1" t="s">
        <v>23</v>
      </c>
      <c r="I115" s="1" t="s">
        <v>35</v>
      </c>
      <c r="J115" s="1">
        <v>3</v>
      </c>
      <c r="K115" s="1" t="s">
        <v>19</v>
      </c>
      <c r="L115" s="1" t="s">
        <v>33</v>
      </c>
      <c r="M115" s="1">
        <f>orders[[#This Row],[Ship Date]]-orders[[#This Row],[Order Date]]</f>
        <v>1</v>
      </c>
      <c r="N115" s="1">
        <f>WEEKNUM(orders[[#This Row],[Order Date]])</f>
        <v>2</v>
      </c>
      <c r="O115" s="1" t="str" cm="1">
        <f t="array" ref="O115">_xlfn.IFS(orders[[#This Row],[Customer Gender]]="M","Male", orders[[#This Row],[Customer Gender]]="F","Female", orders[[#This Row],[Customer Gender]]="O","Other", TRUE,"Unknown")</f>
        <v>Male</v>
      </c>
    </row>
    <row r="116" spans="1:15" x14ac:dyDescent="0.3">
      <c r="A116" t="s">
        <v>183</v>
      </c>
      <c r="B116" t="s">
        <v>54</v>
      </c>
      <c r="C116">
        <v>2</v>
      </c>
      <c r="D116">
        <v>26.4</v>
      </c>
      <c r="E116" s="1">
        <v>52.8</v>
      </c>
      <c r="F116" s="2">
        <v>45662</v>
      </c>
      <c r="G116" s="2">
        <v>45665</v>
      </c>
      <c r="H116" s="1" t="s">
        <v>23</v>
      </c>
      <c r="I116" s="1" t="s">
        <v>40</v>
      </c>
      <c r="J116" s="1">
        <v>4</v>
      </c>
      <c r="K116" s="1" t="s">
        <v>19</v>
      </c>
      <c r="L116" s="1" t="s">
        <v>33</v>
      </c>
      <c r="M116" s="1">
        <f>orders[[#This Row],[Ship Date]]-orders[[#This Row],[Order Date]]</f>
        <v>3</v>
      </c>
      <c r="N116" s="1">
        <f>WEEKNUM(orders[[#This Row],[Order Date]])</f>
        <v>2</v>
      </c>
      <c r="O116" s="1" t="str" cm="1">
        <f t="array" ref="O116">_xlfn.IFS(orders[[#This Row],[Customer Gender]]="M","Male", orders[[#This Row],[Customer Gender]]="F","Female", orders[[#This Row],[Customer Gender]]="O","Other", TRUE,"Unknown")</f>
        <v>Male</v>
      </c>
    </row>
    <row r="117" spans="1:15" x14ac:dyDescent="0.3">
      <c r="A117" t="s">
        <v>184</v>
      </c>
      <c r="B117" t="s">
        <v>39</v>
      </c>
      <c r="C117">
        <v>6</v>
      </c>
      <c r="D117">
        <v>76.5</v>
      </c>
      <c r="E117" s="1">
        <v>459</v>
      </c>
      <c r="F117" s="2">
        <v>45662</v>
      </c>
      <c r="G117" s="2">
        <v>45663</v>
      </c>
      <c r="H117" s="1" t="s">
        <v>27</v>
      </c>
      <c r="I117" s="1" t="s">
        <v>35</v>
      </c>
      <c r="J117" s="1">
        <v>3</v>
      </c>
      <c r="K117" s="1" t="s">
        <v>19</v>
      </c>
      <c r="L117" s="1" t="s">
        <v>33</v>
      </c>
      <c r="M117" s="1">
        <f>orders[[#This Row],[Ship Date]]-orders[[#This Row],[Order Date]]</f>
        <v>1</v>
      </c>
      <c r="N117" s="1">
        <f>WEEKNUM(orders[[#This Row],[Order Date]])</f>
        <v>2</v>
      </c>
      <c r="O117" s="1"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s="1">
        <v>457</v>
      </c>
      <c r="F118" s="2">
        <v>45662</v>
      </c>
      <c r="G118" s="2">
        <v>45663</v>
      </c>
      <c r="H118" s="1" t="s">
        <v>27</v>
      </c>
      <c r="I118" s="1" t="s">
        <v>40</v>
      </c>
      <c r="J118" s="1">
        <v>4</v>
      </c>
      <c r="K118" s="1" t="s">
        <v>19</v>
      </c>
      <c r="L118" s="1" t="s">
        <v>186</v>
      </c>
      <c r="M118" s="1">
        <f>orders[[#This Row],[Ship Date]]-orders[[#This Row],[Order Date]]</f>
        <v>1</v>
      </c>
      <c r="N118" s="1">
        <f>WEEKNUM(orders[[#This Row],[Order Date]])</f>
        <v>2</v>
      </c>
      <c r="O118" s="1"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s="1">
        <v>1111.1999999999998</v>
      </c>
      <c r="F119" s="2">
        <v>45662</v>
      </c>
      <c r="G119" s="2">
        <v>45664</v>
      </c>
      <c r="H119" s="1" t="s">
        <v>27</v>
      </c>
      <c r="I119" s="1" t="s">
        <v>40</v>
      </c>
      <c r="J119" s="1">
        <v>4</v>
      </c>
      <c r="K119" s="1" t="s">
        <v>19</v>
      </c>
      <c r="L119" s="1" t="s">
        <v>188</v>
      </c>
      <c r="M119" s="1">
        <f>orders[[#This Row],[Ship Date]]-orders[[#This Row],[Order Date]]</f>
        <v>2</v>
      </c>
      <c r="N119" s="1">
        <f>WEEKNUM(orders[[#This Row],[Order Date]])</f>
        <v>2</v>
      </c>
      <c r="O119" s="1"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s="1">
        <v>360.6</v>
      </c>
      <c r="F120" s="2">
        <v>45662</v>
      </c>
      <c r="G120" s="2">
        <v>45663</v>
      </c>
      <c r="H120" s="1" t="s">
        <v>23</v>
      </c>
      <c r="I120" s="1" t="s">
        <v>35</v>
      </c>
      <c r="J120" s="1">
        <v>4</v>
      </c>
      <c r="K120" s="1" t="s">
        <v>19</v>
      </c>
      <c r="L120" s="1" t="s">
        <v>158</v>
      </c>
      <c r="M120" s="1">
        <f>orders[[#This Row],[Ship Date]]-orders[[#This Row],[Order Date]]</f>
        <v>1</v>
      </c>
      <c r="N120" s="1">
        <f>WEEKNUM(orders[[#This Row],[Order Date]])</f>
        <v>2</v>
      </c>
      <c r="O120" s="1" t="str" cm="1">
        <f t="array" ref="O120">_xlfn.IFS(orders[[#This Row],[Customer Gender]]="M","Male", orders[[#This Row],[Customer Gender]]="F","Female", orders[[#This Row],[Customer Gender]]="O","Other", TRUE,"Unknown")</f>
        <v>Male</v>
      </c>
    </row>
    <row r="121" spans="1:15" x14ac:dyDescent="0.3">
      <c r="A121" t="s">
        <v>190</v>
      </c>
      <c r="B121" t="s">
        <v>22</v>
      </c>
      <c r="C121">
        <v>3</v>
      </c>
      <c r="D121">
        <v>73</v>
      </c>
      <c r="E121" s="1">
        <v>219</v>
      </c>
      <c r="F121" s="2">
        <v>45662</v>
      </c>
      <c r="G121" s="2">
        <v>45663</v>
      </c>
      <c r="H121" s="1" t="s">
        <v>27</v>
      </c>
      <c r="I121" s="1" t="s">
        <v>51</v>
      </c>
      <c r="J121" s="1">
        <v>3</v>
      </c>
      <c r="K121" s="1" t="s">
        <v>19</v>
      </c>
      <c r="L121" s="1" t="s">
        <v>55</v>
      </c>
      <c r="M121" s="1">
        <f>orders[[#This Row],[Ship Date]]-orders[[#This Row],[Order Date]]</f>
        <v>1</v>
      </c>
      <c r="N121" s="1">
        <f>WEEKNUM(orders[[#This Row],[Order Date]])</f>
        <v>2</v>
      </c>
      <c r="O121" s="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s="1">
        <v>132.89999999999998</v>
      </c>
      <c r="F122" s="2">
        <v>45662</v>
      </c>
      <c r="G122" s="2">
        <v>45666</v>
      </c>
      <c r="H122" s="1" t="s">
        <v>17</v>
      </c>
      <c r="I122" s="1" t="s">
        <v>40</v>
      </c>
      <c r="J122" s="1">
        <v>5</v>
      </c>
      <c r="K122" s="1" t="s">
        <v>19</v>
      </c>
      <c r="L122" s="1" t="s">
        <v>55</v>
      </c>
      <c r="M122" s="1">
        <f>orders[[#This Row],[Ship Date]]-orders[[#This Row],[Order Date]]</f>
        <v>4</v>
      </c>
      <c r="N122" s="1">
        <f>WEEKNUM(orders[[#This Row],[Order Date]])</f>
        <v>2</v>
      </c>
      <c r="O122" s="1"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s="1">
        <v>189.89999999999998</v>
      </c>
      <c r="F123" s="2">
        <v>45662</v>
      </c>
      <c r="G123" s="2">
        <v>45663</v>
      </c>
      <c r="H123" s="1" t="s">
        <v>23</v>
      </c>
      <c r="I123" s="1" t="s">
        <v>40</v>
      </c>
      <c r="J123" s="1">
        <v>4</v>
      </c>
      <c r="K123" s="1" t="s">
        <v>19</v>
      </c>
      <c r="L123" s="1" t="s">
        <v>55</v>
      </c>
      <c r="M123" s="1">
        <f>orders[[#This Row],[Ship Date]]-orders[[#This Row],[Order Date]]</f>
        <v>1</v>
      </c>
      <c r="N123" s="1">
        <f>WEEKNUM(orders[[#This Row],[Order Date]])</f>
        <v>2</v>
      </c>
      <c r="O123" s="1" t="str" cm="1">
        <f t="array" ref="O123">_xlfn.IFS(orders[[#This Row],[Customer Gender]]="M","Male", orders[[#This Row],[Customer Gender]]="F","Female", orders[[#This Row],[Customer Gender]]="O","Other", TRUE,"Unknown")</f>
        <v>Male</v>
      </c>
    </row>
    <row r="124" spans="1:15" x14ac:dyDescent="0.3">
      <c r="A124" t="s">
        <v>193</v>
      </c>
      <c r="B124" t="s">
        <v>69</v>
      </c>
      <c r="C124">
        <v>1</v>
      </c>
      <c r="D124">
        <v>66.8</v>
      </c>
      <c r="E124" s="1">
        <v>66.8</v>
      </c>
      <c r="F124" s="2">
        <v>45662</v>
      </c>
      <c r="G124" s="2">
        <v>45663</v>
      </c>
      <c r="H124" s="1" t="s">
        <v>27</v>
      </c>
      <c r="I124" s="1" t="s">
        <v>35</v>
      </c>
      <c r="J124" s="1">
        <v>4</v>
      </c>
      <c r="K124" s="1" t="s">
        <v>19</v>
      </c>
      <c r="L124" s="1" t="s">
        <v>55</v>
      </c>
      <c r="M124" s="1">
        <f>orders[[#This Row],[Ship Date]]-orders[[#This Row],[Order Date]]</f>
        <v>1</v>
      </c>
      <c r="N124" s="1">
        <f>WEEKNUM(orders[[#This Row],[Order Date]])</f>
        <v>2</v>
      </c>
      <c r="O124" s="1"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s="1">
        <v>119.4</v>
      </c>
      <c r="F125" s="2">
        <v>45662</v>
      </c>
      <c r="G125" s="2">
        <v>45663</v>
      </c>
      <c r="H125" s="1" t="s">
        <v>27</v>
      </c>
      <c r="I125" s="1" t="s">
        <v>18</v>
      </c>
      <c r="J125" s="1">
        <v>4</v>
      </c>
      <c r="K125" s="1" t="s">
        <v>19</v>
      </c>
      <c r="L125" s="1" t="s">
        <v>59</v>
      </c>
      <c r="M125" s="1">
        <f>orders[[#This Row],[Ship Date]]-orders[[#This Row],[Order Date]]</f>
        <v>1</v>
      </c>
      <c r="N125" s="1">
        <f>WEEKNUM(orders[[#This Row],[Order Date]])</f>
        <v>2</v>
      </c>
      <c r="O125" s="1" t="str" cm="1">
        <f t="array" ref="O125">_xlfn.IFS(orders[[#This Row],[Customer Gender]]="M","Male", orders[[#This Row],[Customer Gender]]="F","Female", orders[[#This Row],[Customer Gender]]="O","Other", TRUE,"Unknown")</f>
        <v>Female</v>
      </c>
    </row>
    <row r="126" spans="1:15" x14ac:dyDescent="0.3">
      <c r="A126" t="s">
        <v>195</v>
      </c>
      <c r="B126" t="s">
        <v>22</v>
      </c>
      <c r="C126">
        <v>6</v>
      </c>
      <c r="D126">
        <v>92</v>
      </c>
      <c r="E126" s="1">
        <v>552</v>
      </c>
      <c r="F126" s="2">
        <v>45662</v>
      </c>
      <c r="G126" s="2">
        <v>45664</v>
      </c>
      <c r="H126" s="1" t="s">
        <v>23</v>
      </c>
      <c r="I126" s="1" t="s">
        <v>18</v>
      </c>
      <c r="J126" s="1">
        <v>2</v>
      </c>
      <c r="K126" s="1" t="s">
        <v>19</v>
      </c>
      <c r="L126" s="1" t="s">
        <v>59</v>
      </c>
      <c r="M126" s="1">
        <f>orders[[#This Row],[Ship Date]]-orders[[#This Row],[Order Date]]</f>
        <v>2</v>
      </c>
      <c r="N126" s="1">
        <f>WEEKNUM(orders[[#This Row],[Order Date]])</f>
        <v>2</v>
      </c>
      <c r="O126" s="1" t="str" cm="1">
        <f t="array" ref="O126">_xlfn.IFS(orders[[#This Row],[Customer Gender]]="M","Male", orders[[#This Row],[Customer Gender]]="F","Female", orders[[#This Row],[Customer Gender]]="O","Other", TRUE,"Unknown")</f>
        <v>Male</v>
      </c>
    </row>
    <row r="127" spans="1:15" x14ac:dyDescent="0.3">
      <c r="A127" t="s">
        <v>196</v>
      </c>
      <c r="B127" t="s">
        <v>42</v>
      </c>
      <c r="C127">
        <v>2</v>
      </c>
      <c r="D127">
        <v>87.6</v>
      </c>
      <c r="E127" s="1">
        <v>175.2</v>
      </c>
      <c r="F127" s="2">
        <v>45662</v>
      </c>
      <c r="G127" s="2">
        <v>45664</v>
      </c>
      <c r="H127" s="1" t="s">
        <v>23</v>
      </c>
      <c r="I127" s="1" t="s">
        <v>35</v>
      </c>
      <c r="J127" s="1">
        <v>3</v>
      </c>
      <c r="K127" s="1" t="s">
        <v>19</v>
      </c>
      <c r="L127" s="1" t="s">
        <v>62</v>
      </c>
      <c r="M127" s="1">
        <f>orders[[#This Row],[Ship Date]]-orders[[#This Row],[Order Date]]</f>
        <v>2</v>
      </c>
      <c r="N127" s="1">
        <f>WEEKNUM(orders[[#This Row],[Order Date]])</f>
        <v>2</v>
      </c>
      <c r="O127" s="1" t="str" cm="1">
        <f t="array" ref="O127">_xlfn.IFS(orders[[#This Row],[Customer Gender]]="M","Male", orders[[#This Row],[Customer Gender]]="F","Female", orders[[#This Row],[Customer Gender]]="O","Other", TRUE,"Unknown")</f>
        <v>Male</v>
      </c>
    </row>
    <row r="128" spans="1:15" x14ac:dyDescent="0.3">
      <c r="A128" t="s">
        <v>197</v>
      </c>
      <c r="B128" t="s">
        <v>39</v>
      </c>
      <c r="C128">
        <v>3</v>
      </c>
      <c r="D128">
        <v>84.5</v>
      </c>
      <c r="E128" s="1">
        <v>253.5</v>
      </c>
      <c r="F128" s="2">
        <v>45662</v>
      </c>
      <c r="G128" s="2">
        <v>45663</v>
      </c>
      <c r="H128" s="1" t="s">
        <v>27</v>
      </c>
      <c r="I128" s="1" t="s">
        <v>35</v>
      </c>
      <c r="J128" s="1">
        <v>3</v>
      </c>
      <c r="K128" s="1" t="s">
        <v>19</v>
      </c>
      <c r="L128" s="1" t="s">
        <v>62</v>
      </c>
      <c r="M128" s="1">
        <f>orders[[#This Row],[Ship Date]]-orders[[#This Row],[Order Date]]</f>
        <v>1</v>
      </c>
      <c r="N128" s="1">
        <f>WEEKNUM(orders[[#This Row],[Order Date]])</f>
        <v>2</v>
      </c>
      <c r="O128" s="1"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s="1">
        <v>232.6</v>
      </c>
      <c r="F129" s="2">
        <v>45663</v>
      </c>
      <c r="G129" s="2">
        <v>45665</v>
      </c>
      <c r="H129" s="1" t="s">
        <v>23</v>
      </c>
      <c r="I129" s="1" t="s">
        <v>40</v>
      </c>
      <c r="J129" s="1">
        <v>5</v>
      </c>
      <c r="K129" s="1" t="s">
        <v>19</v>
      </c>
      <c r="L129" s="1" t="s">
        <v>62</v>
      </c>
      <c r="M129" s="1">
        <f>orders[[#This Row],[Ship Date]]-orders[[#This Row],[Order Date]]</f>
        <v>2</v>
      </c>
      <c r="N129" s="1">
        <f>WEEKNUM(orders[[#This Row],[Order Date]])</f>
        <v>2</v>
      </c>
      <c r="O129" s="1" t="str" cm="1">
        <f t="array" ref="O129">_xlfn.IFS(orders[[#This Row],[Customer Gender]]="M","Male", orders[[#This Row],[Customer Gender]]="F","Female", orders[[#This Row],[Customer Gender]]="O","Other", TRUE,"Unknown")</f>
        <v>Male</v>
      </c>
    </row>
    <row r="130" spans="1:15" x14ac:dyDescent="0.3">
      <c r="A130" t="s">
        <v>199</v>
      </c>
      <c r="B130" t="s">
        <v>39</v>
      </c>
      <c r="C130">
        <v>5</v>
      </c>
      <c r="D130">
        <v>52.7</v>
      </c>
      <c r="E130" s="1">
        <v>263.5</v>
      </c>
      <c r="F130" s="2">
        <v>45663</v>
      </c>
      <c r="G130" s="2">
        <v>45667</v>
      </c>
      <c r="H130" s="1" t="s">
        <v>23</v>
      </c>
      <c r="I130" s="1" t="s">
        <v>18</v>
      </c>
      <c r="J130" s="1">
        <v>4</v>
      </c>
      <c r="K130" s="1" t="s">
        <v>19</v>
      </c>
      <c r="L130" s="1" t="s">
        <v>62</v>
      </c>
      <c r="M130" s="1">
        <f>orders[[#This Row],[Ship Date]]-orders[[#This Row],[Order Date]]</f>
        <v>4</v>
      </c>
      <c r="N130" s="1">
        <f>WEEKNUM(orders[[#This Row],[Order Date]])</f>
        <v>2</v>
      </c>
      <c r="O130" s="1"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s="1">
        <v>102.60000000000001</v>
      </c>
      <c r="F131" s="2">
        <v>45663</v>
      </c>
      <c r="G131" s="2">
        <v>45664</v>
      </c>
      <c r="H131" s="1" t="s">
        <v>23</v>
      </c>
      <c r="I131" s="1" t="s">
        <v>18</v>
      </c>
      <c r="J131" s="1">
        <v>5</v>
      </c>
      <c r="K131" s="1" t="s">
        <v>19</v>
      </c>
      <c r="L131" s="1" t="s">
        <v>201</v>
      </c>
      <c r="M131" s="1">
        <f>orders[[#This Row],[Ship Date]]-orders[[#This Row],[Order Date]]</f>
        <v>1</v>
      </c>
      <c r="N131" s="1">
        <f>WEEKNUM(orders[[#This Row],[Order Date]])</f>
        <v>2</v>
      </c>
      <c r="O131" s="1" t="str" cm="1">
        <f t="array" ref="O131">_xlfn.IFS(orders[[#This Row],[Customer Gender]]="M","Male", orders[[#This Row],[Customer Gender]]="F","Female", orders[[#This Row],[Customer Gender]]="O","Other", TRUE,"Unknown")</f>
        <v>Male</v>
      </c>
    </row>
    <row r="132" spans="1:15" x14ac:dyDescent="0.3">
      <c r="A132" t="s">
        <v>202</v>
      </c>
      <c r="B132" t="s">
        <v>46</v>
      </c>
      <c r="C132">
        <v>1</v>
      </c>
      <c r="D132">
        <v>23.3</v>
      </c>
      <c r="E132" s="1">
        <v>23.3</v>
      </c>
      <c r="F132" s="2">
        <v>45663</v>
      </c>
      <c r="G132" s="2">
        <v>45672</v>
      </c>
      <c r="H132" s="1" t="s">
        <v>89</v>
      </c>
      <c r="I132" s="1" t="s">
        <v>40</v>
      </c>
      <c r="J132" s="1">
        <v>5</v>
      </c>
      <c r="K132" s="1" t="s">
        <v>19</v>
      </c>
      <c r="L132" s="1" t="s">
        <v>72</v>
      </c>
      <c r="M132" s="1">
        <f>orders[[#This Row],[Ship Date]]-orders[[#This Row],[Order Date]]</f>
        <v>9</v>
      </c>
      <c r="N132" s="1">
        <f>WEEKNUM(orders[[#This Row],[Order Date]])</f>
        <v>2</v>
      </c>
      <c r="O132" s="1"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s="1">
        <v>673.4</v>
      </c>
      <c r="F133" s="2">
        <v>45663</v>
      </c>
      <c r="G133" s="2">
        <v>45666</v>
      </c>
      <c r="H133" s="1" t="s">
        <v>27</v>
      </c>
      <c r="I133" s="1" t="s">
        <v>70</v>
      </c>
      <c r="J133" s="1">
        <v>3</v>
      </c>
      <c r="K133" s="1" t="s">
        <v>19</v>
      </c>
      <c r="L133" s="1" t="s">
        <v>72</v>
      </c>
      <c r="M133" s="1">
        <f>orders[[#This Row],[Ship Date]]-orders[[#This Row],[Order Date]]</f>
        <v>3</v>
      </c>
      <c r="N133" s="1">
        <f>WEEKNUM(orders[[#This Row],[Order Date]])</f>
        <v>2</v>
      </c>
      <c r="O133" s="1"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s="1">
        <v>1592.1</v>
      </c>
      <c r="F134" s="2">
        <v>45663</v>
      </c>
      <c r="G134" s="2">
        <v>45664</v>
      </c>
      <c r="H134" s="1" t="s">
        <v>23</v>
      </c>
      <c r="I134" s="1" t="s">
        <v>35</v>
      </c>
      <c r="J134" s="1">
        <v>5</v>
      </c>
      <c r="K134" s="1" t="s">
        <v>19</v>
      </c>
      <c r="L134" s="1" t="s">
        <v>72</v>
      </c>
      <c r="M134" s="1">
        <f>orders[[#This Row],[Ship Date]]-orders[[#This Row],[Order Date]]</f>
        <v>1</v>
      </c>
      <c r="N134" s="1">
        <f>WEEKNUM(orders[[#This Row],[Order Date]])</f>
        <v>2</v>
      </c>
      <c r="O134" s="1" t="str" cm="1">
        <f t="array" ref="O134">_xlfn.IFS(orders[[#This Row],[Customer Gender]]="M","Male", orders[[#This Row],[Customer Gender]]="F","Female", orders[[#This Row],[Customer Gender]]="O","Other", TRUE,"Unknown")</f>
        <v>Male</v>
      </c>
    </row>
    <row r="135" spans="1:15" x14ac:dyDescent="0.3">
      <c r="A135" t="s">
        <v>205</v>
      </c>
      <c r="B135" t="s">
        <v>37</v>
      </c>
      <c r="C135">
        <v>3</v>
      </c>
      <c r="D135">
        <v>75.8</v>
      </c>
      <c r="E135" s="1">
        <v>227.39999999999998</v>
      </c>
      <c r="F135" s="2">
        <v>45663</v>
      </c>
      <c r="G135" s="2">
        <v>45668</v>
      </c>
      <c r="H135" s="1" t="s">
        <v>89</v>
      </c>
      <c r="I135" s="1" t="s">
        <v>35</v>
      </c>
      <c r="J135" s="1">
        <v>4</v>
      </c>
      <c r="K135" s="1" t="s">
        <v>19</v>
      </c>
      <c r="L135" s="1" t="s">
        <v>108</v>
      </c>
      <c r="M135" s="1">
        <f>orders[[#This Row],[Ship Date]]-orders[[#This Row],[Order Date]]</f>
        <v>5</v>
      </c>
      <c r="N135" s="1">
        <f>WEEKNUM(orders[[#This Row],[Order Date]])</f>
        <v>2</v>
      </c>
      <c r="O135" s="1" t="str" cm="1">
        <f t="array" ref="O135">_xlfn.IFS(orders[[#This Row],[Customer Gender]]="M","Male", orders[[#This Row],[Customer Gender]]="F","Female", orders[[#This Row],[Customer Gender]]="O","Other", TRUE,"Unknown")</f>
        <v>Other</v>
      </c>
    </row>
    <row r="136" spans="1:15" x14ac:dyDescent="0.3">
      <c r="A136" t="s">
        <v>206</v>
      </c>
      <c r="B136" t="s">
        <v>22</v>
      </c>
      <c r="C136">
        <v>9</v>
      </c>
      <c r="D136">
        <v>44.9</v>
      </c>
      <c r="E136" s="1">
        <v>404.09999999999997</v>
      </c>
      <c r="F136" s="2">
        <v>45663</v>
      </c>
      <c r="G136" s="2">
        <v>45666</v>
      </c>
      <c r="H136" s="1" t="s">
        <v>27</v>
      </c>
      <c r="I136" s="1" t="s">
        <v>40</v>
      </c>
      <c r="J136" s="1">
        <v>5</v>
      </c>
      <c r="K136" s="1" t="s">
        <v>19</v>
      </c>
      <c r="L136" s="1" t="s">
        <v>28</v>
      </c>
      <c r="M136" s="1">
        <f>orders[[#This Row],[Ship Date]]-orders[[#This Row],[Order Date]]</f>
        <v>3</v>
      </c>
      <c r="N136" s="1">
        <f>WEEKNUM(orders[[#This Row],[Order Date]])</f>
        <v>2</v>
      </c>
      <c r="O136" s="1"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s="1">
        <v>97.6</v>
      </c>
      <c r="F137" s="2">
        <v>45663</v>
      </c>
      <c r="G137" s="2">
        <v>45665</v>
      </c>
      <c r="H137" s="1" t="s">
        <v>27</v>
      </c>
      <c r="I137" s="1" t="s">
        <v>51</v>
      </c>
      <c r="J137" s="1">
        <v>4</v>
      </c>
      <c r="K137" s="1" t="s">
        <v>19</v>
      </c>
      <c r="L137" s="1" t="s">
        <v>208</v>
      </c>
      <c r="M137" s="1">
        <f>orders[[#This Row],[Ship Date]]-orders[[#This Row],[Order Date]]</f>
        <v>2</v>
      </c>
      <c r="N137" s="1">
        <f>WEEKNUM(orders[[#This Row],[Order Date]])</f>
        <v>2</v>
      </c>
      <c r="O137" s="1"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s="1">
        <v>20.3</v>
      </c>
      <c r="F138" s="2">
        <v>45663</v>
      </c>
      <c r="G138" s="2">
        <v>45664</v>
      </c>
      <c r="H138" s="1" t="s">
        <v>27</v>
      </c>
      <c r="I138" s="1" t="s">
        <v>18</v>
      </c>
      <c r="J138" s="1">
        <v>5</v>
      </c>
      <c r="K138" s="1" t="s">
        <v>19</v>
      </c>
      <c r="L138" s="1" t="s">
        <v>147</v>
      </c>
      <c r="M138" s="1">
        <f>orders[[#This Row],[Ship Date]]-orders[[#This Row],[Order Date]]</f>
        <v>1</v>
      </c>
      <c r="N138" s="1">
        <f>WEEKNUM(orders[[#This Row],[Order Date]])</f>
        <v>2</v>
      </c>
      <c r="O138" s="1"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s="1">
        <v>254.79999999999998</v>
      </c>
      <c r="F139" s="2">
        <v>45663</v>
      </c>
      <c r="G139" s="2">
        <v>45666</v>
      </c>
      <c r="H139" s="1" t="s">
        <v>27</v>
      </c>
      <c r="I139" s="1" t="s">
        <v>18</v>
      </c>
      <c r="J139" s="1">
        <v>3</v>
      </c>
      <c r="K139" s="1" t="s">
        <v>19</v>
      </c>
      <c r="L139" s="1" t="s">
        <v>33</v>
      </c>
      <c r="M139" s="1">
        <f>orders[[#This Row],[Ship Date]]-orders[[#This Row],[Order Date]]</f>
        <v>3</v>
      </c>
      <c r="N139" s="1">
        <f>WEEKNUM(orders[[#This Row],[Order Date]])</f>
        <v>2</v>
      </c>
      <c r="O139" s="1" t="str" cm="1">
        <f t="array" ref="O139">_xlfn.IFS(orders[[#This Row],[Customer Gender]]="M","Male", orders[[#This Row],[Customer Gender]]="F","Female", orders[[#This Row],[Customer Gender]]="O","Other", TRUE,"Unknown")</f>
        <v>Female</v>
      </c>
    </row>
    <row r="140" spans="1:15" x14ac:dyDescent="0.3">
      <c r="A140" t="s">
        <v>211</v>
      </c>
      <c r="B140" t="s">
        <v>16</v>
      </c>
      <c r="C140">
        <v>1</v>
      </c>
      <c r="D140">
        <v>19</v>
      </c>
      <c r="E140" s="1">
        <v>19</v>
      </c>
      <c r="F140" s="2">
        <v>45663</v>
      </c>
      <c r="G140" s="2">
        <v>45668</v>
      </c>
      <c r="H140" s="1" t="s">
        <v>27</v>
      </c>
      <c r="I140" s="1" t="s">
        <v>35</v>
      </c>
      <c r="J140" s="1">
        <v>5</v>
      </c>
      <c r="K140" s="1" t="s">
        <v>19</v>
      </c>
      <c r="L140" s="1" t="s">
        <v>33</v>
      </c>
      <c r="M140" s="1">
        <f>orders[[#This Row],[Ship Date]]-orders[[#This Row],[Order Date]]</f>
        <v>5</v>
      </c>
      <c r="N140" s="1">
        <f>WEEKNUM(orders[[#This Row],[Order Date]])</f>
        <v>2</v>
      </c>
      <c r="O140" s="1"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s="1">
        <v>17.8</v>
      </c>
      <c r="F141" s="2">
        <v>45663</v>
      </c>
      <c r="G141" s="2">
        <v>45663</v>
      </c>
      <c r="H141" s="1" t="s">
        <v>23</v>
      </c>
      <c r="I141" s="1" t="s">
        <v>18</v>
      </c>
      <c r="J141" s="1">
        <v>4</v>
      </c>
      <c r="K141" s="1" t="s">
        <v>19</v>
      </c>
      <c r="L141" s="1" t="s">
        <v>33</v>
      </c>
      <c r="M141" s="1">
        <f>orders[[#This Row],[Ship Date]]-orders[[#This Row],[Order Date]]</f>
        <v>0</v>
      </c>
      <c r="N141" s="1">
        <f>WEEKNUM(orders[[#This Row],[Order Date]])</f>
        <v>2</v>
      </c>
      <c r="O141" s="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s="1">
        <v>837.59999999999991</v>
      </c>
      <c r="F142" s="2">
        <v>45663</v>
      </c>
      <c r="G142" s="2">
        <v>45666</v>
      </c>
      <c r="H142" s="1" t="s">
        <v>23</v>
      </c>
      <c r="I142" s="1" t="s">
        <v>18</v>
      </c>
      <c r="J142" s="1">
        <v>4</v>
      </c>
      <c r="K142" s="1" t="s">
        <v>19</v>
      </c>
      <c r="L142" s="1" t="s">
        <v>33</v>
      </c>
      <c r="M142" s="1">
        <f>orders[[#This Row],[Ship Date]]-orders[[#This Row],[Order Date]]</f>
        <v>3</v>
      </c>
      <c r="N142" s="1">
        <f>WEEKNUM(orders[[#This Row],[Order Date]])</f>
        <v>2</v>
      </c>
      <c r="O142" s="1" t="str" cm="1">
        <f t="array" ref="O142">_xlfn.IFS(orders[[#This Row],[Customer Gender]]="M","Male", orders[[#This Row],[Customer Gender]]="F","Female", orders[[#This Row],[Customer Gender]]="O","Other", TRUE,"Unknown")</f>
        <v>Male</v>
      </c>
    </row>
    <row r="143" spans="1:15" x14ac:dyDescent="0.3">
      <c r="A143" t="s">
        <v>214</v>
      </c>
      <c r="B143" t="s">
        <v>46</v>
      </c>
      <c r="C143">
        <v>1</v>
      </c>
      <c r="D143">
        <v>31.7</v>
      </c>
      <c r="E143" s="1">
        <v>31.7</v>
      </c>
      <c r="F143" s="2">
        <v>45663</v>
      </c>
      <c r="G143" s="2">
        <v>45663</v>
      </c>
      <c r="H143" s="1" t="s">
        <v>17</v>
      </c>
      <c r="I143" s="1" t="s">
        <v>18</v>
      </c>
      <c r="J143" s="1">
        <v>4</v>
      </c>
      <c r="K143" s="1" t="s">
        <v>19</v>
      </c>
      <c r="L143" s="1" t="s">
        <v>33</v>
      </c>
      <c r="M143" s="1">
        <f>orders[[#This Row],[Ship Date]]-orders[[#This Row],[Order Date]]</f>
        <v>0</v>
      </c>
      <c r="N143" s="1">
        <f>WEEKNUM(orders[[#This Row],[Order Date]])</f>
        <v>2</v>
      </c>
      <c r="O143" s="1"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s="1">
        <v>210.4</v>
      </c>
      <c r="F144" s="2">
        <v>45663</v>
      </c>
      <c r="G144" s="2">
        <v>45666</v>
      </c>
      <c r="H144" s="1" t="s">
        <v>27</v>
      </c>
      <c r="I144" s="1" t="s">
        <v>70</v>
      </c>
      <c r="J144" s="1">
        <v>2</v>
      </c>
      <c r="K144" s="1" t="s">
        <v>19</v>
      </c>
      <c r="L144" s="1" t="s">
        <v>33</v>
      </c>
      <c r="M144" s="1">
        <f>orders[[#This Row],[Ship Date]]-orders[[#This Row],[Order Date]]</f>
        <v>3</v>
      </c>
      <c r="N144" s="1">
        <f>WEEKNUM(orders[[#This Row],[Order Date]])</f>
        <v>2</v>
      </c>
      <c r="O144" s="1"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s="1">
        <v>95.6</v>
      </c>
      <c r="F145" s="2">
        <v>45663</v>
      </c>
      <c r="G145" s="2">
        <v>45664</v>
      </c>
      <c r="H145" s="1" t="s">
        <v>17</v>
      </c>
      <c r="I145" s="1" t="s">
        <v>18</v>
      </c>
      <c r="J145" s="1">
        <v>4</v>
      </c>
      <c r="K145" s="1" t="s">
        <v>19</v>
      </c>
      <c r="L145" s="1" t="s">
        <v>33</v>
      </c>
      <c r="M145" s="1">
        <f>orders[[#This Row],[Ship Date]]-orders[[#This Row],[Order Date]]</f>
        <v>1</v>
      </c>
      <c r="N145" s="1">
        <f>WEEKNUM(orders[[#This Row],[Order Date]])</f>
        <v>2</v>
      </c>
      <c r="O145" s="1"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s="1">
        <v>208.20000000000002</v>
      </c>
      <c r="F146" s="2">
        <v>45663</v>
      </c>
      <c r="G146" s="2">
        <v>45667</v>
      </c>
      <c r="H146" s="1" t="s">
        <v>27</v>
      </c>
      <c r="I146" s="1" t="s">
        <v>18</v>
      </c>
      <c r="J146" s="1">
        <v>4</v>
      </c>
      <c r="K146" s="1" t="s">
        <v>19</v>
      </c>
      <c r="L146" s="1" t="s">
        <v>33</v>
      </c>
      <c r="M146" s="1">
        <f>orders[[#This Row],[Ship Date]]-orders[[#This Row],[Order Date]]</f>
        <v>4</v>
      </c>
      <c r="N146" s="1">
        <f>WEEKNUM(orders[[#This Row],[Order Date]])</f>
        <v>2</v>
      </c>
      <c r="O146" s="1"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s="1">
        <v>309.60000000000002</v>
      </c>
      <c r="F147" s="2">
        <v>45663</v>
      </c>
      <c r="G147" s="2">
        <v>45664</v>
      </c>
      <c r="H147" s="1" t="s">
        <v>23</v>
      </c>
      <c r="I147" s="1" t="s">
        <v>70</v>
      </c>
      <c r="J147" s="1">
        <v>2</v>
      </c>
      <c r="K147" s="1" t="s">
        <v>19</v>
      </c>
      <c r="L147" s="1" t="s">
        <v>33</v>
      </c>
      <c r="M147" s="1">
        <f>orders[[#This Row],[Ship Date]]-orders[[#This Row],[Order Date]]</f>
        <v>1</v>
      </c>
      <c r="N147" s="1">
        <f>WEEKNUM(orders[[#This Row],[Order Date]])</f>
        <v>2</v>
      </c>
      <c r="O147" s="1" t="str" cm="1">
        <f t="array" ref="O147">_xlfn.IFS(orders[[#This Row],[Customer Gender]]="M","Male", orders[[#This Row],[Customer Gender]]="F","Female", orders[[#This Row],[Customer Gender]]="O","Other", TRUE,"Unknown")</f>
        <v>Male</v>
      </c>
    </row>
    <row r="148" spans="1:15" x14ac:dyDescent="0.3">
      <c r="A148" t="s">
        <v>219</v>
      </c>
      <c r="B148" t="s">
        <v>16</v>
      </c>
      <c r="C148">
        <v>4</v>
      </c>
      <c r="D148">
        <v>26.4</v>
      </c>
      <c r="E148" s="1">
        <v>105.6</v>
      </c>
      <c r="F148" s="2">
        <v>45663</v>
      </c>
      <c r="G148" s="2">
        <v>45664</v>
      </c>
      <c r="H148" s="1" t="s">
        <v>23</v>
      </c>
      <c r="I148" s="1" t="s">
        <v>35</v>
      </c>
      <c r="J148" s="1">
        <v>5</v>
      </c>
      <c r="K148" s="1" t="s">
        <v>19</v>
      </c>
      <c r="L148" s="1" t="s">
        <v>33</v>
      </c>
      <c r="M148" s="1">
        <f>orders[[#This Row],[Ship Date]]-orders[[#This Row],[Order Date]]</f>
        <v>1</v>
      </c>
      <c r="N148" s="1">
        <f>WEEKNUM(orders[[#This Row],[Order Date]])</f>
        <v>2</v>
      </c>
      <c r="O148" s="1" t="str" cm="1">
        <f t="array" ref="O148">_xlfn.IFS(orders[[#This Row],[Customer Gender]]="M","Male", orders[[#This Row],[Customer Gender]]="F","Female", orders[[#This Row],[Customer Gender]]="O","Other", TRUE,"Unknown")</f>
        <v>Male</v>
      </c>
    </row>
    <row r="149" spans="1:15" x14ac:dyDescent="0.3">
      <c r="A149" t="s">
        <v>220</v>
      </c>
      <c r="B149" t="s">
        <v>44</v>
      </c>
      <c r="C149">
        <v>4</v>
      </c>
      <c r="D149">
        <v>15.7</v>
      </c>
      <c r="E149" s="1">
        <v>62.8</v>
      </c>
      <c r="F149" s="2">
        <v>45663</v>
      </c>
      <c r="G149" s="2">
        <v>45664</v>
      </c>
      <c r="H149" s="1" t="s">
        <v>23</v>
      </c>
      <c r="I149" s="1" t="s">
        <v>40</v>
      </c>
      <c r="J149" s="1">
        <v>4</v>
      </c>
      <c r="K149" s="1" t="s">
        <v>19</v>
      </c>
      <c r="L149" s="1" t="s">
        <v>33</v>
      </c>
      <c r="M149" s="1">
        <f>orders[[#This Row],[Ship Date]]-orders[[#This Row],[Order Date]]</f>
        <v>1</v>
      </c>
      <c r="N149" s="1">
        <f>WEEKNUM(orders[[#This Row],[Order Date]])</f>
        <v>2</v>
      </c>
      <c r="O149" s="1"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s="1">
        <v>39.700000000000003</v>
      </c>
      <c r="F150" s="2">
        <v>45663</v>
      </c>
      <c r="G150" s="2">
        <v>45667</v>
      </c>
      <c r="H150" s="1" t="s">
        <v>23</v>
      </c>
      <c r="I150" s="1" t="s">
        <v>18</v>
      </c>
      <c r="J150" s="1">
        <v>4</v>
      </c>
      <c r="K150" s="1" t="s">
        <v>19</v>
      </c>
      <c r="L150" s="1" t="s">
        <v>33</v>
      </c>
      <c r="M150" s="1">
        <f>orders[[#This Row],[Ship Date]]-orders[[#This Row],[Order Date]]</f>
        <v>4</v>
      </c>
      <c r="N150" s="1">
        <f>WEEKNUM(orders[[#This Row],[Order Date]])</f>
        <v>2</v>
      </c>
      <c r="O150" s="1" t="str" cm="1">
        <f t="array" ref="O150">_xlfn.IFS(orders[[#This Row],[Customer Gender]]="M","Male", orders[[#This Row],[Customer Gender]]="F","Female", orders[[#This Row],[Customer Gender]]="O","Other", TRUE,"Unknown")</f>
        <v>Male</v>
      </c>
    </row>
    <row r="151" spans="1:15" x14ac:dyDescent="0.3">
      <c r="A151" t="s">
        <v>222</v>
      </c>
      <c r="B151" t="s">
        <v>54</v>
      </c>
      <c r="C151">
        <v>4</v>
      </c>
      <c r="D151">
        <v>31.1</v>
      </c>
      <c r="E151" s="1">
        <v>124.4</v>
      </c>
      <c r="F151" s="2">
        <v>45663</v>
      </c>
      <c r="G151" s="2">
        <v>45665</v>
      </c>
      <c r="H151" s="1" t="s">
        <v>27</v>
      </c>
      <c r="I151" s="1" t="s">
        <v>40</v>
      </c>
      <c r="J151" s="1">
        <v>3</v>
      </c>
      <c r="K151" s="1" t="s">
        <v>19</v>
      </c>
      <c r="L151" s="1" t="s">
        <v>33</v>
      </c>
      <c r="M151" s="1">
        <f>orders[[#This Row],[Ship Date]]-orders[[#This Row],[Order Date]]</f>
        <v>2</v>
      </c>
      <c r="N151" s="1">
        <f>WEEKNUM(orders[[#This Row],[Order Date]])</f>
        <v>2</v>
      </c>
      <c r="O151" s="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s="1">
        <v>351</v>
      </c>
      <c r="F152" s="2">
        <v>45663</v>
      </c>
      <c r="G152" s="2">
        <v>45672</v>
      </c>
      <c r="H152" s="1" t="s">
        <v>23</v>
      </c>
      <c r="I152" s="1" t="s">
        <v>18</v>
      </c>
      <c r="J152" s="1">
        <v>4</v>
      </c>
      <c r="K152" s="1" t="s">
        <v>19</v>
      </c>
      <c r="L152" s="1" t="s">
        <v>33</v>
      </c>
      <c r="M152" s="1">
        <f>orders[[#This Row],[Ship Date]]-orders[[#This Row],[Order Date]]</f>
        <v>9</v>
      </c>
      <c r="N152" s="1">
        <f>WEEKNUM(orders[[#This Row],[Order Date]])</f>
        <v>2</v>
      </c>
      <c r="O152" s="1" t="str" cm="1">
        <f t="array" ref="O152">_xlfn.IFS(orders[[#This Row],[Customer Gender]]="M","Male", orders[[#This Row],[Customer Gender]]="F","Female", orders[[#This Row],[Customer Gender]]="O","Other", TRUE,"Unknown")</f>
        <v>Male</v>
      </c>
    </row>
    <row r="153" spans="1:15" x14ac:dyDescent="0.3">
      <c r="A153" t="s">
        <v>224</v>
      </c>
      <c r="B153" t="s">
        <v>22</v>
      </c>
      <c r="C153">
        <v>4</v>
      </c>
      <c r="D153">
        <v>57.1</v>
      </c>
      <c r="E153" s="1">
        <v>228.4</v>
      </c>
      <c r="F153" s="2">
        <v>45664</v>
      </c>
      <c r="G153" s="2">
        <v>45665</v>
      </c>
      <c r="H153" s="1" t="s">
        <v>23</v>
      </c>
      <c r="I153" s="1" t="s">
        <v>40</v>
      </c>
      <c r="J153" s="1">
        <v>4</v>
      </c>
      <c r="K153" s="1" t="s">
        <v>19</v>
      </c>
      <c r="L153" s="1" t="s">
        <v>188</v>
      </c>
      <c r="M153" s="1">
        <f>orders[[#This Row],[Ship Date]]-orders[[#This Row],[Order Date]]</f>
        <v>1</v>
      </c>
      <c r="N153" s="1">
        <f>WEEKNUM(orders[[#This Row],[Order Date]])</f>
        <v>2</v>
      </c>
      <c r="O153" s="1" t="str" cm="1">
        <f t="array" ref="O153">_xlfn.IFS(orders[[#This Row],[Customer Gender]]="M","Male", orders[[#This Row],[Customer Gender]]="F","Female", orders[[#This Row],[Customer Gender]]="O","Other", TRUE,"Unknown")</f>
        <v>Male</v>
      </c>
    </row>
    <row r="154" spans="1:15" x14ac:dyDescent="0.3">
      <c r="A154" t="s">
        <v>225</v>
      </c>
      <c r="B154" t="s">
        <v>26</v>
      </c>
      <c r="C154">
        <v>5</v>
      </c>
      <c r="D154">
        <v>89.9</v>
      </c>
      <c r="E154" s="1">
        <v>449.5</v>
      </c>
      <c r="F154" s="2">
        <v>45664</v>
      </c>
      <c r="G154" s="2">
        <v>45664</v>
      </c>
      <c r="H154" s="1" t="s">
        <v>27</v>
      </c>
      <c r="I154" s="1" t="s">
        <v>18</v>
      </c>
      <c r="J154" s="1">
        <v>1</v>
      </c>
      <c r="K154" s="1" t="s">
        <v>19</v>
      </c>
      <c r="L154" s="1" t="s">
        <v>158</v>
      </c>
      <c r="M154" s="1">
        <f>orders[[#This Row],[Ship Date]]-orders[[#This Row],[Order Date]]</f>
        <v>0</v>
      </c>
      <c r="N154" s="1">
        <f>WEEKNUM(orders[[#This Row],[Order Date]])</f>
        <v>2</v>
      </c>
      <c r="O154" s="1"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s="1">
        <v>336.7</v>
      </c>
      <c r="F155" s="2">
        <v>45664</v>
      </c>
      <c r="G155" s="2">
        <v>45666</v>
      </c>
      <c r="H155" s="1" t="s">
        <v>27</v>
      </c>
      <c r="I155" s="1" t="s">
        <v>35</v>
      </c>
      <c r="J155" s="1">
        <v>5</v>
      </c>
      <c r="K155" s="1" t="s">
        <v>19</v>
      </c>
      <c r="L155" s="1" t="s">
        <v>55</v>
      </c>
      <c r="M155" s="1">
        <f>orders[[#This Row],[Ship Date]]-orders[[#This Row],[Order Date]]</f>
        <v>2</v>
      </c>
      <c r="N155" s="1">
        <f>WEEKNUM(orders[[#This Row],[Order Date]])</f>
        <v>2</v>
      </c>
      <c r="O155" s="1"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s="1">
        <v>58.6</v>
      </c>
      <c r="F156" s="2">
        <v>45664</v>
      </c>
      <c r="G156" s="2">
        <v>45664</v>
      </c>
      <c r="H156" s="1" t="s">
        <v>27</v>
      </c>
      <c r="I156" s="1" t="s">
        <v>35</v>
      </c>
      <c r="J156" s="1">
        <v>3</v>
      </c>
      <c r="K156" s="1" t="s">
        <v>19</v>
      </c>
      <c r="L156" s="1" t="s">
        <v>55</v>
      </c>
      <c r="M156" s="1">
        <f>orders[[#This Row],[Ship Date]]-orders[[#This Row],[Order Date]]</f>
        <v>0</v>
      </c>
      <c r="N156" s="1">
        <f>WEEKNUM(orders[[#This Row],[Order Date]])</f>
        <v>2</v>
      </c>
      <c r="O156" s="1"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s="1">
        <v>115.2</v>
      </c>
      <c r="F157" s="2">
        <v>45664</v>
      </c>
      <c r="G157" s="2">
        <v>45665</v>
      </c>
      <c r="H157" s="1" t="s">
        <v>27</v>
      </c>
      <c r="I157" s="1" t="s">
        <v>18</v>
      </c>
      <c r="J157" s="1">
        <v>2</v>
      </c>
      <c r="K157" s="1" t="s">
        <v>19</v>
      </c>
      <c r="L157" s="1" t="s">
        <v>55</v>
      </c>
      <c r="M157" s="1">
        <f>orders[[#This Row],[Ship Date]]-orders[[#This Row],[Order Date]]</f>
        <v>1</v>
      </c>
      <c r="N157" s="1">
        <f>WEEKNUM(orders[[#This Row],[Order Date]])</f>
        <v>2</v>
      </c>
      <c r="O157" s="1"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s="1">
        <v>202.5</v>
      </c>
      <c r="F158" s="2">
        <v>45664</v>
      </c>
      <c r="G158" s="2">
        <v>45668</v>
      </c>
      <c r="H158" s="1" t="s">
        <v>27</v>
      </c>
      <c r="I158" s="1" t="s">
        <v>51</v>
      </c>
      <c r="J158" s="1">
        <v>4</v>
      </c>
      <c r="K158" s="1" t="s">
        <v>19</v>
      </c>
      <c r="L158" s="1" t="s">
        <v>55</v>
      </c>
      <c r="M158" s="1">
        <f>orders[[#This Row],[Ship Date]]-orders[[#This Row],[Order Date]]</f>
        <v>4</v>
      </c>
      <c r="N158" s="1">
        <f>WEEKNUM(orders[[#This Row],[Order Date]])</f>
        <v>2</v>
      </c>
      <c r="O158" s="1"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s="1">
        <v>911.39999999999986</v>
      </c>
      <c r="F159" s="2">
        <v>45664</v>
      </c>
      <c r="G159" s="2">
        <v>45665</v>
      </c>
      <c r="H159" s="1" t="s">
        <v>27</v>
      </c>
      <c r="I159" s="1" t="s">
        <v>70</v>
      </c>
      <c r="J159" s="1">
        <v>4</v>
      </c>
      <c r="K159" s="1" t="s">
        <v>19</v>
      </c>
      <c r="L159" s="1" t="s">
        <v>59</v>
      </c>
      <c r="M159" s="1">
        <f>orders[[#This Row],[Ship Date]]-orders[[#This Row],[Order Date]]</f>
        <v>1</v>
      </c>
      <c r="N159" s="1">
        <f>WEEKNUM(orders[[#This Row],[Order Date]])</f>
        <v>2</v>
      </c>
      <c r="O159" s="1"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s="1">
        <v>161.19999999999999</v>
      </c>
      <c r="F160" s="2">
        <v>45664</v>
      </c>
      <c r="G160" s="2">
        <v>45669</v>
      </c>
      <c r="H160" s="1" t="s">
        <v>27</v>
      </c>
      <c r="I160" s="1" t="s">
        <v>40</v>
      </c>
      <c r="J160" s="1">
        <v>4</v>
      </c>
      <c r="K160" s="1" t="s">
        <v>19</v>
      </c>
      <c r="L160" s="1" t="s">
        <v>59</v>
      </c>
      <c r="M160" s="1">
        <f>orders[[#This Row],[Ship Date]]-orders[[#This Row],[Order Date]]</f>
        <v>5</v>
      </c>
      <c r="N160" s="1">
        <f>WEEKNUM(orders[[#This Row],[Order Date]])</f>
        <v>2</v>
      </c>
      <c r="O160" s="1"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s="1">
        <v>259</v>
      </c>
      <c r="F161" s="2">
        <v>45664</v>
      </c>
      <c r="G161" s="2">
        <v>45665</v>
      </c>
      <c r="H161" s="1" t="s">
        <v>23</v>
      </c>
      <c r="I161" s="1" t="s">
        <v>40</v>
      </c>
      <c r="J161" s="1">
        <v>5</v>
      </c>
      <c r="K161" s="1" t="s">
        <v>19</v>
      </c>
      <c r="L161" s="1" t="s">
        <v>62</v>
      </c>
      <c r="M161" s="1">
        <f>orders[[#This Row],[Ship Date]]-orders[[#This Row],[Order Date]]</f>
        <v>1</v>
      </c>
      <c r="N161" s="1">
        <f>WEEKNUM(orders[[#This Row],[Order Date]])</f>
        <v>2</v>
      </c>
      <c r="O161" s="1" t="str" cm="1">
        <f t="array" ref="O161">_xlfn.IFS(orders[[#This Row],[Customer Gender]]="M","Male", orders[[#This Row],[Customer Gender]]="F","Female", orders[[#This Row],[Customer Gender]]="O","Other", TRUE,"Unknown")</f>
        <v>Male</v>
      </c>
    </row>
    <row r="162" spans="1:15" x14ac:dyDescent="0.3">
      <c r="A162" t="s">
        <v>233</v>
      </c>
      <c r="B162" t="s">
        <v>39</v>
      </c>
      <c r="C162">
        <v>3</v>
      </c>
      <c r="D162">
        <v>61.3</v>
      </c>
      <c r="E162" s="1">
        <v>183.89999999999998</v>
      </c>
      <c r="F162" s="2">
        <v>45664</v>
      </c>
      <c r="G162" s="2">
        <v>45665</v>
      </c>
      <c r="H162" s="1" t="s">
        <v>27</v>
      </c>
      <c r="I162" s="1" t="s">
        <v>51</v>
      </c>
      <c r="J162" s="1">
        <v>4</v>
      </c>
      <c r="K162" s="1" t="s">
        <v>19</v>
      </c>
      <c r="L162" s="1" t="s">
        <v>62</v>
      </c>
      <c r="M162" s="1">
        <f>orders[[#This Row],[Ship Date]]-orders[[#This Row],[Order Date]]</f>
        <v>1</v>
      </c>
      <c r="N162" s="1">
        <f>WEEKNUM(orders[[#This Row],[Order Date]])</f>
        <v>2</v>
      </c>
      <c r="O162" s="1"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s="1">
        <v>490</v>
      </c>
      <c r="F163" s="2">
        <v>45664</v>
      </c>
      <c r="G163" s="2">
        <v>45665</v>
      </c>
      <c r="H163" s="1" t="s">
        <v>23</v>
      </c>
      <c r="I163" s="1" t="s">
        <v>18</v>
      </c>
      <c r="J163" s="1">
        <v>4</v>
      </c>
      <c r="K163" s="1" t="s">
        <v>19</v>
      </c>
      <c r="L163" s="1" t="s">
        <v>62</v>
      </c>
      <c r="M163" s="1">
        <f>orders[[#This Row],[Ship Date]]-orders[[#This Row],[Order Date]]</f>
        <v>1</v>
      </c>
      <c r="N163" s="1">
        <f>WEEKNUM(orders[[#This Row],[Order Date]])</f>
        <v>2</v>
      </c>
      <c r="O163" s="1" t="str" cm="1">
        <f t="array" ref="O163">_xlfn.IFS(orders[[#This Row],[Customer Gender]]="M","Male", orders[[#This Row],[Customer Gender]]="F","Female", orders[[#This Row],[Customer Gender]]="O","Other", TRUE,"Unknown")</f>
        <v>Male</v>
      </c>
    </row>
    <row r="164" spans="1:15" x14ac:dyDescent="0.3">
      <c r="A164" t="s">
        <v>235</v>
      </c>
      <c r="B164" t="s">
        <v>16</v>
      </c>
      <c r="C164">
        <v>9</v>
      </c>
      <c r="D164">
        <v>12.5</v>
      </c>
      <c r="E164" s="1">
        <v>112.5</v>
      </c>
      <c r="F164" s="2">
        <v>45664</v>
      </c>
      <c r="G164" s="2">
        <v>45665</v>
      </c>
      <c r="H164" s="1" t="s">
        <v>17</v>
      </c>
      <c r="I164" s="1" t="s">
        <v>35</v>
      </c>
      <c r="J164" s="1">
        <v>5</v>
      </c>
      <c r="K164" s="1" t="s">
        <v>19</v>
      </c>
      <c r="L164" s="1" t="s">
        <v>62</v>
      </c>
      <c r="M164" s="1">
        <f>orders[[#This Row],[Ship Date]]-orders[[#This Row],[Order Date]]</f>
        <v>1</v>
      </c>
      <c r="N164" s="1">
        <f>WEEKNUM(orders[[#This Row],[Order Date]])</f>
        <v>2</v>
      </c>
      <c r="O164" s="1"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s="1">
        <v>300</v>
      </c>
      <c r="F165" s="2">
        <v>45664</v>
      </c>
      <c r="G165" s="2">
        <v>45665</v>
      </c>
      <c r="H165" s="1" t="s">
        <v>27</v>
      </c>
      <c r="I165" s="1" t="s">
        <v>18</v>
      </c>
      <c r="J165" s="1">
        <v>4</v>
      </c>
      <c r="K165" s="1" t="s">
        <v>19</v>
      </c>
      <c r="L165" s="1" t="s">
        <v>72</v>
      </c>
      <c r="M165" s="1">
        <f>orders[[#This Row],[Ship Date]]-orders[[#This Row],[Order Date]]</f>
        <v>1</v>
      </c>
      <c r="N165" s="1">
        <f>WEEKNUM(orders[[#This Row],[Order Date]])</f>
        <v>2</v>
      </c>
      <c r="O165" s="1" t="str" cm="1">
        <f t="array" ref="O165">_xlfn.IFS(orders[[#This Row],[Customer Gender]]="M","Male", orders[[#This Row],[Customer Gender]]="F","Female", orders[[#This Row],[Customer Gender]]="O","Other", TRUE,"Unknown")</f>
        <v>Female</v>
      </c>
    </row>
    <row r="166" spans="1:15" x14ac:dyDescent="0.3">
      <c r="A166" t="s">
        <v>237</v>
      </c>
      <c r="B166" t="s">
        <v>39</v>
      </c>
      <c r="C166">
        <v>3</v>
      </c>
      <c r="D166">
        <v>40</v>
      </c>
      <c r="E166" s="1">
        <v>120</v>
      </c>
      <c r="F166" s="2">
        <v>45664</v>
      </c>
      <c r="G166" s="2">
        <v>45667</v>
      </c>
      <c r="H166" s="1" t="s">
        <v>23</v>
      </c>
      <c r="I166" s="1" t="s">
        <v>18</v>
      </c>
      <c r="J166" s="1">
        <v>2</v>
      </c>
      <c r="K166" s="1" t="s">
        <v>19</v>
      </c>
      <c r="L166" s="1" t="s">
        <v>77</v>
      </c>
      <c r="M166" s="1">
        <f>orders[[#This Row],[Ship Date]]-orders[[#This Row],[Order Date]]</f>
        <v>3</v>
      </c>
      <c r="N166" s="1">
        <f>WEEKNUM(orders[[#This Row],[Order Date]])</f>
        <v>2</v>
      </c>
      <c r="O166" s="1" t="str" cm="1">
        <f t="array" ref="O166">_xlfn.IFS(orders[[#This Row],[Customer Gender]]="M","Male", orders[[#This Row],[Customer Gender]]="F","Female", orders[[#This Row],[Customer Gender]]="O","Other", TRUE,"Unknown")</f>
        <v>Male</v>
      </c>
    </row>
    <row r="167" spans="1:15" x14ac:dyDescent="0.3">
      <c r="A167" t="s">
        <v>238</v>
      </c>
      <c r="B167" t="s">
        <v>135</v>
      </c>
      <c r="C167">
        <v>8</v>
      </c>
      <c r="D167">
        <v>38.5</v>
      </c>
      <c r="E167" s="1">
        <v>308</v>
      </c>
      <c r="F167" s="2">
        <v>45664</v>
      </c>
      <c r="G167" s="2">
        <v>45669</v>
      </c>
      <c r="H167" s="1" t="s">
        <v>27</v>
      </c>
      <c r="I167" s="1" t="s">
        <v>40</v>
      </c>
      <c r="J167" s="1">
        <v>3</v>
      </c>
      <c r="K167" s="1" t="s">
        <v>19</v>
      </c>
      <c r="L167" s="1" t="s">
        <v>77</v>
      </c>
      <c r="M167" s="1">
        <f>orders[[#This Row],[Ship Date]]-orders[[#This Row],[Order Date]]</f>
        <v>5</v>
      </c>
      <c r="N167" s="1">
        <f>WEEKNUM(orders[[#This Row],[Order Date]])</f>
        <v>2</v>
      </c>
      <c r="O167" s="1"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s="1">
        <v>172.8</v>
      </c>
      <c r="F168" s="2">
        <v>45664</v>
      </c>
      <c r="G168" s="2">
        <v>45666</v>
      </c>
      <c r="H168" s="1" t="s">
        <v>27</v>
      </c>
      <c r="I168" s="1" t="s">
        <v>18</v>
      </c>
      <c r="J168" s="1">
        <v>4</v>
      </c>
      <c r="K168" s="1" t="s">
        <v>19</v>
      </c>
      <c r="L168" s="1" t="s">
        <v>108</v>
      </c>
      <c r="M168" s="1">
        <f>orders[[#This Row],[Ship Date]]-orders[[#This Row],[Order Date]]</f>
        <v>2</v>
      </c>
      <c r="N168" s="1">
        <f>WEEKNUM(orders[[#This Row],[Order Date]])</f>
        <v>2</v>
      </c>
      <c r="O168" s="1"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s="1">
        <v>50.7</v>
      </c>
      <c r="F169" s="2">
        <v>45664</v>
      </c>
      <c r="G169" s="2">
        <v>45668</v>
      </c>
      <c r="H169" s="1" t="s">
        <v>27</v>
      </c>
      <c r="I169" s="1" t="s">
        <v>35</v>
      </c>
      <c r="J169" s="1">
        <v>4</v>
      </c>
      <c r="K169" s="1" t="s">
        <v>19</v>
      </c>
      <c r="L169" s="1" t="s">
        <v>108</v>
      </c>
      <c r="M169" s="1">
        <f>orders[[#This Row],[Ship Date]]-orders[[#This Row],[Order Date]]</f>
        <v>4</v>
      </c>
      <c r="N169" s="1">
        <f>WEEKNUM(orders[[#This Row],[Order Date]])</f>
        <v>2</v>
      </c>
      <c r="O169" s="1" t="str" cm="1">
        <f t="array" ref="O169">_xlfn.IFS(orders[[#This Row],[Customer Gender]]="M","Male", orders[[#This Row],[Customer Gender]]="F","Female", orders[[#This Row],[Customer Gender]]="O","Other", TRUE,"Unknown")</f>
        <v>Female</v>
      </c>
    </row>
    <row r="170" spans="1:15" x14ac:dyDescent="0.3">
      <c r="A170" t="s">
        <v>241</v>
      </c>
      <c r="B170" t="s">
        <v>54</v>
      </c>
      <c r="C170">
        <v>2</v>
      </c>
      <c r="D170">
        <v>61</v>
      </c>
      <c r="E170" s="1">
        <v>122</v>
      </c>
      <c r="F170" s="2">
        <v>45664</v>
      </c>
      <c r="G170" s="2">
        <v>45675</v>
      </c>
      <c r="H170" s="1" t="s">
        <v>27</v>
      </c>
      <c r="I170" s="1" t="s">
        <v>70</v>
      </c>
      <c r="J170" s="1">
        <v>3</v>
      </c>
      <c r="K170" s="1" t="s">
        <v>19</v>
      </c>
      <c r="L170" s="1" t="s">
        <v>108</v>
      </c>
      <c r="M170" s="1">
        <f>orders[[#This Row],[Ship Date]]-orders[[#This Row],[Order Date]]</f>
        <v>11</v>
      </c>
      <c r="N170" s="1">
        <f>WEEKNUM(orders[[#This Row],[Order Date]])</f>
        <v>2</v>
      </c>
      <c r="O170" s="1"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s="1">
        <v>39.799999999999997</v>
      </c>
      <c r="F171" s="2">
        <v>45664</v>
      </c>
      <c r="G171" s="2">
        <v>45667</v>
      </c>
      <c r="H171" s="1" t="s">
        <v>27</v>
      </c>
      <c r="I171" s="1" t="s">
        <v>35</v>
      </c>
      <c r="J171" s="1">
        <v>4</v>
      </c>
      <c r="K171" s="1" t="s">
        <v>19</v>
      </c>
      <c r="L171" s="1" t="s">
        <v>243</v>
      </c>
      <c r="M171" s="1">
        <f>orders[[#This Row],[Ship Date]]-orders[[#This Row],[Order Date]]</f>
        <v>3</v>
      </c>
      <c r="N171" s="1">
        <f>WEEKNUM(orders[[#This Row],[Order Date]])</f>
        <v>2</v>
      </c>
      <c r="O171" s="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s="1">
        <v>78.3</v>
      </c>
      <c r="F172" s="2">
        <v>45664</v>
      </c>
      <c r="G172" s="2">
        <v>45664</v>
      </c>
      <c r="H172" s="1" t="s">
        <v>27</v>
      </c>
      <c r="I172" s="1" t="s">
        <v>18</v>
      </c>
      <c r="J172" s="1">
        <v>5</v>
      </c>
      <c r="K172" s="1" t="s">
        <v>19</v>
      </c>
      <c r="L172" s="1" t="s">
        <v>24</v>
      </c>
      <c r="M172" s="1">
        <f>orders[[#This Row],[Ship Date]]-orders[[#This Row],[Order Date]]</f>
        <v>0</v>
      </c>
      <c r="N172" s="1">
        <f>WEEKNUM(orders[[#This Row],[Order Date]])</f>
        <v>2</v>
      </c>
      <c r="O172" s="1"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s="1">
        <v>197.6</v>
      </c>
      <c r="F173" s="2">
        <v>45664</v>
      </c>
      <c r="G173" s="2">
        <v>45666</v>
      </c>
      <c r="H173" s="1" t="s">
        <v>23</v>
      </c>
      <c r="I173" s="1" t="s">
        <v>18</v>
      </c>
      <c r="J173" s="1">
        <v>5</v>
      </c>
      <c r="K173" s="1" t="s">
        <v>19</v>
      </c>
      <c r="L173" s="1" t="s">
        <v>28</v>
      </c>
      <c r="M173" s="1">
        <f>orders[[#This Row],[Ship Date]]-orders[[#This Row],[Order Date]]</f>
        <v>2</v>
      </c>
      <c r="N173" s="1">
        <f>WEEKNUM(orders[[#This Row],[Order Date]])</f>
        <v>2</v>
      </c>
      <c r="O173" s="1" t="str" cm="1">
        <f t="array" ref="O173">_xlfn.IFS(orders[[#This Row],[Customer Gender]]="M","Male", orders[[#This Row],[Customer Gender]]="F","Female", orders[[#This Row],[Customer Gender]]="O","Other", TRUE,"Unknown")</f>
        <v>Male</v>
      </c>
    </row>
    <row r="174" spans="1:15" x14ac:dyDescent="0.3">
      <c r="A174" t="s">
        <v>246</v>
      </c>
      <c r="B174" t="s">
        <v>54</v>
      </c>
      <c r="C174">
        <v>1</v>
      </c>
      <c r="D174">
        <v>36.1</v>
      </c>
      <c r="E174" s="1">
        <v>36.1</v>
      </c>
      <c r="F174" s="2">
        <v>45664</v>
      </c>
      <c r="G174" s="2">
        <v>45667</v>
      </c>
      <c r="H174" s="1" t="s">
        <v>23</v>
      </c>
      <c r="I174" s="1" t="s">
        <v>51</v>
      </c>
      <c r="J174" s="1">
        <v>5</v>
      </c>
      <c r="K174" s="1" t="s">
        <v>19</v>
      </c>
      <c r="L174" s="1" t="s">
        <v>33</v>
      </c>
      <c r="M174" s="1">
        <f>orders[[#This Row],[Ship Date]]-orders[[#This Row],[Order Date]]</f>
        <v>3</v>
      </c>
      <c r="N174" s="1">
        <f>WEEKNUM(orders[[#This Row],[Order Date]])</f>
        <v>2</v>
      </c>
      <c r="O174" s="1" t="str" cm="1">
        <f t="array" ref="O174">_xlfn.IFS(orders[[#This Row],[Customer Gender]]="M","Male", orders[[#This Row],[Customer Gender]]="F","Female", orders[[#This Row],[Customer Gender]]="O","Other", TRUE,"Unknown")</f>
        <v>Male</v>
      </c>
    </row>
    <row r="175" spans="1:15" x14ac:dyDescent="0.3">
      <c r="A175" t="s">
        <v>247</v>
      </c>
      <c r="B175" t="s">
        <v>81</v>
      </c>
      <c r="C175">
        <v>2</v>
      </c>
      <c r="D175">
        <v>17.3</v>
      </c>
      <c r="E175" s="1">
        <v>34.6</v>
      </c>
      <c r="F175" s="2">
        <v>45664</v>
      </c>
      <c r="G175" s="2">
        <v>45666</v>
      </c>
      <c r="H175" s="1" t="s">
        <v>27</v>
      </c>
      <c r="I175" s="1" t="s">
        <v>35</v>
      </c>
      <c r="J175" s="1">
        <v>5</v>
      </c>
      <c r="K175" s="1" t="s">
        <v>19</v>
      </c>
      <c r="L175" s="1" t="s">
        <v>33</v>
      </c>
      <c r="M175" s="1">
        <f>orders[[#This Row],[Ship Date]]-orders[[#This Row],[Order Date]]</f>
        <v>2</v>
      </c>
      <c r="N175" s="1">
        <f>WEEKNUM(orders[[#This Row],[Order Date]])</f>
        <v>2</v>
      </c>
      <c r="O175" s="1"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s="1">
        <v>61</v>
      </c>
      <c r="F176" s="2">
        <v>45664</v>
      </c>
      <c r="G176" s="2">
        <v>45665</v>
      </c>
      <c r="H176" s="1" t="s">
        <v>27</v>
      </c>
      <c r="I176" s="1" t="s">
        <v>35</v>
      </c>
      <c r="J176" s="1">
        <v>5</v>
      </c>
      <c r="K176" s="1" t="s">
        <v>19</v>
      </c>
      <c r="L176" s="1" t="s">
        <v>33</v>
      </c>
      <c r="M176" s="1">
        <f>orders[[#This Row],[Ship Date]]-orders[[#This Row],[Order Date]]</f>
        <v>1</v>
      </c>
      <c r="N176" s="1">
        <f>WEEKNUM(orders[[#This Row],[Order Date]])</f>
        <v>2</v>
      </c>
      <c r="O176" s="1"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s="1">
        <v>4346.2</v>
      </c>
      <c r="F177" s="2">
        <v>45664</v>
      </c>
      <c r="G177" s="2">
        <v>45664</v>
      </c>
      <c r="H177" s="1" t="s">
        <v>27</v>
      </c>
      <c r="I177" s="1" t="s">
        <v>40</v>
      </c>
      <c r="J177" s="1">
        <v>4</v>
      </c>
      <c r="K177" s="1" t="s">
        <v>19</v>
      </c>
      <c r="L177" s="1" t="s">
        <v>33</v>
      </c>
      <c r="M177" s="1">
        <f>orders[[#This Row],[Ship Date]]-orders[[#This Row],[Order Date]]</f>
        <v>0</v>
      </c>
      <c r="N177" s="1">
        <f>WEEKNUM(orders[[#This Row],[Order Date]])</f>
        <v>2</v>
      </c>
      <c r="O177" s="1"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s="1">
        <v>76.099999999999994</v>
      </c>
      <c r="F178" s="2">
        <v>45664</v>
      </c>
      <c r="G178" s="2">
        <v>45664</v>
      </c>
      <c r="H178" s="1" t="s">
        <v>27</v>
      </c>
      <c r="I178" s="1" t="s">
        <v>40</v>
      </c>
      <c r="J178" s="1">
        <v>3</v>
      </c>
      <c r="K178" s="1" t="s">
        <v>19</v>
      </c>
      <c r="L178" s="1" t="s">
        <v>33</v>
      </c>
      <c r="M178" s="1">
        <f>orders[[#This Row],[Ship Date]]-orders[[#This Row],[Order Date]]</f>
        <v>0</v>
      </c>
      <c r="N178" s="1">
        <f>WEEKNUM(orders[[#This Row],[Order Date]])</f>
        <v>2</v>
      </c>
      <c r="O178" s="1"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s="1">
        <v>444.6</v>
      </c>
      <c r="F179" s="2">
        <v>45664</v>
      </c>
      <c r="G179" s="2">
        <v>45665</v>
      </c>
      <c r="H179" s="1" t="s">
        <v>23</v>
      </c>
      <c r="I179" s="1" t="s">
        <v>18</v>
      </c>
      <c r="J179" s="1">
        <v>4</v>
      </c>
      <c r="K179" s="1" t="s">
        <v>19</v>
      </c>
      <c r="L179" s="1" t="s">
        <v>33</v>
      </c>
      <c r="M179" s="1">
        <f>orders[[#This Row],[Ship Date]]-orders[[#This Row],[Order Date]]</f>
        <v>1</v>
      </c>
      <c r="N179" s="1">
        <f>WEEKNUM(orders[[#This Row],[Order Date]])</f>
        <v>2</v>
      </c>
      <c r="O179" s="1" t="str" cm="1">
        <f t="array" ref="O179">_xlfn.IFS(orders[[#This Row],[Customer Gender]]="M","Male", orders[[#This Row],[Customer Gender]]="F","Female", orders[[#This Row],[Customer Gender]]="O","Other", TRUE,"Unknown")</f>
        <v>Male</v>
      </c>
    </row>
    <row r="180" spans="1:15" x14ac:dyDescent="0.3">
      <c r="A180" t="s">
        <v>252</v>
      </c>
      <c r="B180" t="s">
        <v>44</v>
      </c>
      <c r="C180">
        <v>5</v>
      </c>
      <c r="D180">
        <v>30.3</v>
      </c>
      <c r="E180" s="1">
        <v>151.5</v>
      </c>
      <c r="F180" s="2">
        <v>45664</v>
      </c>
      <c r="G180" s="2">
        <v>45669</v>
      </c>
      <c r="H180" s="1" t="s">
        <v>27</v>
      </c>
      <c r="I180" s="1" t="s">
        <v>70</v>
      </c>
      <c r="J180" s="1">
        <v>4</v>
      </c>
      <c r="K180" s="1" t="s">
        <v>19</v>
      </c>
      <c r="L180" s="1" t="s">
        <v>33</v>
      </c>
      <c r="M180" s="1">
        <f>orders[[#This Row],[Ship Date]]-orders[[#This Row],[Order Date]]</f>
        <v>5</v>
      </c>
      <c r="N180" s="1">
        <f>WEEKNUM(orders[[#This Row],[Order Date]])</f>
        <v>2</v>
      </c>
      <c r="O180" s="1"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s="1">
        <v>262.5</v>
      </c>
      <c r="F181" s="2">
        <v>45664</v>
      </c>
      <c r="G181" s="2">
        <v>45668</v>
      </c>
      <c r="H181" s="1" t="s">
        <v>17</v>
      </c>
      <c r="I181" s="1" t="s">
        <v>51</v>
      </c>
      <c r="J181" s="1">
        <v>4</v>
      </c>
      <c r="K181" s="1" t="s">
        <v>19</v>
      </c>
      <c r="L181" s="1" t="s">
        <v>33</v>
      </c>
      <c r="M181" s="1">
        <f>orders[[#This Row],[Ship Date]]-orders[[#This Row],[Order Date]]</f>
        <v>4</v>
      </c>
      <c r="N181" s="1">
        <f>WEEKNUM(orders[[#This Row],[Order Date]])</f>
        <v>2</v>
      </c>
      <c r="O181" s="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s="1">
        <v>315.7</v>
      </c>
      <c r="F182" s="2">
        <v>45664</v>
      </c>
      <c r="G182" s="2">
        <v>45665</v>
      </c>
      <c r="H182" s="1" t="s">
        <v>27</v>
      </c>
      <c r="I182" s="1" t="s">
        <v>40</v>
      </c>
      <c r="J182" s="1">
        <v>4</v>
      </c>
      <c r="K182" s="1" t="s">
        <v>19</v>
      </c>
      <c r="L182" s="1" t="s">
        <v>33</v>
      </c>
      <c r="M182" s="1">
        <f>orders[[#This Row],[Ship Date]]-orders[[#This Row],[Order Date]]</f>
        <v>1</v>
      </c>
      <c r="N182" s="1">
        <f>WEEKNUM(orders[[#This Row],[Order Date]])</f>
        <v>2</v>
      </c>
      <c r="O182" s="1" t="str" cm="1">
        <f t="array" ref="O182">_xlfn.IFS(orders[[#This Row],[Customer Gender]]="M","Male", orders[[#This Row],[Customer Gender]]="F","Female", orders[[#This Row],[Customer Gender]]="O","Other", TRUE,"Unknown")</f>
        <v>Female</v>
      </c>
    </row>
    <row r="183" spans="1:15" x14ac:dyDescent="0.3">
      <c r="A183" t="s">
        <v>255</v>
      </c>
      <c r="B183" t="s">
        <v>42</v>
      </c>
      <c r="C183">
        <v>7</v>
      </c>
      <c r="D183">
        <v>52</v>
      </c>
      <c r="E183" s="1">
        <v>364</v>
      </c>
      <c r="F183" s="2">
        <v>45664</v>
      </c>
      <c r="G183" s="2">
        <v>45665</v>
      </c>
      <c r="H183" s="1" t="s">
        <v>23</v>
      </c>
      <c r="I183" s="1" t="s">
        <v>35</v>
      </c>
      <c r="J183" s="1">
        <v>2</v>
      </c>
      <c r="K183" s="1" t="s">
        <v>19</v>
      </c>
      <c r="L183" s="1" t="s">
        <v>33</v>
      </c>
      <c r="M183" s="1">
        <f>orders[[#This Row],[Ship Date]]-orders[[#This Row],[Order Date]]</f>
        <v>1</v>
      </c>
      <c r="N183" s="1">
        <f>WEEKNUM(orders[[#This Row],[Order Date]])</f>
        <v>2</v>
      </c>
      <c r="O183" s="1" t="str" cm="1">
        <f t="array" ref="O183">_xlfn.IFS(orders[[#This Row],[Customer Gender]]="M","Male", orders[[#This Row],[Customer Gender]]="F","Female", orders[[#This Row],[Customer Gender]]="O","Other", TRUE,"Unknown")</f>
        <v>Male</v>
      </c>
    </row>
    <row r="184" spans="1:15" x14ac:dyDescent="0.3">
      <c r="A184" t="s">
        <v>256</v>
      </c>
      <c r="B184" t="s">
        <v>16</v>
      </c>
      <c r="C184">
        <v>1</v>
      </c>
      <c r="D184">
        <v>13.3</v>
      </c>
      <c r="E184" s="1">
        <v>13.3</v>
      </c>
      <c r="F184" s="2">
        <v>45665</v>
      </c>
      <c r="G184" s="2">
        <v>45669</v>
      </c>
      <c r="H184" s="1" t="s">
        <v>27</v>
      </c>
      <c r="I184" s="1" t="s">
        <v>40</v>
      </c>
      <c r="J184" s="1">
        <v>3</v>
      </c>
      <c r="K184" s="1" t="s">
        <v>19</v>
      </c>
      <c r="L184" s="1" t="s">
        <v>33</v>
      </c>
      <c r="M184" s="1">
        <f>orders[[#This Row],[Ship Date]]-orders[[#This Row],[Order Date]]</f>
        <v>4</v>
      </c>
      <c r="N184" s="1">
        <f>WEEKNUM(orders[[#This Row],[Order Date]])</f>
        <v>2</v>
      </c>
      <c r="O184" s="1"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s="1">
        <v>47.099999999999994</v>
      </c>
      <c r="F185" s="2">
        <v>45665</v>
      </c>
      <c r="G185" s="2">
        <v>45666</v>
      </c>
      <c r="H185" s="1" t="s">
        <v>27</v>
      </c>
      <c r="I185" s="1" t="s">
        <v>35</v>
      </c>
      <c r="J185" s="1">
        <v>4</v>
      </c>
      <c r="K185" s="1" t="s">
        <v>19</v>
      </c>
      <c r="L185" s="1" t="s">
        <v>258</v>
      </c>
      <c r="M185" s="1">
        <f>orders[[#This Row],[Ship Date]]-orders[[#This Row],[Order Date]]</f>
        <v>1</v>
      </c>
      <c r="N185" s="1">
        <f>WEEKNUM(orders[[#This Row],[Order Date]])</f>
        <v>2</v>
      </c>
      <c r="O185" s="1"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s="1">
        <v>51.2</v>
      </c>
      <c r="F186" s="2">
        <v>45665</v>
      </c>
      <c r="G186" s="2">
        <v>45666</v>
      </c>
      <c r="H186" s="1" t="s">
        <v>23</v>
      </c>
      <c r="I186" s="1" t="s">
        <v>18</v>
      </c>
      <c r="J186" s="1">
        <v>5</v>
      </c>
      <c r="K186" s="1" t="s">
        <v>19</v>
      </c>
      <c r="L186" s="1" t="s">
        <v>158</v>
      </c>
      <c r="M186" s="1">
        <f>orders[[#This Row],[Ship Date]]-orders[[#This Row],[Order Date]]</f>
        <v>1</v>
      </c>
      <c r="N186" s="1">
        <f>WEEKNUM(orders[[#This Row],[Order Date]])</f>
        <v>2</v>
      </c>
      <c r="O186" s="1" t="str" cm="1">
        <f t="array" ref="O186">_xlfn.IFS(orders[[#This Row],[Customer Gender]]="M","Male", orders[[#This Row],[Customer Gender]]="F","Female", orders[[#This Row],[Customer Gender]]="O","Other", TRUE,"Unknown")</f>
        <v>Male</v>
      </c>
    </row>
    <row r="187" spans="1:15" x14ac:dyDescent="0.3">
      <c r="A187" t="s">
        <v>260</v>
      </c>
      <c r="B187" t="s">
        <v>44</v>
      </c>
      <c r="C187">
        <v>1</v>
      </c>
      <c r="D187">
        <v>43.4</v>
      </c>
      <c r="E187" s="1">
        <v>43.4</v>
      </c>
      <c r="F187" s="2">
        <v>45665</v>
      </c>
      <c r="G187" s="2">
        <v>45670</v>
      </c>
      <c r="H187" s="1" t="s">
        <v>23</v>
      </c>
      <c r="I187" s="1" t="s">
        <v>18</v>
      </c>
      <c r="J187" s="1">
        <v>4</v>
      </c>
      <c r="K187" s="1" t="s">
        <v>19</v>
      </c>
      <c r="L187" s="1" t="s">
        <v>55</v>
      </c>
      <c r="M187" s="1">
        <f>orders[[#This Row],[Ship Date]]-orders[[#This Row],[Order Date]]</f>
        <v>5</v>
      </c>
      <c r="N187" s="1">
        <f>WEEKNUM(orders[[#This Row],[Order Date]])</f>
        <v>2</v>
      </c>
      <c r="O187" s="1" t="str" cm="1">
        <f t="array" ref="O187">_xlfn.IFS(orders[[#This Row],[Customer Gender]]="M","Male", orders[[#This Row],[Customer Gender]]="F","Female", orders[[#This Row],[Customer Gender]]="O","Other", TRUE,"Unknown")</f>
        <v>Male</v>
      </c>
    </row>
    <row r="188" spans="1:15" x14ac:dyDescent="0.3">
      <c r="A188" t="s">
        <v>261</v>
      </c>
      <c r="B188" t="s">
        <v>67</v>
      </c>
      <c r="C188">
        <v>9</v>
      </c>
      <c r="D188">
        <v>33.4</v>
      </c>
      <c r="E188" s="1">
        <v>300.59999999999997</v>
      </c>
      <c r="F188" s="2">
        <v>45665</v>
      </c>
      <c r="G188" s="2">
        <v>45665</v>
      </c>
      <c r="H188" s="1" t="s">
        <v>27</v>
      </c>
      <c r="I188" s="1" t="s">
        <v>18</v>
      </c>
      <c r="J188" s="1">
        <v>4</v>
      </c>
      <c r="K188" s="1" t="s">
        <v>19</v>
      </c>
      <c r="L188" s="1" t="s">
        <v>62</v>
      </c>
      <c r="M188" s="1">
        <f>orders[[#This Row],[Ship Date]]-orders[[#This Row],[Order Date]]</f>
        <v>0</v>
      </c>
      <c r="N188" s="1">
        <f>WEEKNUM(orders[[#This Row],[Order Date]])</f>
        <v>2</v>
      </c>
      <c r="O188" s="1"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s="1">
        <v>1045</v>
      </c>
      <c r="F189" s="2">
        <v>45665</v>
      </c>
      <c r="G189" s="2">
        <v>45666</v>
      </c>
      <c r="H189" s="1" t="s">
        <v>27</v>
      </c>
      <c r="I189" s="1" t="s">
        <v>35</v>
      </c>
      <c r="J189" s="1">
        <v>5</v>
      </c>
      <c r="K189" s="1" t="s">
        <v>19</v>
      </c>
      <c r="L189" s="1" t="s">
        <v>62</v>
      </c>
      <c r="M189" s="1">
        <f>orders[[#This Row],[Ship Date]]-orders[[#This Row],[Order Date]]</f>
        <v>1</v>
      </c>
      <c r="N189" s="1">
        <f>WEEKNUM(orders[[#This Row],[Order Date]])</f>
        <v>2</v>
      </c>
      <c r="O189" s="1"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s="1">
        <v>70.800000000000011</v>
      </c>
      <c r="F190" s="2">
        <v>45665</v>
      </c>
      <c r="G190" s="2">
        <v>45666</v>
      </c>
      <c r="H190" s="1" t="s">
        <v>23</v>
      </c>
      <c r="I190" s="1" t="s">
        <v>18</v>
      </c>
      <c r="J190" s="1">
        <v>5</v>
      </c>
      <c r="K190" s="1" t="s">
        <v>19</v>
      </c>
      <c r="L190" s="1" t="s">
        <v>62</v>
      </c>
      <c r="M190" s="1">
        <f>orders[[#This Row],[Ship Date]]-orders[[#This Row],[Order Date]]</f>
        <v>1</v>
      </c>
      <c r="N190" s="1">
        <f>WEEKNUM(orders[[#This Row],[Order Date]])</f>
        <v>2</v>
      </c>
      <c r="O190" s="1" t="str" cm="1">
        <f t="array" ref="O190">_xlfn.IFS(orders[[#This Row],[Customer Gender]]="M","Male", orders[[#This Row],[Customer Gender]]="F","Female", orders[[#This Row],[Customer Gender]]="O","Other", TRUE,"Unknown")</f>
        <v>Male</v>
      </c>
    </row>
    <row r="191" spans="1:15" x14ac:dyDescent="0.3">
      <c r="A191" t="s">
        <v>264</v>
      </c>
      <c r="B191" t="s">
        <v>69</v>
      </c>
      <c r="C191">
        <v>9</v>
      </c>
      <c r="D191">
        <v>104</v>
      </c>
      <c r="E191" s="1">
        <v>936</v>
      </c>
      <c r="F191" s="2">
        <v>45665</v>
      </c>
      <c r="G191" s="2">
        <v>45667</v>
      </c>
      <c r="H191" s="1" t="s">
        <v>27</v>
      </c>
      <c r="I191" s="1" t="s">
        <v>40</v>
      </c>
      <c r="J191" s="1">
        <v>5</v>
      </c>
      <c r="K191" s="1" t="s">
        <v>19</v>
      </c>
      <c r="L191" s="1" t="s">
        <v>103</v>
      </c>
      <c r="M191" s="1">
        <f>orders[[#This Row],[Ship Date]]-orders[[#This Row],[Order Date]]</f>
        <v>2</v>
      </c>
      <c r="N191" s="1">
        <f>WEEKNUM(orders[[#This Row],[Order Date]])</f>
        <v>2</v>
      </c>
      <c r="O191" s="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s="1">
        <v>103.6</v>
      </c>
      <c r="F192" s="2">
        <v>45665</v>
      </c>
      <c r="G192" s="2">
        <v>45669</v>
      </c>
      <c r="H192" s="1" t="s">
        <v>17</v>
      </c>
      <c r="I192" s="1" t="s">
        <v>18</v>
      </c>
      <c r="J192" s="1">
        <v>5</v>
      </c>
      <c r="K192" s="1" t="s">
        <v>19</v>
      </c>
      <c r="L192" s="1" t="s">
        <v>74</v>
      </c>
      <c r="M192" s="1">
        <f>orders[[#This Row],[Ship Date]]-orders[[#This Row],[Order Date]]</f>
        <v>4</v>
      </c>
      <c r="N192" s="1">
        <f>WEEKNUM(orders[[#This Row],[Order Date]])</f>
        <v>2</v>
      </c>
      <c r="O192" s="1"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s="1">
        <v>172.5</v>
      </c>
      <c r="F193" s="2">
        <v>45665</v>
      </c>
      <c r="G193" s="2">
        <v>45667</v>
      </c>
      <c r="H193" s="1" t="s">
        <v>17</v>
      </c>
      <c r="I193" s="1" t="s">
        <v>40</v>
      </c>
      <c r="J193" s="1">
        <v>5</v>
      </c>
      <c r="K193" s="1" t="s">
        <v>19</v>
      </c>
      <c r="L193" s="1" t="s">
        <v>77</v>
      </c>
      <c r="M193" s="1">
        <f>orders[[#This Row],[Ship Date]]-orders[[#This Row],[Order Date]]</f>
        <v>2</v>
      </c>
      <c r="N193" s="1">
        <f>WEEKNUM(orders[[#This Row],[Order Date]])</f>
        <v>2</v>
      </c>
      <c r="O193" s="1"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s="1">
        <v>103.6</v>
      </c>
      <c r="F194" s="2">
        <v>45665</v>
      </c>
      <c r="G194" s="2">
        <v>45667</v>
      </c>
      <c r="H194" s="1" t="s">
        <v>23</v>
      </c>
      <c r="I194" s="1" t="s">
        <v>35</v>
      </c>
      <c r="J194" s="1">
        <v>5</v>
      </c>
      <c r="K194" s="1" t="s">
        <v>19</v>
      </c>
      <c r="L194" s="1" t="s">
        <v>268</v>
      </c>
      <c r="M194" s="1">
        <f>orders[[#This Row],[Ship Date]]-orders[[#This Row],[Order Date]]</f>
        <v>2</v>
      </c>
      <c r="N194" s="1">
        <f>WEEKNUM(orders[[#This Row],[Order Date]])</f>
        <v>2</v>
      </c>
      <c r="O194" s="1"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s="1">
        <v>5654.5</v>
      </c>
      <c r="F195" s="2">
        <v>45665</v>
      </c>
      <c r="G195" s="2">
        <v>45666</v>
      </c>
      <c r="H195" s="1" t="s">
        <v>27</v>
      </c>
      <c r="I195" s="1" t="s">
        <v>18</v>
      </c>
      <c r="J195" s="1">
        <v>5</v>
      </c>
      <c r="K195" s="1" t="s">
        <v>19</v>
      </c>
      <c r="L195" s="1" t="s">
        <v>108</v>
      </c>
      <c r="M195" s="1">
        <f>orders[[#This Row],[Ship Date]]-orders[[#This Row],[Order Date]]</f>
        <v>1</v>
      </c>
      <c r="N195" s="1">
        <f>WEEKNUM(orders[[#This Row],[Order Date]])</f>
        <v>2</v>
      </c>
      <c r="O195" s="1"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s="1">
        <v>334.59999999999997</v>
      </c>
      <c r="F196" s="2">
        <v>45665</v>
      </c>
      <c r="G196" s="2">
        <v>45665</v>
      </c>
      <c r="H196" s="1" t="s">
        <v>27</v>
      </c>
      <c r="I196" s="1" t="s">
        <v>18</v>
      </c>
      <c r="J196" s="1">
        <v>4</v>
      </c>
      <c r="K196" s="1" t="s">
        <v>19</v>
      </c>
      <c r="L196" s="1" t="s">
        <v>110</v>
      </c>
      <c r="M196" s="1">
        <f>orders[[#This Row],[Ship Date]]-orders[[#This Row],[Order Date]]</f>
        <v>0</v>
      </c>
      <c r="N196" s="1">
        <f>WEEKNUM(orders[[#This Row],[Order Date]])</f>
        <v>2</v>
      </c>
      <c r="O196" s="1"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s="1">
        <v>20.399999999999999</v>
      </c>
      <c r="F197" s="2">
        <v>45665</v>
      </c>
      <c r="G197" s="2">
        <v>45667</v>
      </c>
      <c r="H197" s="1" t="s">
        <v>27</v>
      </c>
      <c r="I197" s="1" t="s">
        <v>18</v>
      </c>
      <c r="J197" s="1">
        <v>4</v>
      </c>
      <c r="K197" s="1" t="s">
        <v>19</v>
      </c>
      <c r="L197" s="1" t="s">
        <v>110</v>
      </c>
      <c r="M197" s="1">
        <f>orders[[#This Row],[Ship Date]]-orders[[#This Row],[Order Date]]</f>
        <v>2</v>
      </c>
      <c r="N197" s="1">
        <f>WEEKNUM(orders[[#This Row],[Order Date]])</f>
        <v>2</v>
      </c>
      <c r="O197" s="1" t="str" cm="1">
        <f t="array" ref="O197">_xlfn.IFS(orders[[#This Row],[Customer Gender]]="M","Male", orders[[#This Row],[Customer Gender]]="F","Female", orders[[#This Row],[Customer Gender]]="O","Other", TRUE,"Unknown")</f>
        <v>Female</v>
      </c>
    </row>
    <row r="198" spans="1:15" x14ac:dyDescent="0.3">
      <c r="A198" t="s">
        <v>272</v>
      </c>
      <c r="B198" t="s">
        <v>44</v>
      </c>
      <c r="C198">
        <v>8</v>
      </c>
      <c r="D198">
        <v>41</v>
      </c>
      <c r="E198" s="1">
        <v>328</v>
      </c>
      <c r="F198" s="2">
        <v>45665</v>
      </c>
      <c r="G198" s="2">
        <v>45665</v>
      </c>
      <c r="H198" s="1" t="s">
        <v>27</v>
      </c>
      <c r="I198" s="1" t="s">
        <v>35</v>
      </c>
      <c r="J198" s="1">
        <v>5</v>
      </c>
      <c r="K198" s="1" t="s">
        <v>19</v>
      </c>
      <c r="L198" s="1" t="s">
        <v>110</v>
      </c>
      <c r="M198" s="1">
        <f>orders[[#This Row],[Ship Date]]-orders[[#This Row],[Order Date]]</f>
        <v>0</v>
      </c>
      <c r="N198" s="1">
        <f>WEEKNUM(orders[[#This Row],[Order Date]])</f>
        <v>2</v>
      </c>
      <c r="O198" s="1"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s="1">
        <v>355.59999999999997</v>
      </c>
      <c r="F199" s="2">
        <v>45665</v>
      </c>
      <c r="G199" s="2">
        <v>45668</v>
      </c>
      <c r="H199" s="1" t="s">
        <v>27</v>
      </c>
      <c r="I199" s="1" t="s">
        <v>35</v>
      </c>
      <c r="J199" s="1">
        <v>4</v>
      </c>
      <c r="K199" s="1" t="s">
        <v>19</v>
      </c>
      <c r="L199" s="1" t="s">
        <v>115</v>
      </c>
      <c r="M199" s="1">
        <f>orders[[#This Row],[Ship Date]]-orders[[#This Row],[Order Date]]</f>
        <v>3</v>
      </c>
      <c r="N199" s="1">
        <f>WEEKNUM(orders[[#This Row],[Order Date]])</f>
        <v>2</v>
      </c>
      <c r="O199" s="1"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s="1">
        <v>118.80000000000001</v>
      </c>
      <c r="F200" s="2">
        <v>45665</v>
      </c>
      <c r="G200" s="2">
        <v>45666</v>
      </c>
      <c r="H200" s="1" t="s">
        <v>23</v>
      </c>
      <c r="I200" s="1" t="s">
        <v>40</v>
      </c>
      <c r="J200" s="1">
        <v>5</v>
      </c>
      <c r="K200" s="1" t="s">
        <v>19</v>
      </c>
      <c r="L200" s="1" t="s">
        <v>24</v>
      </c>
      <c r="M200" s="1">
        <f>orders[[#This Row],[Ship Date]]-orders[[#This Row],[Order Date]]</f>
        <v>1</v>
      </c>
      <c r="N200" s="1">
        <f>WEEKNUM(orders[[#This Row],[Order Date]])</f>
        <v>2</v>
      </c>
      <c r="O200" s="1" t="str" cm="1">
        <f t="array" ref="O200">_xlfn.IFS(orders[[#This Row],[Customer Gender]]="M","Male", orders[[#This Row],[Customer Gender]]="F","Female", orders[[#This Row],[Customer Gender]]="O","Other", TRUE,"Unknown")</f>
        <v>Male</v>
      </c>
    </row>
    <row r="201" spans="1:15" x14ac:dyDescent="0.3">
      <c r="A201" t="s">
        <v>275</v>
      </c>
      <c r="B201" t="s">
        <v>37</v>
      </c>
      <c r="C201">
        <v>2</v>
      </c>
      <c r="D201">
        <v>69.5</v>
      </c>
      <c r="E201" s="1">
        <v>139</v>
      </c>
      <c r="F201" s="2">
        <v>45665</v>
      </c>
      <c r="G201" s="2">
        <v>45667</v>
      </c>
      <c r="H201" s="1" t="s">
        <v>23</v>
      </c>
      <c r="I201" s="1" t="s">
        <v>18</v>
      </c>
      <c r="J201" s="1">
        <v>5</v>
      </c>
      <c r="K201" s="1" t="s">
        <v>19</v>
      </c>
      <c r="L201" s="1" t="s">
        <v>28</v>
      </c>
      <c r="M201" s="1">
        <f>orders[[#This Row],[Ship Date]]-orders[[#This Row],[Order Date]]</f>
        <v>2</v>
      </c>
      <c r="N201" s="1">
        <f>WEEKNUM(orders[[#This Row],[Order Date]])</f>
        <v>2</v>
      </c>
      <c r="O201" s="1" t="str" cm="1">
        <f t="array" ref="O201">_xlfn.IFS(orders[[#This Row],[Customer Gender]]="M","Male", orders[[#This Row],[Customer Gender]]="F","Female", orders[[#This Row],[Customer Gender]]="O","Other", TRUE,"Unknown")</f>
        <v>Male</v>
      </c>
    </row>
    <row r="202" spans="1:15" x14ac:dyDescent="0.3">
      <c r="A202" t="s">
        <v>276</v>
      </c>
      <c r="B202" t="s">
        <v>44</v>
      </c>
      <c r="C202">
        <v>8</v>
      </c>
      <c r="D202">
        <v>32.6</v>
      </c>
      <c r="E202" s="1">
        <v>260.8</v>
      </c>
      <c r="F202" s="2">
        <v>45665</v>
      </c>
      <c r="G202" s="2">
        <v>45668</v>
      </c>
      <c r="H202" s="1" t="s">
        <v>23</v>
      </c>
      <c r="I202" s="1" t="s">
        <v>35</v>
      </c>
      <c r="J202" s="1">
        <v>4</v>
      </c>
      <c r="K202" s="1" t="s">
        <v>19</v>
      </c>
      <c r="L202" s="1" t="s">
        <v>33</v>
      </c>
      <c r="M202" s="1">
        <f>orders[[#This Row],[Ship Date]]-orders[[#This Row],[Order Date]]</f>
        <v>3</v>
      </c>
      <c r="N202" s="1">
        <f>WEEKNUM(orders[[#This Row],[Order Date]])</f>
        <v>2</v>
      </c>
      <c r="O202" s="1" t="str" cm="1">
        <f t="array" ref="O202">_xlfn.IFS(orders[[#This Row],[Customer Gender]]="M","Male", orders[[#This Row],[Customer Gender]]="F","Female", orders[[#This Row],[Customer Gender]]="O","Other", TRUE,"Unknown")</f>
        <v>Male</v>
      </c>
    </row>
    <row r="203" spans="1:15" x14ac:dyDescent="0.3">
      <c r="A203" t="s">
        <v>277</v>
      </c>
      <c r="B203" t="s">
        <v>42</v>
      </c>
      <c r="C203">
        <v>2</v>
      </c>
      <c r="D203">
        <v>49.1</v>
      </c>
      <c r="E203" s="1">
        <v>98.2</v>
      </c>
      <c r="F203" s="2">
        <v>45665</v>
      </c>
      <c r="G203" s="2">
        <v>45673</v>
      </c>
      <c r="H203" s="1" t="s">
        <v>23</v>
      </c>
      <c r="I203" s="1" t="s">
        <v>51</v>
      </c>
      <c r="J203" s="1">
        <v>5</v>
      </c>
      <c r="K203" s="1" t="s">
        <v>19</v>
      </c>
      <c r="L203" s="1" t="s">
        <v>33</v>
      </c>
      <c r="M203" s="1">
        <f>orders[[#This Row],[Ship Date]]-orders[[#This Row],[Order Date]]</f>
        <v>8</v>
      </c>
      <c r="N203" s="1">
        <f>WEEKNUM(orders[[#This Row],[Order Date]])</f>
        <v>2</v>
      </c>
      <c r="O203" s="1" t="str" cm="1">
        <f t="array" ref="O203">_xlfn.IFS(orders[[#This Row],[Customer Gender]]="M","Male", orders[[#This Row],[Customer Gender]]="F","Female", orders[[#This Row],[Customer Gender]]="O","Other", TRUE,"Unknown")</f>
        <v>Male</v>
      </c>
    </row>
    <row r="204" spans="1:15" x14ac:dyDescent="0.3">
      <c r="A204" t="s">
        <v>278</v>
      </c>
      <c r="B204" t="s">
        <v>39</v>
      </c>
      <c r="C204">
        <v>2</v>
      </c>
      <c r="D204">
        <v>49.4</v>
      </c>
      <c r="E204" s="1">
        <v>98.8</v>
      </c>
      <c r="F204" s="2">
        <v>45666</v>
      </c>
      <c r="G204" s="2">
        <v>45667</v>
      </c>
      <c r="H204" s="1" t="s">
        <v>27</v>
      </c>
      <c r="I204" s="1" t="s">
        <v>40</v>
      </c>
      <c r="J204" s="1">
        <v>4</v>
      </c>
      <c r="K204" s="1" t="s">
        <v>19</v>
      </c>
      <c r="L204" s="1" t="s">
        <v>33</v>
      </c>
      <c r="M204" s="1">
        <f>orders[[#This Row],[Ship Date]]-orders[[#This Row],[Order Date]]</f>
        <v>1</v>
      </c>
      <c r="N204" s="1">
        <f>WEEKNUM(orders[[#This Row],[Order Date]])</f>
        <v>2</v>
      </c>
      <c r="O204" s="1"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s="1">
        <v>455.69999999999993</v>
      </c>
      <c r="F205" s="2">
        <v>45666</v>
      </c>
      <c r="G205" s="2">
        <v>45669</v>
      </c>
      <c r="H205" s="1" t="s">
        <v>27</v>
      </c>
      <c r="I205" s="1" t="s">
        <v>40</v>
      </c>
      <c r="J205" s="1">
        <v>5</v>
      </c>
      <c r="K205" s="1" t="s">
        <v>19</v>
      </c>
      <c r="L205" s="1" t="s">
        <v>33</v>
      </c>
      <c r="M205" s="1">
        <f>orders[[#This Row],[Ship Date]]-orders[[#This Row],[Order Date]]</f>
        <v>3</v>
      </c>
      <c r="N205" s="1">
        <f>WEEKNUM(orders[[#This Row],[Order Date]])</f>
        <v>2</v>
      </c>
      <c r="O205" s="1"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s="1">
        <v>104.2</v>
      </c>
      <c r="F206" s="2">
        <v>45666</v>
      </c>
      <c r="G206" s="2">
        <v>45670</v>
      </c>
      <c r="H206" s="1" t="s">
        <v>27</v>
      </c>
      <c r="I206" s="1" t="s">
        <v>40</v>
      </c>
      <c r="J206" s="1">
        <v>4</v>
      </c>
      <c r="K206" s="1" t="s">
        <v>19</v>
      </c>
      <c r="L206" s="1" t="s">
        <v>33</v>
      </c>
      <c r="M206" s="1">
        <f>orders[[#This Row],[Ship Date]]-orders[[#This Row],[Order Date]]</f>
        <v>4</v>
      </c>
      <c r="N206" s="1">
        <f>WEEKNUM(orders[[#This Row],[Order Date]])</f>
        <v>2</v>
      </c>
      <c r="O206" s="1"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s="1">
        <v>516.79999999999995</v>
      </c>
      <c r="F207" s="2">
        <v>45666</v>
      </c>
      <c r="G207" s="2">
        <v>45667</v>
      </c>
      <c r="H207" s="1" t="s">
        <v>27</v>
      </c>
      <c r="I207" s="1" t="s">
        <v>35</v>
      </c>
      <c r="J207" s="1">
        <v>4</v>
      </c>
      <c r="K207" s="1" t="s">
        <v>19</v>
      </c>
      <c r="L207" s="1" t="s">
        <v>33</v>
      </c>
      <c r="M207" s="1">
        <f>orders[[#This Row],[Ship Date]]-orders[[#This Row],[Order Date]]</f>
        <v>1</v>
      </c>
      <c r="N207" s="1">
        <f>WEEKNUM(orders[[#This Row],[Order Date]])</f>
        <v>2</v>
      </c>
      <c r="O207" s="1"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s="1">
        <v>1554.2</v>
      </c>
      <c r="F208" s="2">
        <v>45666</v>
      </c>
      <c r="G208" s="2">
        <v>45666</v>
      </c>
      <c r="H208" s="1" t="s">
        <v>27</v>
      </c>
      <c r="I208" s="1" t="s">
        <v>35</v>
      </c>
      <c r="J208" s="1">
        <v>3</v>
      </c>
      <c r="K208" s="1" t="s">
        <v>19</v>
      </c>
      <c r="L208" s="1" t="s">
        <v>33</v>
      </c>
      <c r="M208" s="1">
        <f>orders[[#This Row],[Ship Date]]-orders[[#This Row],[Order Date]]</f>
        <v>0</v>
      </c>
      <c r="N208" s="1">
        <f>WEEKNUM(orders[[#This Row],[Order Date]])</f>
        <v>2</v>
      </c>
      <c r="O208" s="1"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s="1">
        <v>24.9</v>
      </c>
      <c r="F209" s="2">
        <v>45666</v>
      </c>
      <c r="G209" s="2">
        <v>45670</v>
      </c>
      <c r="H209" s="1" t="s">
        <v>27</v>
      </c>
      <c r="I209" s="1" t="s">
        <v>35</v>
      </c>
      <c r="J209" s="1">
        <v>4</v>
      </c>
      <c r="K209" s="1" t="s">
        <v>19</v>
      </c>
      <c r="L209" s="1" t="s">
        <v>33</v>
      </c>
      <c r="M209" s="1">
        <f>orders[[#This Row],[Ship Date]]-orders[[#This Row],[Order Date]]</f>
        <v>4</v>
      </c>
      <c r="N209" s="1">
        <f>WEEKNUM(orders[[#This Row],[Order Date]])</f>
        <v>2</v>
      </c>
      <c r="O209" s="1"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s="1">
        <v>148.19999999999999</v>
      </c>
      <c r="F210" s="2">
        <v>45666</v>
      </c>
      <c r="G210" s="2">
        <v>45669</v>
      </c>
      <c r="H210" s="1" t="s">
        <v>27</v>
      </c>
      <c r="I210" s="1" t="s">
        <v>70</v>
      </c>
      <c r="J210" s="1">
        <v>2</v>
      </c>
      <c r="K210" s="1" t="s">
        <v>19</v>
      </c>
      <c r="L210" s="1" t="s">
        <v>33</v>
      </c>
      <c r="M210" s="1">
        <f>orders[[#This Row],[Ship Date]]-orders[[#This Row],[Order Date]]</f>
        <v>3</v>
      </c>
      <c r="N210" s="1">
        <f>WEEKNUM(orders[[#This Row],[Order Date]])</f>
        <v>2</v>
      </c>
      <c r="O210" s="1"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s="1">
        <v>45.4</v>
      </c>
      <c r="F211" s="2">
        <v>45666</v>
      </c>
      <c r="G211" s="2">
        <v>45667</v>
      </c>
      <c r="H211" s="1" t="s">
        <v>23</v>
      </c>
      <c r="I211" s="1" t="s">
        <v>51</v>
      </c>
      <c r="J211" s="1">
        <v>5</v>
      </c>
      <c r="K211" s="1" t="s">
        <v>19</v>
      </c>
      <c r="L211" s="1" t="s">
        <v>33</v>
      </c>
      <c r="M211" s="1">
        <f>orders[[#This Row],[Ship Date]]-orders[[#This Row],[Order Date]]</f>
        <v>1</v>
      </c>
      <c r="N211" s="1">
        <f>WEEKNUM(orders[[#This Row],[Order Date]])</f>
        <v>2</v>
      </c>
      <c r="O211" s="1" t="str" cm="1">
        <f t="array" ref="O211">_xlfn.IFS(orders[[#This Row],[Customer Gender]]="M","Male", orders[[#This Row],[Customer Gender]]="F","Female", orders[[#This Row],[Customer Gender]]="O","Other", TRUE,"Unknown")</f>
        <v>Male</v>
      </c>
    </row>
    <row r="212" spans="1:15" x14ac:dyDescent="0.3">
      <c r="A212" t="s">
        <v>286</v>
      </c>
      <c r="B212" t="s">
        <v>22</v>
      </c>
      <c r="C212">
        <v>1</v>
      </c>
      <c r="D212">
        <v>77.3</v>
      </c>
      <c r="E212" s="1">
        <v>77.3</v>
      </c>
      <c r="F212" s="2">
        <v>45666</v>
      </c>
      <c r="G212" s="2">
        <v>45666</v>
      </c>
      <c r="H212" s="1" t="s">
        <v>27</v>
      </c>
      <c r="I212" s="1" t="s">
        <v>18</v>
      </c>
      <c r="J212" s="1">
        <v>5</v>
      </c>
      <c r="K212" s="1" t="s">
        <v>19</v>
      </c>
      <c r="L212" s="1" t="s">
        <v>55</v>
      </c>
      <c r="M212" s="1">
        <f>orders[[#This Row],[Ship Date]]-orders[[#This Row],[Order Date]]</f>
        <v>0</v>
      </c>
      <c r="N212" s="1">
        <f>WEEKNUM(orders[[#This Row],[Order Date]])</f>
        <v>2</v>
      </c>
      <c r="O212" s="1"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s="1">
        <v>545.5</v>
      </c>
      <c r="F213" s="2">
        <v>45666</v>
      </c>
      <c r="G213" s="2">
        <v>45669</v>
      </c>
      <c r="H213" s="1" t="s">
        <v>27</v>
      </c>
      <c r="I213" s="1" t="s">
        <v>18</v>
      </c>
      <c r="J213" s="1">
        <v>4</v>
      </c>
      <c r="K213" s="1" t="s">
        <v>19</v>
      </c>
      <c r="L213" s="1" t="s">
        <v>55</v>
      </c>
      <c r="M213" s="1">
        <f>orders[[#This Row],[Ship Date]]-orders[[#This Row],[Order Date]]</f>
        <v>3</v>
      </c>
      <c r="N213" s="1">
        <f>WEEKNUM(orders[[#This Row],[Order Date]])</f>
        <v>2</v>
      </c>
      <c r="O213" s="1"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s="1">
        <v>215.6</v>
      </c>
      <c r="F214" s="2">
        <v>45666</v>
      </c>
      <c r="G214" s="2">
        <v>45667</v>
      </c>
      <c r="H214" s="1" t="s">
        <v>23</v>
      </c>
      <c r="I214" s="1" t="s">
        <v>18</v>
      </c>
      <c r="J214" s="1">
        <v>3</v>
      </c>
      <c r="K214" s="1" t="s">
        <v>19</v>
      </c>
      <c r="L214" s="1" t="s">
        <v>62</v>
      </c>
      <c r="M214" s="1">
        <f>orders[[#This Row],[Ship Date]]-orders[[#This Row],[Order Date]]</f>
        <v>1</v>
      </c>
      <c r="N214" s="1">
        <f>WEEKNUM(orders[[#This Row],[Order Date]])</f>
        <v>2</v>
      </c>
      <c r="O214" s="1" t="str" cm="1">
        <f t="array" ref="O214">_xlfn.IFS(orders[[#This Row],[Customer Gender]]="M","Male", orders[[#This Row],[Customer Gender]]="F","Female", orders[[#This Row],[Customer Gender]]="O","Other", TRUE,"Unknown")</f>
        <v>Male</v>
      </c>
    </row>
    <row r="215" spans="1:15" x14ac:dyDescent="0.3">
      <c r="A215" t="s">
        <v>289</v>
      </c>
      <c r="B215" t="s">
        <v>46</v>
      </c>
      <c r="C215">
        <v>26</v>
      </c>
      <c r="D215">
        <v>21.2</v>
      </c>
      <c r="E215" s="1">
        <v>551.19999999999993</v>
      </c>
      <c r="F215" s="2">
        <v>45666</v>
      </c>
      <c r="G215" s="2">
        <v>45666</v>
      </c>
      <c r="H215" s="1" t="s">
        <v>27</v>
      </c>
      <c r="I215" s="1" t="s">
        <v>18</v>
      </c>
      <c r="J215" s="1">
        <v>4</v>
      </c>
      <c r="K215" s="1" t="s">
        <v>19</v>
      </c>
      <c r="L215" s="1" t="s">
        <v>72</v>
      </c>
      <c r="M215" s="1">
        <f>orders[[#This Row],[Ship Date]]-orders[[#This Row],[Order Date]]</f>
        <v>0</v>
      </c>
      <c r="N215" s="1">
        <f>WEEKNUM(orders[[#This Row],[Order Date]])</f>
        <v>2</v>
      </c>
      <c r="O215" s="1"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s="1">
        <v>276</v>
      </c>
      <c r="F216" s="2">
        <v>45666</v>
      </c>
      <c r="G216" s="2">
        <v>45668</v>
      </c>
      <c r="H216" s="1" t="s">
        <v>27</v>
      </c>
      <c r="I216" s="1" t="s">
        <v>35</v>
      </c>
      <c r="J216" s="1">
        <v>3</v>
      </c>
      <c r="K216" s="1" t="s">
        <v>19</v>
      </c>
      <c r="L216" s="1" t="s">
        <v>108</v>
      </c>
      <c r="M216" s="1">
        <f>orders[[#This Row],[Ship Date]]-orders[[#This Row],[Order Date]]</f>
        <v>2</v>
      </c>
      <c r="N216" s="1">
        <f>WEEKNUM(orders[[#This Row],[Order Date]])</f>
        <v>2</v>
      </c>
      <c r="O216" s="1"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s="1">
        <v>138.60000000000002</v>
      </c>
      <c r="F217" s="2">
        <v>45666</v>
      </c>
      <c r="G217" s="2">
        <v>45668</v>
      </c>
      <c r="H217" s="1" t="s">
        <v>27</v>
      </c>
      <c r="I217" s="1" t="s">
        <v>18</v>
      </c>
      <c r="J217" s="1">
        <v>5</v>
      </c>
      <c r="K217" s="1" t="s">
        <v>19</v>
      </c>
      <c r="L217" s="1" t="s">
        <v>292</v>
      </c>
      <c r="M217" s="1">
        <f>orders[[#This Row],[Ship Date]]-orders[[#This Row],[Order Date]]</f>
        <v>2</v>
      </c>
      <c r="N217" s="1">
        <f>WEEKNUM(orders[[#This Row],[Order Date]])</f>
        <v>2</v>
      </c>
      <c r="O217" s="1"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s="1">
        <v>487</v>
      </c>
      <c r="F218" s="2">
        <v>45666</v>
      </c>
      <c r="G218" s="2">
        <v>45670</v>
      </c>
      <c r="H218" s="1" t="s">
        <v>27</v>
      </c>
      <c r="I218" s="1" t="s">
        <v>70</v>
      </c>
      <c r="J218" s="1">
        <v>5</v>
      </c>
      <c r="K218" s="1" t="s">
        <v>19</v>
      </c>
      <c r="L218" s="1" t="s">
        <v>115</v>
      </c>
      <c r="M218" s="1">
        <f>orders[[#This Row],[Ship Date]]-orders[[#This Row],[Order Date]]</f>
        <v>4</v>
      </c>
      <c r="N218" s="1">
        <f>WEEKNUM(orders[[#This Row],[Order Date]])</f>
        <v>2</v>
      </c>
      <c r="O218" s="1" t="str" cm="1">
        <f t="array" ref="O218">_xlfn.IFS(orders[[#This Row],[Customer Gender]]="M","Male", orders[[#This Row],[Customer Gender]]="F","Female", orders[[#This Row],[Customer Gender]]="O","Other", TRUE,"Unknown")</f>
        <v>Female</v>
      </c>
    </row>
    <row r="219" spans="1:15" x14ac:dyDescent="0.3">
      <c r="A219" t="s">
        <v>294</v>
      </c>
      <c r="B219" t="s">
        <v>44</v>
      </c>
      <c r="C219">
        <v>5</v>
      </c>
      <c r="D219">
        <v>21</v>
      </c>
      <c r="E219" s="1">
        <v>105</v>
      </c>
      <c r="F219" s="2">
        <v>45666</v>
      </c>
      <c r="G219" s="2">
        <v>45667</v>
      </c>
      <c r="H219" s="1" t="s">
        <v>23</v>
      </c>
      <c r="I219" s="1" t="s">
        <v>18</v>
      </c>
      <c r="J219" s="1">
        <v>3</v>
      </c>
      <c r="K219" s="1" t="s">
        <v>19</v>
      </c>
      <c r="L219" s="1" t="s">
        <v>115</v>
      </c>
      <c r="M219" s="1">
        <f>orders[[#This Row],[Ship Date]]-orders[[#This Row],[Order Date]]</f>
        <v>1</v>
      </c>
      <c r="N219" s="1">
        <f>WEEKNUM(orders[[#This Row],[Order Date]])</f>
        <v>2</v>
      </c>
      <c r="O219" s="1"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s="1">
        <v>65.400000000000006</v>
      </c>
      <c r="F220" s="2">
        <v>45667</v>
      </c>
      <c r="G220" s="2">
        <v>45670</v>
      </c>
      <c r="H220" s="1" t="s">
        <v>27</v>
      </c>
      <c r="I220" s="1" t="s">
        <v>35</v>
      </c>
      <c r="J220" s="1">
        <v>4</v>
      </c>
      <c r="K220" s="1" t="s">
        <v>19</v>
      </c>
      <c r="L220" s="1" t="s">
        <v>28</v>
      </c>
      <c r="M220" s="1">
        <f>orders[[#This Row],[Ship Date]]-orders[[#This Row],[Order Date]]</f>
        <v>3</v>
      </c>
      <c r="N220" s="1">
        <f>WEEKNUM(orders[[#This Row],[Order Date]])</f>
        <v>2</v>
      </c>
      <c r="O220" s="1" t="str" cm="1">
        <f t="array" ref="O220">_xlfn.IFS(orders[[#This Row],[Customer Gender]]="M","Male", orders[[#This Row],[Customer Gender]]="F","Female", orders[[#This Row],[Customer Gender]]="O","Other", TRUE,"Unknown")</f>
        <v>Female</v>
      </c>
    </row>
    <row r="221" spans="1:15" x14ac:dyDescent="0.3">
      <c r="A221" t="s">
        <v>296</v>
      </c>
      <c r="B221" t="s">
        <v>39</v>
      </c>
      <c r="C221">
        <v>4</v>
      </c>
      <c r="D221">
        <v>48</v>
      </c>
      <c r="E221" s="1">
        <v>192</v>
      </c>
      <c r="F221" s="2">
        <v>45667</v>
      </c>
      <c r="G221" s="2">
        <v>45668</v>
      </c>
      <c r="H221" s="1" t="s">
        <v>23</v>
      </c>
      <c r="I221" s="1" t="s">
        <v>51</v>
      </c>
      <c r="J221" s="1">
        <v>4</v>
      </c>
      <c r="K221" s="1" t="s">
        <v>19</v>
      </c>
      <c r="L221" s="1" t="s">
        <v>33</v>
      </c>
      <c r="M221" s="1">
        <f>orders[[#This Row],[Ship Date]]-orders[[#This Row],[Order Date]]</f>
        <v>1</v>
      </c>
      <c r="N221" s="1">
        <f>WEEKNUM(orders[[#This Row],[Order Date]])</f>
        <v>2</v>
      </c>
      <c r="O221" s="1" t="str" cm="1">
        <f t="array" ref="O221">_xlfn.IFS(orders[[#This Row],[Customer Gender]]="M","Male", orders[[#This Row],[Customer Gender]]="F","Female", orders[[#This Row],[Customer Gender]]="O","Other", TRUE,"Unknown")</f>
        <v>Male</v>
      </c>
    </row>
    <row r="222" spans="1:15" x14ac:dyDescent="0.3">
      <c r="A222" t="s">
        <v>297</v>
      </c>
      <c r="B222" t="s">
        <v>39</v>
      </c>
      <c r="C222">
        <v>3</v>
      </c>
      <c r="D222">
        <v>68.2</v>
      </c>
      <c r="E222" s="1">
        <v>204.60000000000002</v>
      </c>
      <c r="F222" s="2">
        <v>45667</v>
      </c>
      <c r="G222" s="2">
        <v>45671</v>
      </c>
      <c r="H222" s="1" t="s">
        <v>17</v>
      </c>
      <c r="I222" s="1" t="s">
        <v>18</v>
      </c>
      <c r="J222" s="1">
        <v>5</v>
      </c>
      <c r="K222" s="1" t="s">
        <v>19</v>
      </c>
      <c r="L222" s="1" t="s">
        <v>33</v>
      </c>
      <c r="M222" s="1">
        <f>orders[[#This Row],[Ship Date]]-orders[[#This Row],[Order Date]]</f>
        <v>4</v>
      </c>
      <c r="N222" s="1">
        <f>WEEKNUM(orders[[#This Row],[Order Date]])</f>
        <v>2</v>
      </c>
      <c r="O222" s="1"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s="1">
        <v>45.4</v>
      </c>
      <c r="F223" s="2">
        <v>45667</v>
      </c>
      <c r="G223" s="2">
        <v>45669</v>
      </c>
      <c r="H223" s="1" t="s">
        <v>23</v>
      </c>
      <c r="I223" s="1" t="s">
        <v>35</v>
      </c>
      <c r="J223" s="1">
        <v>4</v>
      </c>
      <c r="K223" s="1" t="s">
        <v>19</v>
      </c>
      <c r="L223" s="1" t="s">
        <v>33</v>
      </c>
      <c r="M223" s="1">
        <f>orders[[#This Row],[Ship Date]]-orders[[#This Row],[Order Date]]</f>
        <v>2</v>
      </c>
      <c r="N223" s="1">
        <f>WEEKNUM(orders[[#This Row],[Order Date]])</f>
        <v>2</v>
      </c>
      <c r="O223" s="1" t="str" cm="1">
        <f t="array" ref="O223">_xlfn.IFS(orders[[#This Row],[Customer Gender]]="M","Male", orders[[#This Row],[Customer Gender]]="F","Female", orders[[#This Row],[Customer Gender]]="O","Other", TRUE,"Unknown")</f>
        <v>Male</v>
      </c>
    </row>
    <row r="224" spans="1:15" x14ac:dyDescent="0.3">
      <c r="A224" t="s">
        <v>299</v>
      </c>
      <c r="B224" t="s">
        <v>69</v>
      </c>
      <c r="C224">
        <v>2</v>
      </c>
      <c r="D224">
        <v>53.9</v>
      </c>
      <c r="E224" s="1">
        <v>107.8</v>
      </c>
      <c r="F224" s="2">
        <v>45667</v>
      </c>
      <c r="G224" s="2">
        <v>45668</v>
      </c>
      <c r="H224" s="1" t="s">
        <v>27</v>
      </c>
      <c r="I224" s="1" t="s">
        <v>40</v>
      </c>
      <c r="J224" s="1">
        <v>4</v>
      </c>
      <c r="K224" s="1" t="s">
        <v>19</v>
      </c>
      <c r="L224" s="1" t="s">
        <v>33</v>
      </c>
      <c r="M224" s="1">
        <f>orders[[#This Row],[Ship Date]]-orders[[#This Row],[Order Date]]</f>
        <v>1</v>
      </c>
      <c r="N224" s="1">
        <f>WEEKNUM(orders[[#This Row],[Order Date]])</f>
        <v>2</v>
      </c>
      <c r="O224" s="1"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s="1">
        <v>248.4</v>
      </c>
      <c r="F225" s="2">
        <v>45667</v>
      </c>
      <c r="G225" s="2">
        <v>45671</v>
      </c>
      <c r="H225" s="1" t="s">
        <v>27</v>
      </c>
      <c r="I225" s="1" t="s">
        <v>18</v>
      </c>
      <c r="J225" s="1">
        <v>4</v>
      </c>
      <c r="K225" s="1" t="s">
        <v>19</v>
      </c>
      <c r="L225" s="1" t="s">
        <v>49</v>
      </c>
      <c r="M225" s="1">
        <f>orders[[#This Row],[Ship Date]]-orders[[#This Row],[Order Date]]</f>
        <v>4</v>
      </c>
      <c r="N225" s="1">
        <f>WEEKNUM(orders[[#This Row],[Order Date]])</f>
        <v>2</v>
      </c>
      <c r="O225" s="1"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s="1">
        <v>231.70000000000002</v>
      </c>
      <c r="F226" s="2">
        <v>45667</v>
      </c>
      <c r="G226" s="2">
        <v>45672</v>
      </c>
      <c r="H226" s="1" t="s">
        <v>23</v>
      </c>
      <c r="I226" s="1" t="s">
        <v>35</v>
      </c>
      <c r="J226" s="1">
        <v>4</v>
      </c>
      <c r="K226" s="1" t="s">
        <v>19</v>
      </c>
      <c r="L226" s="1" t="s">
        <v>55</v>
      </c>
      <c r="M226" s="1">
        <f>orders[[#This Row],[Ship Date]]-orders[[#This Row],[Order Date]]</f>
        <v>5</v>
      </c>
      <c r="N226" s="1">
        <f>WEEKNUM(orders[[#This Row],[Order Date]])</f>
        <v>2</v>
      </c>
      <c r="O226" s="1"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s="1">
        <v>176</v>
      </c>
      <c r="F227" s="2">
        <v>45667</v>
      </c>
      <c r="G227" s="2">
        <v>45667</v>
      </c>
      <c r="H227" s="1" t="s">
        <v>27</v>
      </c>
      <c r="I227" s="1" t="s">
        <v>35</v>
      </c>
      <c r="J227" s="1">
        <v>4</v>
      </c>
      <c r="K227" s="1" t="s">
        <v>19</v>
      </c>
      <c r="L227" s="1" t="s">
        <v>55</v>
      </c>
      <c r="M227" s="1">
        <f>orders[[#This Row],[Ship Date]]-orders[[#This Row],[Order Date]]</f>
        <v>0</v>
      </c>
      <c r="N227" s="1">
        <f>WEEKNUM(orders[[#This Row],[Order Date]])</f>
        <v>2</v>
      </c>
      <c r="O227" s="1"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s="1">
        <v>96.300000000000011</v>
      </c>
      <c r="F228" s="2">
        <v>45667</v>
      </c>
      <c r="G228" s="2">
        <v>45672</v>
      </c>
      <c r="H228" s="1" t="s">
        <v>23</v>
      </c>
      <c r="I228" s="1" t="s">
        <v>51</v>
      </c>
      <c r="J228" s="1">
        <v>4</v>
      </c>
      <c r="K228" s="1" t="s">
        <v>19</v>
      </c>
      <c r="L228" s="1" t="s">
        <v>62</v>
      </c>
      <c r="M228" s="1">
        <f>orders[[#This Row],[Ship Date]]-orders[[#This Row],[Order Date]]</f>
        <v>5</v>
      </c>
      <c r="N228" s="1">
        <f>WEEKNUM(orders[[#This Row],[Order Date]])</f>
        <v>2</v>
      </c>
      <c r="O228" s="1" t="str" cm="1">
        <f t="array" ref="O228">_xlfn.IFS(orders[[#This Row],[Customer Gender]]="M","Male", orders[[#This Row],[Customer Gender]]="F","Female", orders[[#This Row],[Customer Gender]]="O","Other", TRUE,"Unknown")</f>
        <v>Male</v>
      </c>
    </row>
    <row r="229" spans="1:15" x14ac:dyDescent="0.3">
      <c r="A229" t="s">
        <v>304</v>
      </c>
      <c r="B229" t="s">
        <v>67</v>
      </c>
      <c r="C229">
        <v>1</v>
      </c>
      <c r="D229">
        <v>38.1</v>
      </c>
      <c r="E229" s="1">
        <v>38.1</v>
      </c>
      <c r="F229" s="2">
        <v>45667</v>
      </c>
      <c r="G229" s="2">
        <v>45672</v>
      </c>
      <c r="H229" s="1" t="s">
        <v>27</v>
      </c>
      <c r="I229" s="1" t="s">
        <v>18</v>
      </c>
      <c r="J229" s="1">
        <v>5</v>
      </c>
      <c r="K229" s="1" t="s">
        <v>19</v>
      </c>
      <c r="L229" s="1" t="s">
        <v>62</v>
      </c>
      <c r="M229" s="1">
        <f>orders[[#This Row],[Ship Date]]-orders[[#This Row],[Order Date]]</f>
        <v>5</v>
      </c>
      <c r="N229" s="1">
        <f>WEEKNUM(orders[[#This Row],[Order Date]])</f>
        <v>2</v>
      </c>
      <c r="O229" s="1"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s="1">
        <v>65.2</v>
      </c>
      <c r="F230" s="2">
        <v>45667</v>
      </c>
      <c r="G230" s="2">
        <v>45672</v>
      </c>
      <c r="H230" s="1" t="s">
        <v>27</v>
      </c>
      <c r="I230" s="1" t="s">
        <v>51</v>
      </c>
      <c r="J230" s="1">
        <v>3</v>
      </c>
      <c r="K230" s="1" t="s">
        <v>19</v>
      </c>
      <c r="L230" s="1" t="s">
        <v>62</v>
      </c>
      <c r="M230" s="1">
        <f>orders[[#This Row],[Ship Date]]-orders[[#This Row],[Order Date]]</f>
        <v>5</v>
      </c>
      <c r="N230" s="1">
        <f>WEEKNUM(orders[[#This Row],[Order Date]])</f>
        <v>2</v>
      </c>
      <c r="O230" s="1"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s="1">
        <v>386.40000000000003</v>
      </c>
      <c r="F231" s="2">
        <v>45667</v>
      </c>
      <c r="G231" s="2">
        <v>45668</v>
      </c>
      <c r="H231" s="1" t="s">
        <v>23</v>
      </c>
      <c r="I231" s="1" t="s">
        <v>40</v>
      </c>
      <c r="J231" s="1">
        <v>4</v>
      </c>
      <c r="K231" s="1" t="s">
        <v>19</v>
      </c>
      <c r="L231" s="1" t="s">
        <v>77</v>
      </c>
      <c r="M231" s="1">
        <f>orders[[#This Row],[Ship Date]]-orders[[#This Row],[Order Date]]</f>
        <v>1</v>
      </c>
      <c r="N231" s="1">
        <f>WEEKNUM(orders[[#This Row],[Order Date]])</f>
        <v>2</v>
      </c>
      <c r="O231" s="1" t="str" cm="1">
        <f t="array" ref="O231">_xlfn.IFS(orders[[#This Row],[Customer Gender]]="M","Male", orders[[#This Row],[Customer Gender]]="F","Female", orders[[#This Row],[Customer Gender]]="O","Other", TRUE,"Unknown")</f>
        <v>Male</v>
      </c>
    </row>
    <row r="232" spans="1:15" x14ac:dyDescent="0.3">
      <c r="A232" t="s">
        <v>307</v>
      </c>
      <c r="B232" t="s">
        <v>39</v>
      </c>
      <c r="C232">
        <v>1</v>
      </c>
      <c r="D232">
        <v>62</v>
      </c>
      <c r="E232" s="1">
        <v>62</v>
      </c>
      <c r="F232" s="2">
        <v>45667</v>
      </c>
      <c r="G232" s="2">
        <v>45671</v>
      </c>
      <c r="H232" s="1" t="s">
        <v>27</v>
      </c>
      <c r="I232" s="1" t="s">
        <v>18</v>
      </c>
      <c r="J232" s="1">
        <v>4</v>
      </c>
      <c r="K232" s="1" t="s">
        <v>19</v>
      </c>
      <c r="L232" s="1" t="s">
        <v>77</v>
      </c>
      <c r="M232" s="1">
        <f>orders[[#This Row],[Ship Date]]-orders[[#This Row],[Order Date]]</f>
        <v>4</v>
      </c>
      <c r="N232" s="1">
        <f>WEEKNUM(orders[[#This Row],[Order Date]])</f>
        <v>2</v>
      </c>
      <c r="O232" s="1"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s="1">
        <v>137.69999999999999</v>
      </c>
      <c r="F233" s="2">
        <v>45667</v>
      </c>
      <c r="G233" s="2">
        <v>45668</v>
      </c>
      <c r="H233" s="1" t="s">
        <v>27</v>
      </c>
      <c r="I233" s="1" t="s">
        <v>40</v>
      </c>
      <c r="J233" s="1">
        <v>4</v>
      </c>
      <c r="K233" s="1" t="s">
        <v>19</v>
      </c>
      <c r="L233" s="1" t="s">
        <v>309</v>
      </c>
      <c r="M233" s="1">
        <f>orders[[#This Row],[Ship Date]]-orders[[#This Row],[Order Date]]</f>
        <v>1</v>
      </c>
      <c r="N233" s="1">
        <f>WEEKNUM(orders[[#This Row],[Order Date]])</f>
        <v>2</v>
      </c>
      <c r="O233" s="1"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s="1">
        <v>174.89999999999998</v>
      </c>
      <c r="F234" s="2">
        <v>45667</v>
      </c>
      <c r="G234" s="2">
        <v>45667</v>
      </c>
      <c r="H234" s="1" t="s">
        <v>23</v>
      </c>
      <c r="I234" s="1" t="s">
        <v>35</v>
      </c>
      <c r="J234" s="1">
        <v>3</v>
      </c>
      <c r="K234" s="1" t="s">
        <v>19</v>
      </c>
      <c r="L234" s="1" t="s">
        <v>108</v>
      </c>
      <c r="M234" s="1">
        <f>orders[[#This Row],[Ship Date]]-orders[[#This Row],[Order Date]]</f>
        <v>0</v>
      </c>
      <c r="N234" s="1">
        <f>WEEKNUM(orders[[#This Row],[Order Date]])</f>
        <v>2</v>
      </c>
      <c r="O234" s="1" t="str" cm="1">
        <f t="array" ref="O234">_xlfn.IFS(orders[[#This Row],[Customer Gender]]="M","Male", orders[[#This Row],[Customer Gender]]="F","Female", orders[[#This Row],[Customer Gender]]="O","Other", TRUE,"Unknown")</f>
        <v>Male</v>
      </c>
    </row>
    <row r="235" spans="1:15" x14ac:dyDescent="0.3">
      <c r="A235" t="s">
        <v>311</v>
      </c>
      <c r="B235" t="s">
        <v>44</v>
      </c>
      <c r="C235">
        <v>2</v>
      </c>
      <c r="D235">
        <v>22.3</v>
      </c>
      <c r="E235" s="1">
        <v>44.6</v>
      </c>
      <c r="F235" s="2">
        <v>45667</v>
      </c>
      <c r="G235" s="2">
        <v>45670</v>
      </c>
      <c r="H235" s="1" t="s">
        <v>27</v>
      </c>
      <c r="I235" s="1" t="s">
        <v>18</v>
      </c>
      <c r="J235" s="1">
        <v>5</v>
      </c>
      <c r="K235" s="1" t="s">
        <v>19</v>
      </c>
      <c r="L235" s="1" t="s">
        <v>113</v>
      </c>
      <c r="M235" s="1">
        <f>orders[[#This Row],[Ship Date]]-orders[[#This Row],[Order Date]]</f>
        <v>3</v>
      </c>
      <c r="N235" s="1">
        <f>WEEKNUM(orders[[#This Row],[Order Date]])</f>
        <v>2</v>
      </c>
      <c r="O235" s="1"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s="1">
        <v>120</v>
      </c>
      <c r="F236" s="2">
        <v>45667</v>
      </c>
      <c r="G236" s="2">
        <v>45668</v>
      </c>
      <c r="H236" s="1" t="s">
        <v>23</v>
      </c>
      <c r="I236" s="1" t="s">
        <v>70</v>
      </c>
      <c r="J236" s="1">
        <v>4</v>
      </c>
      <c r="K236" s="1" t="s">
        <v>19</v>
      </c>
      <c r="L236" s="1" t="s">
        <v>24</v>
      </c>
      <c r="M236" s="1">
        <f>orders[[#This Row],[Ship Date]]-orders[[#This Row],[Order Date]]</f>
        <v>1</v>
      </c>
      <c r="N236" s="1">
        <f>WEEKNUM(orders[[#This Row],[Order Date]])</f>
        <v>2</v>
      </c>
      <c r="O236" s="1" t="str" cm="1">
        <f t="array" ref="O236">_xlfn.IFS(orders[[#This Row],[Customer Gender]]="M","Male", orders[[#This Row],[Customer Gender]]="F","Female", orders[[#This Row],[Customer Gender]]="O","Other", TRUE,"Unknown")</f>
        <v>Male</v>
      </c>
    </row>
    <row r="237" spans="1:15" x14ac:dyDescent="0.3">
      <c r="A237" t="s">
        <v>313</v>
      </c>
      <c r="B237" t="s">
        <v>16</v>
      </c>
      <c r="C237">
        <v>10</v>
      </c>
      <c r="D237">
        <v>21.3</v>
      </c>
      <c r="E237" s="1">
        <v>213</v>
      </c>
      <c r="F237" s="2">
        <v>45667</v>
      </c>
      <c r="G237" s="2">
        <v>45667</v>
      </c>
      <c r="H237" s="1" t="s">
        <v>27</v>
      </c>
      <c r="I237" s="1" t="s">
        <v>35</v>
      </c>
      <c r="J237" s="1">
        <v>5</v>
      </c>
      <c r="K237" s="1" t="s">
        <v>19</v>
      </c>
      <c r="L237" s="1" t="s">
        <v>147</v>
      </c>
      <c r="M237" s="1">
        <f>orders[[#This Row],[Ship Date]]-orders[[#This Row],[Order Date]]</f>
        <v>0</v>
      </c>
      <c r="N237" s="1">
        <f>WEEKNUM(orders[[#This Row],[Order Date]])</f>
        <v>2</v>
      </c>
      <c r="O237" s="1"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s="1">
        <v>2369.7999999999997</v>
      </c>
      <c r="F238" s="2">
        <v>45667</v>
      </c>
      <c r="G238" s="2">
        <v>45669</v>
      </c>
      <c r="H238" s="1" t="s">
        <v>27</v>
      </c>
      <c r="I238" s="1" t="s">
        <v>18</v>
      </c>
      <c r="J238" s="1">
        <v>5</v>
      </c>
      <c r="K238" s="1" t="s">
        <v>19</v>
      </c>
      <c r="L238" s="1" t="s">
        <v>33</v>
      </c>
      <c r="M238" s="1">
        <f>orders[[#This Row],[Ship Date]]-orders[[#This Row],[Order Date]]</f>
        <v>2</v>
      </c>
      <c r="N238" s="1">
        <f>WEEKNUM(orders[[#This Row],[Order Date]])</f>
        <v>2</v>
      </c>
      <c r="O238" s="1"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s="1">
        <v>202.79999999999998</v>
      </c>
      <c r="F239" s="2">
        <v>45667</v>
      </c>
      <c r="G239" s="2">
        <v>45668</v>
      </c>
      <c r="H239" s="1" t="s">
        <v>27</v>
      </c>
      <c r="I239" s="1" t="s">
        <v>18</v>
      </c>
      <c r="J239" s="1">
        <v>4</v>
      </c>
      <c r="K239" s="1" t="s">
        <v>19</v>
      </c>
      <c r="L239" s="1" t="s">
        <v>33</v>
      </c>
      <c r="M239" s="1">
        <f>orders[[#This Row],[Ship Date]]-orders[[#This Row],[Order Date]]</f>
        <v>1</v>
      </c>
      <c r="N239" s="1">
        <f>WEEKNUM(orders[[#This Row],[Order Date]])</f>
        <v>2</v>
      </c>
      <c r="O239" s="1"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s="1">
        <v>400.20000000000005</v>
      </c>
      <c r="F240" s="2">
        <v>45667</v>
      </c>
      <c r="G240" s="2">
        <v>45671</v>
      </c>
      <c r="H240" s="1" t="s">
        <v>23</v>
      </c>
      <c r="I240" s="1" t="s">
        <v>70</v>
      </c>
      <c r="J240" s="1">
        <v>3</v>
      </c>
      <c r="K240" s="1" t="s">
        <v>19</v>
      </c>
      <c r="L240" s="1" t="s">
        <v>33</v>
      </c>
      <c r="M240" s="1">
        <f>orders[[#This Row],[Ship Date]]-orders[[#This Row],[Order Date]]</f>
        <v>4</v>
      </c>
      <c r="N240" s="1">
        <f>WEEKNUM(orders[[#This Row],[Order Date]])</f>
        <v>2</v>
      </c>
      <c r="O240" s="1" t="str" cm="1">
        <f t="array" ref="O240">_xlfn.IFS(orders[[#This Row],[Customer Gender]]="M","Male", orders[[#This Row],[Customer Gender]]="F","Female", orders[[#This Row],[Customer Gender]]="O","Other", TRUE,"Unknown")</f>
        <v>Male</v>
      </c>
    </row>
    <row r="241" spans="1:15" x14ac:dyDescent="0.3">
      <c r="A241" t="s">
        <v>317</v>
      </c>
      <c r="B241" t="s">
        <v>22</v>
      </c>
      <c r="C241">
        <v>4</v>
      </c>
      <c r="D241">
        <v>53.1</v>
      </c>
      <c r="E241" s="1">
        <v>212.4</v>
      </c>
      <c r="F241" s="2">
        <v>45667</v>
      </c>
      <c r="G241" s="2">
        <v>45669</v>
      </c>
      <c r="H241" s="1" t="s">
        <v>27</v>
      </c>
      <c r="I241" s="1" t="s">
        <v>35</v>
      </c>
      <c r="J241" s="1">
        <v>4</v>
      </c>
      <c r="K241" s="1" t="s">
        <v>19</v>
      </c>
      <c r="L241" s="1" t="s">
        <v>33</v>
      </c>
      <c r="M241" s="1">
        <f>orders[[#This Row],[Ship Date]]-orders[[#This Row],[Order Date]]</f>
        <v>2</v>
      </c>
      <c r="N241" s="1">
        <f>WEEKNUM(orders[[#This Row],[Order Date]])</f>
        <v>2</v>
      </c>
      <c r="O241" s="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s="1">
        <v>172.2</v>
      </c>
      <c r="F242" s="2">
        <v>45667</v>
      </c>
      <c r="G242" s="2">
        <v>45670</v>
      </c>
      <c r="H242" s="1" t="s">
        <v>27</v>
      </c>
      <c r="I242" s="1" t="s">
        <v>18</v>
      </c>
      <c r="J242" s="1">
        <v>5</v>
      </c>
      <c r="K242" s="1" t="s">
        <v>19</v>
      </c>
      <c r="L242" s="1" t="s">
        <v>258</v>
      </c>
      <c r="M242" s="1">
        <f>orders[[#This Row],[Ship Date]]-orders[[#This Row],[Order Date]]</f>
        <v>3</v>
      </c>
      <c r="N242" s="1">
        <f>WEEKNUM(orders[[#This Row],[Order Date]])</f>
        <v>2</v>
      </c>
      <c r="O242" s="1"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s="1">
        <v>290.5</v>
      </c>
      <c r="F243" s="2">
        <v>45667</v>
      </c>
      <c r="G243" s="2">
        <v>45667</v>
      </c>
      <c r="H243" s="1" t="s">
        <v>23</v>
      </c>
      <c r="I243" s="1" t="s">
        <v>40</v>
      </c>
      <c r="J243" s="1">
        <v>5</v>
      </c>
      <c r="K243" s="1" t="s">
        <v>19</v>
      </c>
      <c r="L243" s="1" t="s">
        <v>55</v>
      </c>
      <c r="M243" s="1">
        <f>orders[[#This Row],[Ship Date]]-orders[[#This Row],[Order Date]]</f>
        <v>0</v>
      </c>
      <c r="N243" s="1">
        <f>WEEKNUM(orders[[#This Row],[Order Date]])</f>
        <v>2</v>
      </c>
      <c r="O243" s="1" t="str" cm="1">
        <f t="array" ref="O243">_xlfn.IFS(orders[[#This Row],[Customer Gender]]="M","Male", orders[[#This Row],[Customer Gender]]="F","Female", orders[[#This Row],[Customer Gender]]="O","Other", TRUE,"Unknown")</f>
        <v>Male</v>
      </c>
    </row>
    <row r="244" spans="1:15" x14ac:dyDescent="0.3">
      <c r="A244" t="s">
        <v>320</v>
      </c>
      <c r="B244" t="s">
        <v>37</v>
      </c>
      <c r="C244">
        <v>3</v>
      </c>
      <c r="D244">
        <v>31.8</v>
      </c>
      <c r="E244" s="1">
        <v>95.4</v>
      </c>
      <c r="F244" s="2">
        <v>45668</v>
      </c>
      <c r="G244" s="2">
        <v>45670</v>
      </c>
      <c r="H244" s="1" t="s">
        <v>23</v>
      </c>
      <c r="I244" s="1" t="s">
        <v>51</v>
      </c>
      <c r="J244" s="1">
        <v>4</v>
      </c>
      <c r="K244" s="1" t="s">
        <v>19</v>
      </c>
      <c r="L244" s="1" t="s">
        <v>55</v>
      </c>
      <c r="M244" s="1">
        <f>orders[[#This Row],[Ship Date]]-orders[[#This Row],[Order Date]]</f>
        <v>2</v>
      </c>
      <c r="N244" s="1">
        <f>WEEKNUM(orders[[#This Row],[Order Date]])</f>
        <v>2</v>
      </c>
      <c r="O244" s="1" t="str" cm="1">
        <f t="array" ref="O244">_xlfn.IFS(orders[[#This Row],[Customer Gender]]="M","Male", orders[[#This Row],[Customer Gender]]="F","Female", orders[[#This Row],[Customer Gender]]="O","Other", TRUE,"Unknown")</f>
        <v>Male</v>
      </c>
    </row>
    <row r="245" spans="1:15" x14ac:dyDescent="0.3">
      <c r="A245" t="s">
        <v>321</v>
      </c>
      <c r="B245" t="s">
        <v>32</v>
      </c>
      <c r="C245">
        <v>3</v>
      </c>
      <c r="D245">
        <v>31.5</v>
      </c>
      <c r="E245" s="1">
        <v>94.5</v>
      </c>
      <c r="F245" s="2">
        <v>45668</v>
      </c>
      <c r="G245" s="2">
        <v>45671</v>
      </c>
      <c r="H245" s="1" t="s">
        <v>23</v>
      </c>
      <c r="I245" s="1" t="s">
        <v>18</v>
      </c>
      <c r="J245" s="1">
        <v>3</v>
      </c>
      <c r="K245" s="1" t="s">
        <v>19</v>
      </c>
      <c r="L245" s="1" t="s">
        <v>62</v>
      </c>
      <c r="M245" s="1">
        <f>orders[[#This Row],[Ship Date]]-orders[[#This Row],[Order Date]]</f>
        <v>3</v>
      </c>
      <c r="N245" s="1">
        <f>WEEKNUM(orders[[#This Row],[Order Date]])</f>
        <v>2</v>
      </c>
      <c r="O245" s="1" t="str" cm="1">
        <f t="array" ref="O245">_xlfn.IFS(orders[[#This Row],[Customer Gender]]="M","Male", orders[[#This Row],[Customer Gender]]="F","Female", orders[[#This Row],[Customer Gender]]="O","Other", TRUE,"Unknown")</f>
        <v>Male</v>
      </c>
    </row>
    <row r="246" spans="1:15" x14ac:dyDescent="0.3">
      <c r="A246" t="s">
        <v>322</v>
      </c>
      <c r="B246" t="s">
        <v>39</v>
      </c>
      <c r="C246">
        <v>7</v>
      </c>
      <c r="D246">
        <v>55.9</v>
      </c>
      <c r="E246" s="1">
        <v>391.3</v>
      </c>
      <c r="F246" s="2">
        <v>45668</v>
      </c>
      <c r="G246" s="2">
        <v>45672</v>
      </c>
      <c r="H246" s="1" t="s">
        <v>27</v>
      </c>
      <c r="I246" s="1" t="s">
        <v>35</v>
      </c>
      <c r="J246" s="1">
        <v>5</v>
      </c>
      <c r="K246" s="1" t="s">
        <v>19</v>
      </c>
      <c r="L246" s="1" t="s">
        <v>62</v>
      </c>
      <c r="M246" s="1">
        <f>orders[[#This Row],[Ship Date]]-orders[[#This Row],[Order Date]]</f>
        <v>4</v>
      </c>
      <c r="N246" s="1">
        <f>WEEKNUM(orders[[#This Row],[Order Date]])</f>
        <v>2</v>
      </c>
      <c r="O246" s="1"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s="1">
        <v>72.8</v>
      </c>
      <c r="F247" s="2">
        <v>45668</v>
      </c>
      <c r="G247" s="2">
        <v>45669</v>
      </c>
      <c r="H247" s="1" t="s">
        <v>23</v>
      </c>
      <c r="I247" s="1" t="s">
        <v>35</v>
      </c>
      <c r="J247" s="1">
        <v>3</v>
      </c>
      <c r="K247" s="1" t="s">
        <v>19</v>
      </c>
      <c r="L247" s="1" t="s">
        <v>72</v>
      </c>
      <c r="M247" s="1">
        <f>orders[[#This Row],[Ship Date]]-orders[[#This Row],[Order Date]]</f>
        <v>1</v>
      </c>
      <c r="N247" s="1">
        <f>WEEKNUM(orders[[#This Row],[Order Date]])</f>
        <v>2</v>
      </c>
      <c r="O247" s="1" t="str" cm="1">
        <f t="array" ref="O247">_xlfn.IFS(orders[[#This Row],[Customer Gender]]="M","Male", orders[[#This Row],[Customer Gender]]="F","Female", orders[[#This Row],[Customer Gender]]="O","Other", TRUE,"Unknown")</f>
        <v>Male</v>
      </c>
    </row>
    <row r="248" spans="1:15" x14ac:dyDescent="0.3">
      <c r="A248" t="s">
        <v>324</v>
      </c>
      <c r="B248" t="s">
        <v>22</v>
      </c>
      <c r="C248">
        <v>5</v>
      </c>
      <c r="D248">
        <v>47.3</v>
      </c>
      <c r="E248" s="1">
        <v>236.5</v>
      </c>
      <c r="F248" s="2">
        <v>45668</v>
      </c>
      <c r="G248" s="2">
        <v>45671</v>
      </c>
      <c r="H248" s="1" t="s">
        <v>23</v>
      </c>
      <c r="I248" s="1" t="s">
        <v>40</v>
      </c>
      <c r="J248" s="1">
        <v>4</v>
      </c>
      <c r="K248" s="1" t="s">
        <v>19</v>
      </c>
      <c r="L248" s="1" t="s">
        <v>74</v>
      </c>
      <c r="M248" s="1">
        <f>orders[[#This Row],[Ship Date]]-orders[[#This Row],[Order Date]]</f>
        <v>3</v>
      </c>
      <c r="N248" s="1">
        <f>WEEKNUM(orders[[#This Row],[Order Date]])</f>
        <v>2</v>
      </c>
      <c r="O248" s="1" t="str" cm="1">
        <f t="array" ref="O248">_xlfn.IFS(orders[[#This Row],[Customer Gender]]="M","Male", orders[[#This Row],[Customer Gender]]="F","Female", orders[[#This Row],[Customer Gender]]="O","Other", TRUE,"Unknown")</f>
        <v>Male</v>
      </c>
    </row>
    <row r="249" spans="1:15" x14ac:dyDescent="0.3">
      <c r="A249" t="s">
        <v>325</v>
      </c>
      <c r="B249" t="s">
        <v>39</v>
      </c>
      <c r="C249">
        <v>3</v>
      </c>
      <c r="D249">
        <v>82.5</v>
      </c>
      <c r="E249" s="1">
        <v>247.5</v>
      </c>
      <c r="F249" s="2">
        <v>45668</v>
      </c>
      <c r="G249" s="2">
        <v>45669</v>
      </c>
      <c r="H249" s="1" t="s">
        <v>23</v>
      </c>
      <c r="I249" s="1" t="s">
        <v>18</v>
      </c>
      <c r="J249" s="1">
        <v>4</v>
      </c>
      <c r="K249" s="1" t="s">
        <v>19</v>
      </c>
      <c r="L249" s="1" t="s">
        <v>77</v>
      </c>
      <c r="M249" s="1">
        <f>orders[[#This Row],[Ship Date]]-orders[[#This Row],[Order Date]]</f>
        <v>1</v>
      </c>
      <c r="N249" s="1">
        <f>WEEKNUM(orders[[#This Row],[Order Date]])</f>
        <v>2</v>
      </c>
      <c r="O249" s="1" t="str" cm="1">
        <f t="array" ref="O249">_xlfn.IFS(orders[[#This Row],[Customer Gender]]="M","Male", orders[[#This Row],[Customer Gender]]="F","Female", orders[[#This Row],[Customer Gender]]="O","Other", TRUE,"Unknown")</f>
        <v>Male</v>
      </c>
    </row>
    <row r="250" spans="1:15" x14ac:dyDescent="0.3">
      <c r="A250" t="s">
        <v>326</v>
      </c>
      <c r="B250" t="s">
        <v>16</v>
      </c>
      <c r="C250">
        <v>1</v>
      </c>
      <c r="D250">
        <v>14.3</v>
      </c>
      <c r="E250" s="1">
        <v>14.3</v>
      </c>
      <c r="F250" s="2">
        <v>45668</v>
      </c>
      <c r="G250" s="2">
        <v>45669</v>
      </c>
      <c r="H250" s="1" t="s">
        <v>27</v>
      </c>
      <c r="I250" s="1" t="s">
        <v>18</v>
      </c>
      <c r="J250" s="1">
        <v>4</v>
      </c>
      <c r="K250" s="1" t="s">
        <v>19</v>
      </c>
      <c r="L250" s="1" t="s">
        <v>115</v>
      </c>
      <c r="M250" s="1">
        <f>orders[[#This Row],[Ship Date]]-orders[[#This Row],[Order Date]]</f>
        <v>1</v>
      </c>
      <c r="N250" s="1">
        <f>WEEKNUM(orders[[#This Row],[Order Date]])</f>
        <v>2</v>
      </c>
      <c r="O250" s="1"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s="1">
        <v>345.6</v>
      </c>
      <c r="F251" s="2">
        <v>45668</v>
      </c>
      <c r="G251" s="2">
        <v>45682</v>
      </c>
      <c r="H251" s="1" t="s">
        <v>27</v>
      </c>
      <c r="I251" s="1" t="s">
        <v>18</v>
      </c>
      <c r="J251" s="1">
        <v>4</v>
      </c>
      <c r="K251" s="1" t="s">
        <v>19</v>
      </c>
      <c r="L251" s="1" t="s">
        <v>115</v>
      </c>
      <c r="M251" s="1">
        <f>orders[[#This Row],[Ship Date]]-orders[[#This Row],[Order Date]]</f>
        <v>14</v>
      </c>
      <c r="N251" s="1">
        <f>WEEKNUM(orders[[#This Row],[Order Date]])</f>
        <v>2</v>
      </c>
      <c r="O251" s="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s="1">
        <v>427.20000000000005</v>
      </c>
      <c r="F252" s="2">
        <v>45668</v>
      </c>
      <c r="G252" s="2">
        <v>45670</v>
      </c>
      <c r="H252" s="1" t="s">
        <v>23</v>
      </c>
      <c r="I252" s="1" t="s">
        <v>70</v>
      </c>
      <c r="J252" s="1">
        <v>3</v>
      </c>
      <c r="K252" s="1" t="s">
        <v>19</v>
      </c>
      <c r="L252" s="1" t="s">
        <v>115</v>
      </c>
      <c r="M252" s="1">
        <f>orders[[#This Row],[Ship Date]]-orders[[#This Row],[Order Date]]</f>
        <v>2</v>
      </c>
      <c r="N252" s="1">
        <f>WEEKNUM(orders[[#This Row],[Order Date]])</f>
        <v>2</v>
      </c>
      <c r="O252" s="1" t="str" cm="1">
        <f t="array" ref="O252">_xlfn.IFS(orders[[#This Row],[Customer Gender]]="M","Male", orders[[#This Row],[Customer Gender]]="F","Female", orders[[#This Row],[Customer Gender]]="O","Other", TRUE,"Unknown")</f>
        <v>Male</v>
      </c>
    </row>
    <row r="253" spans="1:15" x14ac:dyDescent="0.3">
      <c r="A253" t="s">
        <v>329</v>
      </c>
      <c r="B253" t="s">
        <v>69</v>
      </c>
      <c r="C253">
        <v>1</v>
      </c>
      <c r="D253">
        <v>30.2</v>
      </c>
      <c r="E253" s="1">
        <v>30.2</v>
      </c>
      <c r="F253" s="2">
        <v>45668</v>
      </c>
      <c r="G253" s="2">
        <v>45672</v>
      </c>
      <c r="H253" s="1" t="s">
        <v>23</v>
      </c>
      <c r="I253" s="1" t="s">
        <v>35</v>
      </c>
      <c r="J253" s="1">
        <v>5</v>
      </c>
      <c r="K253" s="1" t="s">
        <v>19</v>
      </c>
      <c r="L253" s="1" t="s">
        <v>28</v>
      </c>
      <c r="M253" s="1">
        <f>orders[[#This Row],[Ship Date]]-orders[[#This Row],[Order Date]]</f>
        <v>4</v>
      </c>
      <c r="N253" s="1">
        <f>WEEKNUM(orders[[#This Row],[Order Date]])</f>
        <v>2</v>
      </c>
      <c r="O253" s="1" t="str" cm="1">
        <f t="array" ref="O253">_xlfn.IFS(orders[[#This Row],[Customer Gender]]="M","Male", orders[[#This Row],[Customer Gender]]="F","Female", orders[[#This Row],[Customer Gender]]="O","Other", TRUE,"Unknown")</f>
        <v>Male</v>
      </c>
    </row>
    <row r="254" spans="1:15" x14ac:dyDescent="0.3">
      <c r="A254" t="s">
        <v>330</v>
      </c>
      <c r="B254" t="s">
        <v>146</v>
      </c>
      <c r="C254">
        <v>3</v>
      </c>
      <c r="D254">
        <v>65.3</v>
      </c>
      <c r="E254" s="1">
        <v>195.89999999999998</v>
      </c>
      <c r="F254" s="2">
        <v>45668</v>
      </c>
      <c r="G254" s="2">
        <v>45669</v>
      </c>
      <c r="H254" s="1" t="s">
        <v>89</v>
      </c>
      <c r="I254" s="1" t="s">
        <v>35</v>
      </c>
      <c r="J254" s="1">
        <v>4</v>
      </c>
      <c r="K254" s="1" t="s">
        <v>19</v>
      </c>
      <c r="L254" s="1" t="s">
        <v>331</v>
      </c>
      <c r="M254" s="1">
        <f>orders[[#This Row],[Ship Date]]-orders[[#This Row],[Order Date]]</f>
        <v>1</v>
      </c>
      <c r="N254" s="1">
        <f>WEEKNUM(orders[[#This Row],[Order Date]])</f>
        <v>2</v>
      </c>
      <c r="O254" s="1" t="str" cm="1">
        <f t="array" ref="O254">_xlfn.IFS(orders[[#This Row],[Customer Gender]]="M","Male", orders[[#This Row],[Customer Gender]]="F","Female", orders[[#This Row],[Customer Gender]]="O","Other", TRUE,"Unknown")</f>
        <v>Other</v>
      </c>
    </row>
    <row r="255" spans="1:15" x14ac:dyDescent="0.3">
      <c r="A255" t="s">
        <v>332</v>
      </c>
      <c r="B255" t="s">
        <v>16</v>
      </c>
      <c r="C255">
        <v>2</v>
      </c>
      <c r="D255">
        <v>33.4</v>
      </c>
      <c r="E255" s="1">
        <v>66.8</v>
      </c>
      <c r="F255" s="2">
        <v>45668</v>
      </c>
      <c r="G255" s="2">
        <v>45669</v>
      </c>
      <c r="H255" s="1" t="s">
        <v>23</v>
      </c>
      <c r="I255" s="1" t="s">
        <v>35</v>
      </c>
      <c r="J255" s="1">
        <v>3</v>
      </c>
      <c r="K255" s="1" t="s">
        <v>19</v>
      </c>
      <c r="L255" s="1" t="s">
        <v>147</v>
      </c>
      <c r="M255" s="1">
        <f>orders[[#This Row],[Ship Date]]-orders[[#This Row],[Order Date]]</f>
        <v>1</v>
      </c>
      <c r="N255" s="1">
        <f>WEEKNUM(orders[[#This Row],[Order Date]])</f>
        <v>2</v>
      </c>
      <c r="O255" s="1" t="str" cm="1">
        <f t="array" ref="O255">_xlfn.IFS(orders[[#This Row],[Customer Gender]]="M","Male", orders[[#This Row],[Customer Gender]]="F","Female", orders[[#This Row],[Customer Gender]]="O","Other", TRUE,"Unknown")</f>
        <v>Male</v>
      </c>
    </row>
    <row r="256" spans="1:15" x14ac:dyDescent="0.3">
      <c r="A256" t="s">
        <v>333</v>
      </c>
      <c r="B256" t="s">
        <v>42</v>
      </c>
      <c r="C256">
        <v>2</v>
      </c>
      <c r="D256">
        <v>45.1</v>
      </c>
      <c r="E256" s="1">
        <v>90.2</v>
      </c>
      <c r="F256" s="2">
        <v>45668</v>
      </c>
      <c r="G256" s="2">
        <v>45676</v>
      </c>
      <c r="H256" s="1" t="s">
        <v>23</v>
      </c>
      <c r="I256" s="1" t="s">
        <v>18</v>
      </c>
      <c r="J256" s="1">
        <v>4</v>
      </c>
      <c r="K256" s="1" t="s">
        <v>19</v>
      </c>
      <c r="L256" s="1" t="s">
        <v>334</v>
      </c>
      <c r="M256" s="1">
        <f>orders[[#This Row],[Ship Date]]-orders[[#This Row],[Order Date]]</f>
        <v>8</v>
      </c>
      <c r="N256" s="1">
        <f>WEEKNUM(orders[[#This Row],[Order Date]])</f>
        <v>2</v>
      </c>
      <c r="O256" s="1" t="str" cm="1">
        <f t="array" ref="O256">_xlfn.IFS(orders[[#This Row],[Customer Gender]]="M","Male", orders[[#This Row],[Customer Gender]]="F","Female", orders[[#This Row],[Customer Gender]]="O","Other", TRUE,"Unknown")</f>
        <v>Male</v>
      </c>
    </row>
    <row r="257" spans="1:15" x14ac:dyDescent="0.3">
      <c r="A257" t="s">
        <v>335</v>
      </c>
      <c r="B257" t="s">
        <v>26</v>
      </c>
      <c r="C257">
        <v>7</v>
      </c>
      <c r="D257">
        <v>61.7</v>
      </c>
      <c r="E257" s="1">
        <v>431.90000000000003</v>
      </c>
      <c r="F257" s="2">
        <v>45668</v>
      </c>
      <c r="G257" s="2">
        <v>45670</v>
      </c>
      <c r="H257" s="1" t="s">
        <v>27</v>
      </c>
      <c r="I257" s="1" t="s">
        <v>70</v>
      </c>
      <c r="J257" s="1">
        <v>4</v>
      </c>
      <c r="K257" s="1" t="s">
        <v>19</v>
      </c>
      <c r="L257" s="1" t="s">
        <v>33</v>
      </c>
      <c r="M257" s="1">
        <f>orders[[#This Row],[Ship Date]]-orders[[#This Row],[Order Date]]</f>
        <v>2</v>
      </c>
      <c r="N257" s="1">
        <f>WEEKNUM(orders[[#This Row],[Order Date]])</f>
        <v>2</v>
      </c>
      <c r="O257" s="1"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s="1">
        <v>135.30000000000001</v>
      </c>
      <c r="F258" s="2">
        <v>45669</v>
      </c>
      <c r="G258" s="2">
        <v>45670</v>
      </c>
      <c r="H258" s="1" t="s">
        <v>23</v>
      </c>
      <c r="I258" s="1" t="s">
        <v>70</v>
      </c>
      <c r="J258" s="1">
        <v>3</v>
      </c>
      <c r="K258" s="1" t="s">
        <v>19</v>
      </c>
      <c r="L258" s="1" t="s">
        <v>33</v>
      </c>
      <c r="M258" s="1">
        <f>orders[[#This Row],[Ship Date]]-orders[[#This Row],[Order Date]]</f>
        <v>1</v>
      </c>
      <c r="N258" s="1">
        <f>WEEKNUM(orders[[#This Row],[Order Date]])</f>
        <v>3</v>
      </c>
      <c r="O258" s="1" t="str" cm="1">
        <f t="array" ref="O258">_xlfn.IFS(orders[[#This Row],[Customer Gender]]="M","Male", orders[[#This Row],[Customer Gender]]="F","Female", orders[[#This Row],[Customer Gender]]="O","Other", TRUE,"Unknown")</f>
        <v>Male</v>
      </c>
    </row>
    <row r="259" spans="1:15" x14ac:dyDescent="0.3">
      <c r="A259" t="s">
        <v>337</v>
      </c>
      <c r="B259" t="s">
        <v>123</v>
      </c>
      <c r="C259">
        <v>5</v>
      </c>
      <c r="D259">
        <v>22.7</v>
      </c>
      <c r="E259" s="1">
        <v>113.5</v>
      </c>
      <c r="F259" s="2">
        <v>45669</v>
      </c>
      <c r="G259" s="2">
        <v>45674</v>
      </c>
      <c r="H259" s="1" t="s">
        <v>23</v>
      </c>
      <c r="I259" s="1" t="s">
        <v>18</v>
      </c>
      <c r="J259" s="1">
        <v>5</v>
      </c>
      <c r="K259" s="1" t="s">
        <v>19</v>
      </c>
      <c r="L259" s="1" t="s">
        <v>338</v>
      </c>
      <c r="M259" s="1">
        <f>orders[[#This Row],[Ship Date]]-orders[[#This Row],[Order Date]]</f>
        <v>5</v>
      </c>
      <c r="N259" s="1">
        <f>WEEKNUM(orders[[#This Row],[Order Date]])</f>
        <v>3</v>
      </c>
      <c r="O259" s="1"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s="1">
        <v>17.600000000000001</v>
      </c>
      <c r="F260" s="2">
        <v>45669</v>
      </c>
      <c r="G260" s="2">
        <v>45670</v>
      </c>
      <c r="H260" s="1" t="s">
        <v>27</v>
      </c>
      <c r="I260" s="1" t="s">
        <v>18</v>
      </c>
      <c r="J260" s="1">
        <v>5</v>
      </c>
      <c r="K260" s="1" t="s">
        <v>19</v>
      </c>
      <c r="L260" s="1" t="s">
        <v>158</v>
      </c>
      <c r="M260" s="1">
        <f>orders[[#This Row],[Ship Date]]-orders[[#This Row],[Order Date]]</f>
        <v>1</v>
      </c>
      <c r="N260" s="1">
        <f>WEEKNUM(orders[[#This Row],[Order Date]])</f>
        <v>3</v>
      </c>
      <c r="O260" s="1"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s="1">
        <v>22.6</v>
      </c>
      <c r="F261" s="2">
        <v>45669</v>
      </c>
      <c r="G261" s="2">
        <v>45672</v>
      </c>
      <c r="H261" s="1" t="s">
        <v>27</v>
      </c>
      <c r="I261" s="1" t="s">
        <v>51</v>
      </c>
      <c r="J261" s="1">
        <v>5</v>
      </c>
      <c r="K261" s="1" t="s">
        <v>19</v>
      </c>
      <c r="L261" s="1" t="s">
        <v>158</v>
      </c>
      <c r="M261" s="1">
        <f>orders[[#This Row],[Ship Date]]-orders[[#This Row],[Order Date]]</f>
        <v>3</v>
      </c>
      <c r="N261" s="1">
        <f>WEEKNUM(orders[[#This Row],[Order Date]])</f>
        <v>3</v>
      </c>
      <c r="O261" s="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s="1">
        <v>160.19999999999999</v>
      </c>
      <c r="F262" s="2">
        <v>45669</v>
      </c>
      <c r="G262" s="2">
        <v>45672</v>
      </c>
      <c r="H262" s="1" t="s">
        <v>23</v>
      </c>
      <c r="I262" s="1" t="s">
        <v>51</v>
      </c>
      <c r="J262" s="1">
        <v>5</v>
      </c>
      <c r="K262" s="1" t="s">
        <v>19</v>
      </c>
      <c r="L262" s="1" t="s">
        <v>342</v>
      </c>
      <c r="M262" s="1">
        <f>orders[[#This Row],[Ship Date]]-orders[[#This Row],[Order Date]]</f>
        <v>3</v>
      </c>
      <c r="N262" s="1">
        <f>WEEKNUM(orders[[#This Row],[Order Date]])</f>
        <v>3</v>
      </c>
      <c r="O262" s="1" t="str" cm="1">
        <f t="array" ref="O262">_xlfn.IFS(orders[[#This Row],[Customer Gender]]="M","Male", orders[[#This Row],[Customer Gender]]="F","Female", orders[[#This Row],[Customer Gender]]="O","Other", TRUE,"Unknown")</f>
        <v>Male</v>
      </c>
    </row>
    <row r="263" spans="1:15" x14ac:dyDescent="0.3">
      <c r="A263" t="s">
        <v>343</v>
      </c>
      <c r="B263" t="s">
        <v>39</v>
      </c>
      <c r="C263">
        <v>11</v>
      </c>
      <c r="D263">
        <v>51.1</v>
      </c>
      <c r="E263" s="1">
        <v>562.1</v>
      </c>
      <c r="F263" s="2">
        <v>45669</v>
      </c>
      <c r="G263" s="2">
        <v>45671</v>
      </c>
      <c r="H263" s="1" t="s">
        <v>27</v>
      </c>
      <c r="I263" s="1" t="s">
        <v>40</v>
      </c>
      <c r="J263" s="1">
        <v>5</v>
      </c>
      <c r="K263" s="1" t="s">
        <v>19</v>
      </c>
      <c r="L263" s="1" t="s">
        <v>62</v>
      </c>
      <c r="M263" s="1">
        <f>orders[[#This Row],[Ship Date]]-orders[[#This Row],[Order Date]]</f>
        <v>2</v>
      </c>
      <c r="N263" s="1">
        <f>WEEKNUM(orders[[#This Row],[Order Date]])</f>
        <v>3</v>
      </c>
      <c r="O263" s="1"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s="1">
        <v>55</v>
      </c>
      <c r="F264" s="2">
        <v>45669</v>
      </c>
      <c r="G264" s="2">
        <v>45670</v>
      </c>
      <c r="H264" s="1" t="s">
        <v>23</v>
      </c>
      <c r="I264" s="1" t="s">
        <v>70</v>
      </c>
      <c r="J264" s="1">
        <v>3</v>
      </c>
      <c r="K264" s="1" t="s">
        <v>19</v>
      </c>
      <c r="L264" s="1" t="s">
        <v>62</v>
      </c>
      <c r="M264" s="1">
        <f>orders[[#This Row],[Ship Date]]-orders[[#This Row],[Order Date]]</f>
        <v>1</v>
      </c>
      <c r="N264" s="1">
        <f>WEEKNUM(orders[[#This Row],[Order Date]])</f>
        <v>3</v>
      </c>
      <c r="O264" s="1" t="str" cm="1">
        <f t="array" ref="O264">_xlfn.IFS(orders[[#This Row],[Customer Gender]]="M","Male", orders[[#This Row],[Customer Gender]]="F","Female", orders[[#This Row],[Customer Gender]]="O","Other", TRUE,"Unknown")</f>
        <v>Male</v>
      </c>
    </row>
    <row r="265" spans="1:15" x14ac:dyDescent="0.3">
      <c r="A265" t="s">
        <v>345</v>
      </c>
      <c r="B265" t="s">
        <v>46</v>
      </c>
      <c r="C265">
        <v>1</v>
      </c>
      <c r="D265">
        <v>33.5</v>
      </c>
      <c r="E265" s="1">
        <v>33.5</v>
      </c>
      <c r="F265" s="2">
        <v>45669</v>
      </c>
      <c r="G265" s="2">
        <v>45671</v>
      </c>
      <c r="H265" s="1" t="s">
        <v>27</v>
      </c>
      <c r="I265" s="1" t="s">
        <v>18</v>
      </c>
      <c r="J265" s="1">
        <v>2</v>
      </c>
      <c r="K265" s="1" t="s">
        <v>19</v>
      </c>
      <c r="L265" s="1" t="s">
        <v>62</v>
      </c>
      <c r="M265" s="1">
        <f>orders[[#This Row],[Ship Date]]-orders[[#This Row],[Order Date]]</f>
        <v>2</v>
      </c>
      <c r="N265" s="1">
        <f>WEEKNUM(orders[[#This Row],[Order Date]])</f>
        <v>3</v>
      </c>
      <c r="O265" s="1"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s="1">
        <v>59.5</v>
      </c>
      <c r="F266" s="2">
        <v>45669</v>
      </c>
      <c r="G266" s="2">
        <v>45669</v>
      </c>
      <c r="H266" s="1" t="s">
        <v>23</v>
      </c>
      <c r="I266" s="1" t="s">
        <v>18</v>
      </c>
      <c r="J266" s="1">
        <v>5</v>
      </c>
      <c r="K266" s="1" t="s">
        <v>19</v>
      </c>
      <c r="L266" s="1" t="s">
        <v>108</v>
      </c>
      <c r="M266" s="1">
        <f>orders[[#This Row],[Ship Date]]-orders[[#This Row],[Order Date]]</f>
        <v>0</v>
      </c>
      <c r="N266" s="1">
        <f>WEEKNUM(orders[[#This Row],[Order Date]])</f>
        <v>3</v>
      </c>
      <c r="O266" s="1" t="str" cm="1">
        <f t="array" ref="O266">_xlfn.IFS(orders[[#This Row],[Customer Gender]]="M","Male", orders[[#This Row],[Customer Gender]]="F","Female", orders[[#This Row],[Customer Gender]]="O","Other", TRUE,"Unknown")</f>
        <v>Male</v>
      </c>
    </row>
    <row r="267" spans="1:15" x14ac:dyDescent="0.3">
      <c r="A267" t="s">
        <v>347</v>
      </c>
      <c r="B267" t="s">
        <v>135</v>
      </c>
      <c r="C267">
        <v>4</v>
      </c>
      <c r="D267">
        <v>23.5</v>
      </c>
      <c r="E267" s="1">
        <v>94</v>
      </c>
      <c r="F267" s="2">
        <v>45669</v>
      </c>
      <c r="G267" s="2">
        <v>45670</v>
      </c>
      <c r="H267" s="1" t="s">
        <v>27</v>
      </c>
      <c r="I267" s="1" t="s">
        <v>51</v>
      </c>
      <c r="J267" s="1">
        <v>1</v>
      </c>
      <c r="K267" s="1" t="s">
        <v>19</v>
      </c>
      <c r="L267" s="1" t="s">
        <v>110</v>
      </c>
      <c r="M267" s="1">
        <f>orders[[#This Row],[Ship Date]]-orders[[#This Row],[Order Date]]</f>
        <v>1</v>
      </c>
      <c r="N267" s="1">
        <f>WEEKNUM(orders[[#This Row],[Order Date]])</f>
        <v>3</v>
      </c>
      <c r="O267" s="1"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s="1">
        <v>49.7</v>
      </c>
      <c r="F268" s="2">
        <v>45669</v>
      </c>
      <c r="G268" s="2">
        <v>45670</v>
      </c>
      <c r="H268" s="1" t="s">
        <v>17</v>
      </c>
      <c r="I268" s="1" t="s">
        <v>35</v>
      </c>
      <c r="J268" s="1">
        <v>5</v>
      </c>
      <c r="K268" s="1" t="s">
        <v>19</v>
      </c>
      <c r="L268" s="1" t="s">
        <v>113</v>
      </c>
      <c r="M268" s="1">
        <f>orders[[#This Row],[Ship Date]]-orders[[#This Row],[Order Date]]</f>
        <v>1</v>
      </c>
      <c r="N268" s="1">
        <f>WEEKNUM(orders[[#This Row],[Order Date]])</f>
        <v>3</v>
      </c>
      <c r="O268" s="1"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s="1">
        <v>176.8</v>
      </c>
      <c r="F269" s="2">
        <v>45669</v>
      </c>
      <c r="G269" s="2">
        <v>45672</v>
      </c>
      <c r="H269" s="1" t="s">
        <v>27</v>
      </c>
      <c r="I269" s="1" t="s">
        <v>18</v>
      </c>
      <c r="J269" s="1">
        <v>5</v>
      </c>
      <c r="K269" s="1" t="s">
        <v>19</v>
      </c>
      <c r="L269" s="1" t="s">
        <v>115</v>
      </c>
      <c r="M269" s="1">
        <f>orders[[#This Row],[Ship Date]]-orders[[#This Row],[Order Date]]</f>
        <v>3</v>
      </c>
      <c r="N269" s="1">
        <f>WEEKNUM(orders[[#This Row],[Order Date]])</f>
        <v>3</v>
      </c>
      <c r="O269" s="1"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s="1">
        <v>22.1</v>
      </c>
      <c r="F270" s="2">
        <v>45669</v>
      </c>
      <c r="G270" s="2">
        <v>45673</v>
      </c>
      <c r="H270" s="1" t="s">
        <v>27</v>
      </c>
      <c r="I270" s="1" t="s">
        <v>35</v>
      </c>
      <c r="J270" s="1">
        <v>3</v>
      </c>
      <c r="K270" s="1" t="s">
        <v>19</v>
      </c>
      <c r="L270" s="1" t="s">
        <v>331</v>
      </c>
      <c r="M270" s="1">
        <f>orders[[#This Row],[Ship Date]]-orders[[#This Row],[Order Date]]</f>
        <v>4</v>
      </c>
      <c r="N270" s="1">
        <f>WEEKNUM(orders[[#This Row],[Order Date]])</f>
        <v>3</v>
      </c>
      <c r="O270" s="1"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s="1">
        <v>272.70000000000005</v>
      </c>
      <c r="F271" s="2">
        <v>45669</v>
      </c>
      <c r="G271" s="2">
        <v>45670</v>
      </c>
      <c r="H271" s="1" t="s">
        <v>27</v>
      </c>
      <c r="I271" s="1" t="s">
        <v>40</v>
      </c>
      <c r="J271" s="1">
        <v>2</v>
      </c>
      <c r="K271" s="1" t="s">
        <v>19</v>
      </c>
      <c r="L271" s="1" t="s">
        <v>33</v>
      </c>
      <c r="M271" s="1">
        <f>orders[[#This Row],[Ship Date]]-orders[[#This Row],[Order Date]]</f>
        <v>1</v>
      </c>
      <c r="N271" s="1">
        <f>WEEKNUM(orders[[#This Row],[Order Date]])</f>
        <v>3</v>
      </c>
      <c r="O271" s="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s="1">
        <v>133.5</v>
      </c>
      <c r="F272" s="2">
        <v>45669</v>
      </c>
      <c r="G272" s="2">
        <v>45670</v>
      </c>
      <c r="H272" s="1" t="s">
        <v>27</v>
      </c>
      <c r="I272" s="1" t="s">
        <v>35</v>
      </c>
      <c r="J272" s="1">
        <v>4</v>
      </c>
      <c r="K272" s="1" t="s">
        <v>19</v>
      </c>
      <c r="L272" s="1" t="s">
        <v>33</v>
      </c>
      <c r="M272" s="1">
        <f>orders[[#This Row],[Ship Date]]-orders[[#This Row],[Order Date]]</f>
        <v>1</v>
      </c>
      <c r="N272" s="1">
        <f>WEEKNUM(orders[[#This Row],[Order Date]])</f>
        <v>3</v>
      </c>
      <c r="O272" s="1"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s="1">
        <v>193.79999999999998</v>
      </c>
      <c r="F273" s="2">
        <v>45669</v>
      </c>
      <c r="G273" s="2">
        <v>45673</v>
      </c>
      <c r="H273" s="1" t="s">
        <v>27</v>
      </c>
      <c r="I273" s="1" t="s">
        <v>18</v>
      </c>
      <c r="J273" s="1">
        <v>4</v>
      </c>
      <c r="K273" s="1" t="s">
        <v>19</v>
      </c>
      <c r="L273" s="1" t="s">
        <v>33</v>
      </c>
      <c r="M273" s="1">
        <f>orders[[#This Row],[Ship Date]]-orders[[#This Row],[Order Date]]</f>
        <v>4</v>
      </c>
      <c r="N273" s="1">
        <f>WEEKNUM(orders[[#This Row],[Order Date]])</f>
        <v>3</v>
      </c>
      <c r="O273" s="1"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s="1">
        <v>262.5</v>
      </c>
      <c r="F274" s="2">
        <v>45669</v>
      </c>
      <c r="G274" s="2">
        <v>45670</v>
      </c>
      <c r="H274" s="1" t="s">
        <v>27</v>
      </c>
      <c r="I274" s="1" t="s">
        <v>35</v>
      </c>
      <c r="J274" s="1">
        <v>3</v>
      </c>
      <c r="K274" s="1" t="s">
        <v>19</v>
      </c>
      <c r="L274" s="1" t="s">
        <v>33</v>
      </c>
      <c r="M274" s="1">
        <f>orders[[#This Row],[Ship Date]]-orders[[#This Row],[Order Date]]</f>
        <v>1</v>
      </c>
      <c r="N274" s="1">
        <f>WEEKNUM(orders[[#This Row],[Order Date]])</f>
        <v>3</v>
      </c>
      <c r="O274" s="1"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s="1">
        <v>243.5</v>
      </c>
      <c r="F275" s="2">
        <v>45669</v>
      </c>
      <c r="G275" s="2">
        <v>45670</v>
      </c>
      <c r="H275" s="1" t="s">
        <v>23</v>
      </c>
      <c r="I275" s="1" t="s">
        <v>40</v>
      </c>
      <c r="J275" s="1">
        <v>4</v>
      </c>
      <c r="K275" s="1" t="s">
        <v>19</v>
      </c>
      <c r="L275" s="1" t="s">
        <v>33</v>
      </c>
      <c r="M275" s="1">
        <f>orders[[#This Row],[Ship Date]]-orders[[#This Row],[Order Date]]</f>
        <v>1</v>
      </c>
      <c r="N275" s="1">
        <f>WEEKNUM(orders[[#This Row],[Order Date]])</f>
        <v>3</v>
      </c>
      <c r="O275" s="1" t="str" cm="1">
        <f t="array" ref="O275">_xlfn.IFS(orders[[#This Row],[Customer Gender]]="M","Male", orders[[#This Row],[Customer Gender]]="F","Female", orders[[#This Row],[Customer Gender]]="O","Other", TRUE,"Unknown")</f>
        <v>Male</v>
      </c>
    </row>
    <row r="276" spans="1:15" x14ac:dyDescent="0.3">
      <c r="A276" t="s">
        <v>356</v>
      </c>
      <c r="B276" t="s">
        <v>16</v>
      </c>
      <c r="C276">
        <v>5</v>
      </c>
      <c r="D276">
        <v>22.5</v>
      </c>
      <c r="E276" s="1">
        <v>112.5</v>
      </c>
      <c r="F276" s="2">
        <v>45669</v>
      </c>
      <c r="G276" s="2">
        <v>45670</v>
      </c>
      <c r="H276" s="1" t="s">
        <v>23</v>
      </c>
      <c r="I276" s="1" t="s">
        <v>18</v>
      </c>
      <c r="J276" s="1">
        <v>4</v>
      </c>
      <c r="K276" s="1" t="s">
        <v>19</v>
      </c>
      <c r="L276" s="1" t="s">
        <v>33</v>
      </c>
      <c r="M276" s="1">
        <f>orders[[#This Row],[Ship Date]]-orders[[#This Row],[Order Date]]</f>
        <v>1</v>
      </c>
      <c r="N276" s="1">
        <f>WEEKNUM(orders[[#This Row],[Order Date]])</f>
        <v>3</v>
      </c>
      <c r="O276" s="1"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s="1">
        <v>527.20000000000005</v>
      </c>
      <c r="F277" s="2">
        <v>45669</v>
      </c>
      <c r="G277" s="2">
        <v>45672</v>
      </c>
      <c r="H277" s="1" t="s">
        <v>27</v>
      </c>
      <c r="I277" s="1" t="s">
        <v>35</v>
      </c>
      <c r="J277" s="1">
        <v>5</v>
      </c>
      <c r="K277" s="1" t="s">
        <v>19</v>
      </c>
      <c r="L277" s="1" t="s">
        <v>33</v>
      </c>
      <c r="M277" s="1">
        <f>orders[[#This Row],[Ship Date]]-orders[[#This Row],[Order Date]]</f>
        <v>3</v>
      </c>
      <c r="N277" s="1">
        <f>WEEKNUM(orders[[#This Row],[Order Date]])</f>
        <v>3</v>
      </c>
      <c r="O277" s="1"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s="1">
        <v>209.5</v>
      </c>
      <c r="F278" s="2">
        <v>45669</v>
      </c>
      <c r="G278" s="2">
        <v>45676</v>
      </c>
      <c r="H278" s="1" t="s">
        <v>17</v>
      </c>
      <c r="I278" s="1" t="s">
        <v>18</v>
      </c>
      <c r="J278" s="1">
        <v>4</v>
      </c>
      <c r="K278" s="1" t="s">
        <v>19</v>
      </c>
      <c r="L278" s="1" t="s">
        <v>33</v>
      </c>
      <c r="M278" s="1">
        <f>orders[[#This Row],[Ship Date]]-orders[[#This Row],[Order Date]]</f>
        <v>7</v>
      </c>
      <c r="N278" s="1">
        <f>WEEKNUM(orders[[#This Row],[Order Date]])</f>
        <v>3</v>
      </c>
      <c r="O278" s="1"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s="1">
        <v>337.5</v>
      </c>
      <c r="F279" s="2">
        <v>45669</v>
      </c>
      <c r="G279" s="2">
        <v>45670</v>
      </c>
      <c r="H279" s="1" t="s">
        <v>27</v>
      </c>
      <c r="I279" s="1" t="s">
        <v>18</v>
      </c>
      <c r="J279" s="1">
        <v>5</v>
      </c>
      <c r="K279" s="1" t="s">
        <v>19</v>
      </c>
      <c r="L279" s="1" t="s">
        <v>33</v>
      </c>
      <c r="M279" s="1">
        <f>orders[[#This Row],[Ship Date]]-orders[[#This Row],[Order Date]]</f>
        <v>1</v>
      </c>
      <c r="N279" s="1">
        <f>WEEKNUM(orders[[#This Row],[Order Date]])</f>
        <v>3</v>
      </c>
      <c r="O279" s="1"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s="1">
        <v>60.4</v>
      </c>
      <c r="F280" s="2">
        <v>45670</v>
      </c>
      <c r="G280" s="2">
        <v>45672</v>
      </c>
      <c r="H280" s="1" t="s">
        <v>27</v>
      </c>
      <c r="I280" s="1" t="s">
        <v>35</v>
      </c>
      <c r="J280" s="1">
        <v>3</v>
      </c>
      <c r="K280" s="1" t="s">
        <v>19</v>
      </c>
      <c r="L280" s="1" t="s">
        <v>33</v>
      </c>
      <c r="M280" s="1">
        <f>orders[[#This Row],[Ship Date]]-orders[[#This Row],[Order Date]]</f>
        <v>2</v>
      </c>
      <c r="N280" s="1">
        <f>WEEKNUM(orders[[#This Row],[Order Date]])</f>
        <v>3</v>
      </c>
      <c r="O280" s="1"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s="1">
        <v>212.79999999999998</v>
      </c>
      <c r="F281" s="2">
        <v>45670</v>
      </c>
      <c r="G281" s="2">
        <v>45673</v>
      </c>
      <c r="H281" s="1" t="s">
        <v>27</v>
      </c>
      <c r="I281" s="1" t="s">
        <v>70</v>
      </c>
      <c r="J281" s="1">
        <v>4</v>
      </c>
      <c r="K281" s="1" t="s">
        <v>19</v>
      </c>
      <c r="L281" s="1" t="s">
        <v>33</v>
      </c>
      <c r="M281" s="1">
        <f>orders[[#This Row],[Ship Date]]-orders[[#This Row],[Order Date]]</f>
        <v>3</v>
      </c>
      <c r="N281" s="1">
        <f>WEEKNUM(orders[[#This Row],[Order Date]])</f>
        <v>3</v>
      </c>
      <c r="O281" s="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s="1">
        <v>49</v>
      </c>
      <c r="F282" s="2">
        <v>45670</v>
      </c>
      <c r="G282" s="2">
        <v>45671</v>
      </c>
      <c r="H282" s="1" t="s">
        <v>23</v>
      </c>
      <c r="I282" s="1" t="s">
        <v>51</v>
      </c>
      <c r="J282" s="1">
        <v>5</v>
      </c>
      <c r="K282" s="1" t="s">
        <v>19</v>
      </c>
      <c r="L282" s="1" t="s">
        <v>33</v>
      </c>
      <c r="M282" s="1">
        <f>orders[[#This Row],[Ship Date]]-orders[[#This Row],[Order Date]]</f>
        <v>1</v>
      </c>
      <c r="N282" s="1">
        <f>WEEKNUM(orders[[#This Row],[Order Date]])</f>
        <v>3</v>
      </c>
      <c r="O282" s="1" t="str" cm="1">
        <f t="array" ref="O282">_xlfn.IFS(orders[[#This Row],[Customer Gender]]="M","Male", orders[[#This Row],[Customer Gender]]="F","Female", orders[[#This Row],[Customer Gender]]="O","Other", TRUE,"Unknown")</f>
        <v>Male</v>
      </c>
    </row>
    <row r="283" spans="1:15" x14ac:dyDescent="0.3">
      <c r="A283" t="s">
        <v>363</v>
      </c>
      <c r="B283" t="s">
        <v>26</v>
      </c>
      <c r="C283">
        <v>3</v>
      </c>
      <c r="D283">
        <v>105.9</v>
      </c>
      <c r="E283" s="1">
        <v>317.70000000000005</v>
      </c>
      <c r="F283" s="2">
        <v>45670</v>
      </c>
      <c r="G283" s="2">
        <v>45675</v>
      </c>
      <c r="H283" s="1" t="s">
        <v>23</v>
      </c>
      <c r="I283" s="1" t="s">
        <v>18</v>
      </c>
      <c r="J283" s="1">
        <v>4</v>
      </c>
      <c r="K283" s="1" t="s">
        <v>19</v>
      </c>
      <c r="L283" s="1" t="s">
        <v>364</v>
      </c>
      <c r="M283" s="1">
        <f>orders[[#This Row],[Ship Date]]-orders[[#This Row],[Order Date]]</f>
        <v>5</v>
      </c>
      <c r="N283" s="1">
        <f>WEEKNUM(orders[[#This Row],[Order Date]])</f>
        <v>3</v>
      </c>
      <c r="O283" s="1" t="str" cm="1">
        <f t="array" ref="O283">_xlfn.IFS(orders[[#This Row],[Customer Gender]]="M","Male", orders[[#This Row],[Customer Gender]]="F","Female", orders[[#This Row],[Customer Gender]]="O","Other", TRUE,"Unknown")</f>
        <v>Male</v>
      </c>
    </row>
    <row r="284" spans="1:15" x14ac:dyDescent="0.3">
      <c r="A284" t="s">
        <v>365</v>
      </c>
      <c r="B284" t="s">
        <v>54</v>
      </c>
      <c r="C284">
        <v>24</v>
      </c>
      <c r="D284">
        <v>25.9</v>
      </c>
      <c r="E284" s="1">
        <v>621.59999999999991</v>
      </c>
      <c r="F284" s="2">
        <v>45670</v>
      </c>
      <c r="G284" s="2">
        <v>45671</v>
      </c>
      <c r="H284" s="1" t="s">
        <v>27</v>
      </c>
      <c r="I284" s="1" t="s">
        <v>70</v>
      </c>
      <c r="J284" s="1">
        <v>4</v>
      </c>
      <c r="K284" s="1" t="s">
        <v>19</v>
      </c>
      <c r="L284" s="1" t="s">
        <v>158</v>
      </c>
      <c r="M284" s="1">
        <f>orders[[#This Row],[Ship Date]]-orders[[#This Row],[Order Date]]</f>
        <v>1</v>
      </c>
      <c r="N284" s="1">
        <f>WEEKNUM(orders[[#This Row],[Order Date]])</f>
        <v>3</v>
      </c>
      <c r="O284" s="1"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s="1">
        <v>200.39999999999998</v>
      </c>
      <c r="F285" s="2">
        <v>45670</v>
      </c>
      <c r="G285" s="2">
        <v>45670</v>
      </c>
      <c r="H285" s="1" t="s">
        <v>23</v>
      </c>
      <c r="I285" s="1" t="s">
        <v>18</v>
      </c>
      <c r="J285" s="1">
        <v>4</v>
      </c>
      <c r="K285" s="1" t="s">
        <v>19</v>
      </c>
      <c r="L285" s="1" t="s">
        <v>158</v>
      </c>
      <c r="M285" s="1">
        <f>orders[[#This Row],[Ship Date]]-orders[[#This Row],[Order Date]]</f>
        <v>0</v>
      </c>
      <c r="N285" s="1">
        <f>WEEKNUM(orders[[#This Row],[Order Date]])</f>
        <v>3</v>
      </c>
      <c r="O285" s="1" t="str" cm="1">
        <f t="array" ref="O285">_xlfn.IFS(orders[[#This Row],[Customer Gender]]="M","Male", orders[[#This Row],[Customer Gender]]="F","Female", orders[[#This Row],[Customer Gender]]="O","Other", TRUE,"Unknown")</f>
        <v>Male</v>
      </c>
    </row>
    <row r="286" spans="1:15" x14ac:dyDescent="0.3">
      <c r="A286" t="s">
        <v>367</v>
      </c>
      <c r="B286" t="s">
        <v>39</v>
      </c>
      <c r="C286">
        <v>3</v>
      </c>
      <c r="D286">
        <v>112.3</v>
      </c>
      <c r="E286" s="1">
        <v>336.9</v>
      </c>
      <c r="F286" s="2">
        <v>45670</v>
      </c>
      <c r="G286" s="2">
        <v>45671</v>
      </c>
      <c r="H286" s="1" t="s">
        <v>23</v>
      </c>
      <c r="I286" s="1" t="s">
        <v>40</v>
      </c>
      <c r="J286" s="1">
        <v>2</v>
      </c>
      <c r="K286" s="1" t="s">
        <v>19</v>
      </c>
      <c r="L286" s="1" t="s">
        <v>55</v>
      </c>
      <c r="M286" s="1">
        <f>orders[[#This Row],[Ship Date]]-orders[[#This Row],[Order Date]]</f>
        <v>1</v>
      </c>
      <c r="N286" s="1">
        <f>WEEKNUM(orders[[#This Row],[Order Date]])</f>
        <v>3</v>
      </c>
      <c r="O286" s="1" t="str" cm="1">
        <f t="array" ref="O286">_xlfn.IFS(orders[[#This Row],[Customer Gender]]="M","Male", orders[[#This Row],[Customer Gender]]="F","Female", orders[[#This Row],[Customer Gender]]="O","Other", TRUE,"Unknown")</f>
        <v>Male</v>
      </c>
    </row>
    <row r="287" spans="1:15" x14ac:dyDescent="0.3">
      <c r="A287" t="s">
        <v>368</v>
      </c>
      <c r="B287" t="s">
        <v>22</v>
      </c>
      <c r="C287">
        <v>6</v>
      </c>
      <c r="D287">
        <v>94.1</v>
      </c>
      <c r="E287" s="1">
        <v>564.59999999999991</v>
      </c>
      <c r="F287" s="2">
        <v>45670</v>
      </c>
      <c r="G287" s="2">
        <v>45671</v>
      </c>
      <c r="H287" s="1" t="s">
        <v>27</v>
      </c>
      <c r="I287" s="1" t="s">
        <v>18</v>
      </c>
      <c r="J287" s="1">
        <v>2</v>
      </c>
      <c r="K287" s="1" t="s">
        <v>19</v>
      </c>
      <c r="L287" s="1" t="s">
        <v>55</v>
      </c>
      <c r="M287" s="1">
        <f>orders[[#This Row],[Ship Date]]-orders[[#This Row],[Order Date]]</f>
        <v>1</v>
      </c>
      <c r="N287" s="1">
        <f>WEEKNUM(orders[[#This Row],[Order Date]])</f>
        <v>3</v>
      </c>
      <c r="O287" s="1"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s="1">
        <v>40.700000000000003</v>
      </c>
      <c r="F288" s="2">
        <v>45670</v>
      </c>
      <c r="G288" s="2">
        <v>45673</v>
      </c>
      <c r="H288" s="1" t="s">
        <v>27</v>
      </c>
      <c r="I288" s="1" t="s">
        <v>40</v>
      </c>
      <c r="J288" s="1">
        <v>4</v>
      </c>
      <c r="K288" s="1" t="s">
        <v>19</v>
      </c>
      <c r="L288" s="1" t="s">
        <v>55</v>
      </c>
      <c r="M288" s="1">
        <f>orders[[#This Row],[Ship Date]]-orders[[#This Row],[Order Date]]</f>
        <v>3</v>
      </c>
      <c r="N288" s="1">
        <f>WEEKNUM(orders[[#This Row],[Order Date]])</f>
        <v>3</v>
      </c>
      <c r="O288" s="1"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s="1">
        <v>142.80000000000001</v>
      </c>
      <c r="F289" s="2">
        <v>45670</v>
      </c>
      <c r="G289" s="2">
        <v>45671</v>
      </c>
      <c r="H289" s="1" t="s">
        <v>23</v>
      </c>
      <c r="I289" s="1" t="s">
        <v>18</v>
      </c>
      <c r="J289" s="1">
        <v>4</v>
      </c>
      <c r="K289" s="1" t="s">
        <v>19</v>
      </c>
      <c r="L289" s="1" t="s">
        <v>59</v>
      </c>
      <c r="M289" s="1">
        <f>orders[[#This Row],[Ship Date]]-orders[[#This Row],[Order Date]]</f>
        <v>1</v>
      </c>
      <c r="N289" s="1">
        <f>WEEKNUM(orders[[#This Row],[Order Date]])</f>
        <v>3</v>
      </c>
      <c r="O289" s="1" t="str" cm="1">
        <f t="array" ref="O289">_xlfn.IFS(orders[[#This Row],[Customer Gender]]="M","Male", orders[[#This Row],[Customer Gender]]="F","Female", orders[[#This Row],[Customer Gender]]="O","Other", TRUE,"Unknown")</f>
        <v>Male</v>
      </c>
    </row>
    <row r="290" spans="1:15" x14ac:dyDescent="0.3">
      <c r="A290" t="s">
        <v>371</v>
      </c>
      <c r="B290" t="s">
        <v>16</v>
      </c>
      <c r="C290">
        <v>18</v>
      </c>
      <c r="D290">
        <v>15.6</v>
      </c>
      <c r="E290" s="1">
        <v>280.8</v>
      </c>
      <c r="F290" s="2">
        <v>45670</v>
      </c>
      <c r="G290" s="2">
        <v>45671</v>
      </c>
      <c r="H290" s="1" t="s">
        <v>23</v>
      </c>
      <c r="I290" s="1" t="s">
        <v>35</v>
      </c>
      <c r="J290" s="1">
        <v>1</v>
      </c>
      <c r="K290" s="1" t="s">
        <v>19</v>
      </c>
      <c r="L290" s="1" t="s">
        <v>62</v>
      </c>
      <c r="M290" s="1">
        <f>orders[[#This Row],[Ship Date]]-orders[[#This Row],[Order Date]]</f>
        <v>1</v>
      </c>
      <c r="N290" s="1">
        <f>WEEKNUM(orders[[#This Row],[Order Date]])</f>
        <v>3</v>
      </c>
      <c r="O290" s="1"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s="1">
        <v>151.19999999999999</v>
      </c>
      <c r="F291" s="2">
        <v>45670</v>
      </c>
      <c r="G291" s="2">
        <v>45671</v>
      </c>
      <c r="H291" s="1" t="s">
        <v>23</v>
      </c>
      <c r="I291" s="1" t="s">
        <v>40</v>
      </c>
      <c r="J291" s="1">
        <v>5</v>
      </c>
      <c r="K291" s="1" t="s">
        <v>19</v>
      </c>
      <c r="L291" s="1" t="s">
        <v>62</v>
      </c>
      <c r="M291" s="1">
        <f>orders[[#This Row],[Ship Date]]-orders[[#This Row],[Order Date]]</f>
        <v>1</v>
      </c>
      <c r="N291" s="1">
        <f>WEEKNUM(orders[[#This Row],[Order Date]])</f>
        <v>3</v>
      </c>
      <c r="O291" s="1" t="str" cm="1">
        <f t="array" ref="O291">_xlfn.IFS(orders[[#This Row],[Customer Gender]]="M","Male", orders[[#This Row],[Customer Gender]]="F","Female", orders[[#This Row],[Customer Gender]]="O","Other", TRUE,"Unknown")</f>
        <v>Male</v>
      </c>
    </row>
    <row r="292" spans="1:15" x14ac:dyDescent="0.3">
      <c r="A292" t="s">
        <v>373</v>
      </c>
      <c r="B292" t="s">
        <v>32</v>
      </c>
      <c r="C292">
        <v>3</v>
      </c>
      <c r="D292">
        <v>28.1</v>
      </c>
      <c r="E292" s="1">
        <v>84.300000000000011</v>
      </c>
      <c r="F292" s="2">
        <v>45670</v>
      </c>
      <c r="G292" s="2">
        <v>45674</v>
      </c>
      <c r="H292" s="1" t="s">
        <v>23</v>
      </c>
      <c r="I292" s="1" t="s">
        <v>18</v>
      </c>
      <c r="J292" s="1">
        <v>4</v>
      </c>
      <c r="K292" s="1" t="s">
        <v>19</v>
      </c>
      <c r="L292" s="1" t="s">
        <v>62</v>
      </c>
      <c r="M292" s="1">
        <f>orders[[#This Row],[Ship Date]]-orders[[#This Row],[Order Date]]</f>
        <v>4</v>
      </c>
      <c r="N292" s="1">
        <f>WEEKNUM(orders[[#This Row],[Order Date]])</f>
        <v>3</v>
      </c>
      <c r="O292" s="1" t="str" cm="1">
        <f t="array" ref="O292">_xlfn.IFS(orders[[#This Row],[Customer Gender]]="M","Male", orders[[#This Row],[Customer Gender]]="F","Female", orders[[#This Row],[Customer Gender]]="O","Other", TRUE,"Unknown")</f>
        <v>Male</v>
      </c>
    </row>
    <row r="293" spans="1:15" x14ac:dyDescent="0.3">
      <c r="A293" t="s">
        <v>374</v>
      </c>
      <c r="B293" t="s">
        <v>42</v>
      </c>
      <c r="C293">
        <v>6</v>
      </c>
      <c r="D293">
        <v>51.4</v>
      </c>
      <c r="E293" s="1">
        <v>308.39999999999998</v>
      </c>
      <c r="F293" s="2">
        <v>45670</v>
      </c>
      <c r="G293" s="2">
        <v>45674</v>
      </c>
      <c r="H293" s="1" t="s">
        <v>23</v>
      </c>
      <c r="I293" s="1" t="s">
        <v>18</v>
      </c>
      <c r="J293" s="1">
        <v>4</v>
      </c>
      <c r="K293" s="1" t="s">
        <v>19</v>
      </c>
      <c r="L293" s="1" t="s">
        <v>62</v>
      </c>
      <c r="M293" s="1">
        <f>orders[[#This Row],[Ship Date]]-orders[[#This Row],[Order Date]]</f>
        <v>4</v>
      </c>
      <c r="N293" s="1">
        <f>WEEKNUM(orders[[#This Row],[Order Date]])</f>
        <v>3</v>
      </c>
      <c r="O293" s="1" t="str" cm="1">
        <f t="array" ref="O293">_xlfn.IFS(orders[[#This Row],[Customer Gender]]="M","Male", orders[[#This Row],[Customer Gender]]="F","Female", orders[[#This Row],[Customer Gender]]="O","Other", TRUE,"Unknown")</f>
        <v>Male</v>
      </c>
    </row>
    <row r="294" spans="1:15" x14ac:dyDescent="0.3">
      <c r="A294" t="s">
        <v>375</v>
      </c>
      <c r="B294" t="s">
        <v>42</v>
      </c>
      <c r="C294">
        <v>2</v>
      </c>
      <c r="D294">
        <v>97.7</v>
      </c>
      <c r="E294" s="1">
        <v>195.4</v>
      </c>
      <c r="F294" s="2">
        <v>45670</v>
      </c>
      <c r="G294" s="2">
        <v>45672</v>
      </c>
      <c r="H294" s="1" t="s">
        <v>27</v>
      </c>
      <c r="I294" s="1" t="s">
        <v>70</v>
      </c>
      <c r="J294" s="1">
        <v>5</v>
      </c>
      <c r="K294" s="1" t="s">
        <v>19</v>
      </c>
      <c r="L294" s="1" t="s">
        <v>103</v>
      </c>
      <c r="M294" s="1">
        <f>orders[[#This Row],[Ship Date]]-orders[[#This Row],[Order Date]]</f>
        <v>2</v>
      </c>
      <c r="N294" s="1">
        <f>WEEKNUM(orders[[#This Row],[Order Date]])</f>
        <v>3</v>
      </c>
      <c r="O294" s="1"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s="1">
        <v>255.2</v>
      </c>
      <c r="F295" s="2">
        <v>45670</v>
      </c>
      <c r="G295" s="2">
        <v>45671</v>
      </c>
      <c r="H295" s="1" t="s">
        <v>23</v>
      </c>
      <c r="I295" s="1" t="s">
        <v>40</v>
      </c>
      <c r="J295" s="1">
        <v>4</v>
      </c>
      <c r="K295" s="1" t="s">
        <v>19</v>
      </c>
      <c r="L295" s="1" t="s">
        <v>377</v>
      </c>
      <c r="M295" s="1">
        <f>orders[[#This Row],[Ship Date]]-orders[[#This Row],[Order Date]]</f>
        <v>1</v>
      </c>
      <c r="N295" s="1">
        <f>WEEKNUM(orders[[#This Row],[Order Date]])</f>
        <v>3</v>
      </c>
      <c r="O295" s="1"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s="1">
        <v>40.200000000000003</v>
      </c>
      <c r="F296" s="2">
        <v>45670</v>
      </c>
      <c r="G296" s="2">
        <v>45672</v>
      </c>
      <c r="H296" s="1" t="s">
        <v>23</v>
      </c>
      <c r="I296" s="1" t="s">
        <v>18</v>
      </c>
      <c r="J296" s="1">
        <v>5</v>
      </c>
      <c r="K296" s="1" t="s">
        <v>19</v>
      </c>
      <c r="L296" s="1" t="s">
        <v>113</v>
      </c>
      <c r="M296" s="1">
        <f>orders[[#This Row],[Ship Date]]-orders[[#This Row],[Order Date]]</f>
        <v>2</v>
      </c>
      <c r="N296" s="1">
        <f>WEEKNUM(orders[[#This Row],[Order Date]])</f>
        <v>3</v>
      </c>
      <c r="O296" s="1" t="str" cm="1">
        <f t="array" ref="O296">_xlfn.IFS(orders[[#This Row],[Customer Gender]]="M","Male", orders[[#This Row],[Customer Gender]]="F","Female", orders[[#This Row],[Customer Gender]]="O","Other", TRUE,"Unknown")</f>
        <v>Male</v>
      </c>
    </row>
    <row r="297" spans="1:15" x14ac:dyDescent="0.3">
      <c r="A297" t="s">
        <v>379</v>
      </c>
      <c r="B297" t="s">
        <v>67</v>
      </c>
      <c r="C297">
        <v>3</v>
      </c>
      <c r="D297">
        <v>50.4</v>
      </c>
      <c r="E297" s="1">
        <v>151.19999999999999</v>
      </c>
      <c r="F297" s="2">
        <v>45670</v>
      </c>
      <c r="G297" s="2">
        <v>45673</v>
      </c>
      <c r="H297" s="1" t="s">
        <v>27</v>
      </c>
      <c r="I297" s="1" t="s">
        <v>51</v>
      </c>
      <c r="J297" s="1">
        <v>4</v>
      </c>
      <c r="K297" s="1" t="s">
        <v>19</v>
      </c>
      <c r="L297" s="1" t="s">
        <v>82</v>
      </c>
      <c r="M297" s="1">
        <f>orders[[#This Row],[Ship Date]]-orders[[#This Row],[Order Date]]</f>
        <v>3</v>
      </c>
      <c r="N297" s="1">
        <f>WEEKNUM(orders[[#This Row],[Order Date]])</f>
        <v>3</v>
      </c>
      <c r="O297" s="1"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s="1">
        <v>16.2</v>
      </c>
      <c r="F298" s="2">
        <v>45670</v>
      </c>
      <c r="G298" s="2">
        <v>45683</v>
      </c>
      <c r="H298" s="1" t="s">
        <v>27</v>
      </c>
      <c r="I298" s="1" t="s">
        <v>35</v>
      </c>
      <c r="J298" s="1">
        <v>4</v>
      </c>
      <c r="K298" s="1" t="s">
        <v>19</v>
      </c>
      <c r="L298" s="1" t="s">
        <v>24</v>
      </c>
      <c r="M298" s="1">
        <f>orders[[#This Row],[Ship Date]]-orders[[#This Row],[Order Date]]</f>
        <v>13</v>
      </c>
      <c r="N298" s="1">
        <f>WEEKNUM(orders[[#This Row],[Order Date]])</f>
        <v>3</v>
      </c>
      <c r="O298" s="1"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s="1">
        <v>566.30000000000007</v>
      </c>
      <c r="F299" s="2">
        <v>45670</v>
      </c>
      <c r="G299" s="2">
        <v>45672</v>
      </c>
      <c r="H299" s="1" t="s">
        <v>23</v>
      </c>
      <c r="I299" s="1" t="s">
        <v>70</v>
      </c>
      <c r="J299" s="1">
        <v>2</v>
      </c>
      <c r="K299" s="1" t="s">
        <v>19</v>
      </c>
      <c r="L299" s="1" t="s">
        <v>28</v>
      </c>
      <c r="M299" s="1">
        <f>orders[[#This Row],[Ship Date]]-orders[[#This Row],[Order Date]]</f>
        <v>2</v>
      </c>
      <c r="N299" s="1">
        <f>WEEKNUM(orders[[#This Row],[Order Date]])</f>
        <v>3</v>
      </c>
      <c r="O299" s="1" t="str" cm="1">
        <f t="array" ref="O299">_xlfn.IFS(orders[[#This Row],[Customer Gender]]="M","Male", orders[[#This Row],[Customer Gender]]="F","Female", orders[[#This Row],[Customer Gender]]="O","Other", TRUE,"Unknown")</f>
        <v>Male</v>
      </c>
    </row>
    <row r="300" spans="1:15" x14ac:dyDescent="0.3">
      <c r="A300" t="s">
        <v>382</v>
      </c>
      <c r="B300" t="s">
        <v>46</v>
      </c>
      <c r="C300">
        <v>6</v>
      </c>
      <c r="D300">
        <v>95.2</v>
      </c>
      <c r="E300" s="1">
        <v>571.20000000000005</v>
      </c>
      <c r="F300" s="2">
        <v>45670</v>
      </c>
      <c r="G300" s="2">
        <v>45672</v>
      </c>
      <c r="H300" s="1" t="s">
        <v>27</v>
      </c>
      <c r="I300" s="1" t="s">
        <v>18</v>
      </c>
      <c r="J300" s="1">
        <v>5</v>
      </c>
      <c r="K300" s="1" t="s">
        <v>19</v>
      </c>
      <c r="L300" s="1" t="s">
        <v>28</v>
      </c>
      <c r="M300" s="1">
        <f>orders[[#This Row],[Ship Date]]-orders[[#This Row],[Order Date]]</f>
        <v>2</v>
      </c>
      <c r="N300" s="1">
        <f>WEEKNUM(orders[[#This Row],[Order Date]])</f>
        <v>3</v>
      </c>
      <c r="O300" s="1"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s="1">
        <v>563.20000000000005</v>
      </c>
      <c r="F301" s="2">
        <v>45670</v>
      </c>
      <c r="G301" s="2">
        <v>45671</v>
      </c>
      <c r="H301" s="1" t="s">
        <v>23</v>
      </c>
      <c r="I301" s="1" t="s">
        <v>35</v>
      </c>
      <c r="J301" s="1">
        <v>3</v>
      </c>
      <c r="K301" s="1" t="s">
        <v>19</v>
      </c>
      <c r="L301" s="1" t="s">
        <v>33</v>
      </c>
      <c r="M301" s="1">
        <f>orders[[#This Row],[Ship Date]]-orders[[#This Row],[Order Date]]</f>
        <v>1</v>
      </c>
      <c r="N301" s="1">
        <f>WEEKNUM(orders[[#This Row],[Order Date]])</f>
        <v>3</v>
      </c>
      <c r="O301" s="1" t="str" cm="1">
        <f t="array" ref="O301">_xlfn.IFS(orders[[#This Row],[Customer Gender]]="M","Male", orders[[#This Row],[Customer Gender]]="F","Female", orders[[#This Row],[Customer Gender]]="O","Other", TRUE,"Unknown")</f>
        <v>Male</v>
      </c>
    </row>
    <row r="302" spans="1:15" x14ac:dyDescent="0.3">
      <c r="A302" t="s">
        <v>384</v>
      </c>
      <c r="B302" t="s">
        <v>16</v>
      </c>
      <c r="C302">
        <v>5</v>
      </c>
      <c r="D302">
        <v>10.7</v>
      </c>
      <c r="E302" s="1">
        <v>53.5</v>
      </c>
      <c r="F302" s="2">
        <v>45670</v>
      </c>
      <c r="G302" s="2">
        <v>45674</v>
      </c>
      <c r="H302" s="1" t="s">
        <v>27</v>
      </c>
      <c r="I302" s="1" t="s">
        <v>40</v>
      </c>
      <c r="J302" s="1">
        <v>4</v>
      </c>
      <c r="K302" s="1" t="s">
        <v>19</v>
      </c>
      <c r="L302" s="1" t="s">
        <v>33</v>
      </c>
      <c r="M302" s="1">
        <f>orders[[#This Row],[Ship Date]]-orders[[#This Row],[Order Date]]</f>
        <v>4</v>
      </c>
      <c r="N302" s="1">
        <f>WEEKNUM(orders[[#This Row],[Order Date]])</f>
        <v>3</v>
      </c>
      <c r="O302" s="1"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s="1">
        <v>98</v>
      </c>
      <c r="F303" s="2">
        <v>45670</v>
      </c>
      <c r="G303" s="2">
        <v>45672</v>
      </c>
      <c r="H303" s="1" t="s">
        <v>27</v>
      </c>
      <c r="I303" s="1" t="s">
        <v>18</v>
      </c>
      <c r="J303" s="1">
        <v>1</v>
      </c>
      <c r="K303" s="1" t="s">
        <v>19</v>
      </c>
      <c r="L303" s="1" t="s">
        <v>33</v>
      </c>
      <c r="M303" s="1">
        <f>orders[[#This Row],[Ship Date]]-orders[[#This Row],[Order Date]]</f>
        <v>2</v>
      </c>
      <c r="N303" s="1">
        <f>WEEKNUM(orders[[#This Row],[Order Date]])</f>
        <v>3</v>
      </c>
      <c r="O303" s="1"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s="1">
        <v>381.70000000000005</v>
      </c>
      <c r="F304" s="2">
        <v>45670</v>
      </c>
      <c r="G304" s="2">
        <v>45672</v>
      </c>
      <c r="H304" s="1" t="s">
        <v>27</v>
      </c>
      <c r="I304" s="1" t="s">
        <v>18</v>
      </c>
      <c r="J304" s="1">
        <v>5</v>
      </c>
      <c r="K304" s="1" t="s">
        <v>19</v>
      </c>
      <c r="L304" s="1" t="s">
        <v>33</v>
      </c>
      <c r="M304" s="1">
        <f>orders[[#This Row],[Ship Date]]-orders[[#This Row],[Order Date]]</f>
        <v>2</v>
      </c>
      <c r="N304" s="1">
        <f>WEEKNUM(orders[[#This Row],[Order Date]])</f>
        <v>3</v>
      </c>
      <c r="O304" s="1"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s="1">
        <v>306.90000000000003</v>
      </c>
      <c r="F305" s="2">
        <v>45670</v>
      </c>
      <c r="G305" s="2">
        <v>45671</v>
      </c>
      <c r="H305" s="1" t="s">
        <v>27</v>
      </c>
      <c r="I305" s="1" t="s">
        <v>70</v>
      </c>
      <c r="J305" s="1">
        <v>3</v>
      </c>
      <c r="K305" s="1" t="s">
        <v>19</v>
      </c>
      <c r="L305" s="1" t="s">
        <v>33</v>
      </c>
      <c r="M305" s="1">
        <f>orders[[#This Row],[Ship Date]]-orders[[#This Row],[Order Date]]</f>
        <v>1</v>
      </c>
      <c r="N305" s="1">
        <f>WEEKNUM(orders[[#This Row],[Order Date]])</f>
        <v>3</v>
      </c>
      <c r="O305" s="1"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s="1">
        <v>1435.7</v>
      </c>
      <c r="F306" s="2">
        <v>45670</v>
      </c>
      <c r="G306" s="2">
        <v>45670</v>
      </c>
      <c r="H306" s="1" t="s">
        <v>23</v>
      </c>
      <c r="I306" s="1" t="s">
        <v>18</v>
      </c>
      <c r="J306" s="1">
        <v>3</v>
      </c>
      <c r="K306" s="1" t="s">
        <v>19</v>
      </c>
      <c r="L306" s="1" t="s">
        <v>33</v>
      </c>
      <c r="M306" s="1">
        <f>orders[[#This Row],[Ship Date]]-orders[[#This Row],[Order Date]]</f>
        <v>0</v>
      </c>
      <c r="N306" s="1">
        <f>WEEKNUM(orders[[#This Row],[Order Date]])</f>
        <v>3</v>
      </c>
      <c r="O306" s="1" t="str" cm="1">
        <f t="array" ref="O306">_xlfn.IFS(orders[[#This Row],[Customer Gender]]="M","Male", orders[[#This Row],[Customer Gender]]="F","Female", orders[[#This Row],[Customer Gender]]="O","Other", TRUE,"Unknown")</f>
        <v>Male</v>
      </c>
    </row>
    <row r="307" spans="1:15" x14ac:dyDescent="0.3">
      <c r="A307" t="s">
        <v>389</v>
      </c>
      <c r="B307" t="s">
        <v>22</v>
      </c>
      <c r="C307">
        <v>1</v>
      </c>
      <c r="D307">
        <v>55.2</v>
      </c>
      <c r="E307" s="1">
        <v>55.2</v>
      </c>
      <c r="F307" s="2">
        <v>45670</v>
      </c>
      <c r="G307" s="2">
        <v>45671</v>
      </c>
      <c r="H307" s="1" t="s">
        <v>27</v>
      </c>
      <c r="I307" s="1" t="s">
        <v>18</v>
      </c>
      <c r="J307" s="1">
        <v>3</v>
      </c>
      <c r="K307" s="1" t="s">
        <v>19</v>
      </c>
      <c r="L307" s="1" t="s">
        <v>33</v>
      </c>
      <c r="M307" s="1">
        <f>orders[[#This Row],[Ship Date]]-orders[[#This Row],[Order Date]]</f>
        <v>1</v>
      </c>
      <c r="N307" s="1">
        <f>WEEKNUM(orders[[#This Row],[Order Date]])</f>
        <v>3</v>
      </c>
      <c r="O307" s="1"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s="1">
        <v>78</v>
      </c>
      <c r="F308" s="2">
        <v>45670</v>
      </c>
      <c r="G308" s="2">
        <v>45673</v>
      </c>
      <c r="H308" s="1" t="s">
        <v>27</v>
      </c>
      <c r="I308" s="1" t="s">
        <v>18</v>
      </c>
      <c r="J308" s="1">
        <v>5</v>
      </c>
      <c r="K308" s="1" t="s">
        <v>19</v>
      </c>
      <c r="L308" s="1" t="s">
        <v>33</v>
      </c>
      <c r="M308" s="1">
        <f>orders[[#This Row],[Ship Date]]-orders[[#This Row],[Order Date]]</f>
        <v>3</v>
      </c>
      <c r="N308" s="1">
        <f>WEEKNUM(orders[[#This Row],[Order Date]])</f>
        <v>3</v>
      </c>
      <c r="O308" s="1"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s="1">
        <v>28.4</v>
      </c>
      <c r="F309" s="2">
        <v>45670</v>
      </c>
      <c r="G309" s="2">
        <v>45675</v>
      </c>
      <c r="H309" s="1" t="s">
        <v>27</v>
      </c>
      <c r="I309" s="1" t="s">
        <v>51</v>
      </c>
      <c r="J309" s="1">
        <v>4</v>
      </c>
      <c r="K309" s="1" t="s">
        <v>19</v>
      </c>
      <c r="L309" s="1" t="s">
        <v>392</v>
      </c>
      <c r="M309" s="1">
        <f>orders[[#This Row],[Ship Date]]-orders[[#This Row],[Order Date]]</f>
        <v>5</v>
      </c>
      <c r="N309" s="1">
        <f>WEEKNUM(orders[[#This Row],[Order Date]])</f>
        <v>3</v>
      </c>
      <c r="O309" s="1"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s="1">
        <v>204.29999999999998</v>
      </c>
      <c r="F310" s="2">
        <v>45671</v>
      </c>
      <c r="G310" s="2">
        <v>45672</v>
      </c>
      <c r="H310" s="1" t="s">
        <v>23</v>
      </c>
      <c r="I310" s="1" t="s">
        <v>35</v>
      </c>
      <c r="J310" s="1">
        <v>4</v>
      </c>
      <c r="K310" s="1" t="s">
        <v>19</v>
      </c>
      <c r="L310" s="1" t="s">
        <v>55</v>
      </c>
      <c r="M310" s="1">
        <f>orders[[#This Row],[Ship Date]]-orders[[#This Row],[Order Date]]</f>
        <v>1</v>
      </c>
      <c r="N310" s="1">
        <f>WEEKNUM(orders[[#This Row],[Order Date]])</f>
        <v>3</v>
      </c>
      <c r="O310" s="1" t="str" cm="1">
        <f t="array" ref="O310">_xlfn.IFS(orders[[#This Row],[Customer Gender]]="M","Male", orders[[#This Row],[Customer Gender]]="F","Female", orders[[#This Row],[Customer Gender]]="O","Other", TRUE,"Unknown")</f>
        <v>Male</v>
      </c>
    </row>
    <row r="311" spans="1:15" x14ac:dyDescent="0.3">
      <c r="A311" t="s">
        <v>394</v>
      </c>
      <c r="B311" t="s">
        <v>16</v>
      </c>
      <c r="C311">
        <v>15</v>
      </c>
      <c r="D311">
        <v>19.8</v>
      </c>
      <c r="E311" s="1">
        <v>297</v>
      </c>
      <c r="F311" s="2">
        <v>45671</v>
      </c>
      <c r="G311" s="2">
        <v>45671</v>
      </c>
      <c r="H311" s="1" t="s">
        <v>27</v>
      </c>
      <c r="I311" s="1" t="s">
        <v>18</v>
      </c>
      <c r="J311" s="1">
        <v>5</v>
      </c>
      <c r="K311" s="1" t="s">
        <v>19</v>
      </c>
      <c r="L311" s="1" t="s">
        <v>55</v>
      </c>
      <c r="M311" s="1">
        <f>orders[[#This Row],[Ship Date]]-orders[[#This Row],[Order Date]]</f>
        <v>0</v>
      </c>
      <c r="N311" s="1">
        <f>WEEKNUM(orders[[#This Row],[Order Date]])</f>
        <v>3</v>
      </c>
      <c r="O311" s="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s="1">
        <v>95.1</v>
      </c>
      <c r="F312" s="2">
        <v>45671</v>
      </c>
      <c r="G312" s="2">
        <v>45672</v>
      </c>
      <c r="H312" s="1" t="s">
        <v>23</v>
      </c>
      <c r="I312" s="1" t="s">
        <v>40</v>
      </c>
      <c r="J312" s="1">
        <v>4</v>
      </c>
      <c r="K312" s="1" t="s">
        <v>19</v>
      </c>
      <c r="L312" s="1" t="s">
        <v>55</v>
      </c>
      <c r="M312" s="1">
        <f>orders[[#This Row],[Ship Date]]-orders[[#This Row],[Order Date]]</f>
        <v>1</v>
      </c>
      <c r="N312" s="1">
        <f>WEEKNUM(orders[[#This Row],[Order Date]])</f>
        <v>3</v>
      </c>
      <c r="O312" s="1" t="str" cm="1">
        <f t="array" ref="O312">_xlfn.IFS(orders[[#This Row],[Customer Gender]]="M","Male", orders[[#This Row],[Customer Gender]]="F","Female", orders[[#This Row],[Customer Gender]]="O","Other", TRUE,"Unknown")</f>
        <v>Male</v>
      </c>
    </row>
    <row r="313" spans="1:15" x14ac:dyDescent="0.3">
      <c r="A313" t="s">
        <v>396</v>
      </c>
      <c r="B313" t="s">
        <v>44</v>
      </c>
      <c r="C313">
        <v>4</v>
      </c>
      <c r="D313">
        <v>30.4</v>
      </c>
      <c r="E313" s="1">
        <v>121.6</v>
      </c>
      <c r="F313" s="2">
        <v>45671</v>
      </c>
      <c r="G313" s="2">
        <v>45675</v>
      </c>
      <c r="H313" s="1" t="s">
        <v>23</v>
      </c>
      <c r="I313" s="1" t="s">
        <v>18</v>
      </c>
      <c r="J313" s="1">
        <v>4</v>
      </c>
      <c r="K313" s="1" t="s">
        <v>19</v>
      </c>
      <c r="L313" s="1" t="s">
        <v>55</v>
      </c>
      <c r="M313" s="1">
        <f>orders[[#This Row],[Ship Date]]-orders[[#This Row],[Order Date]]</f>
        <v>4</v>
      </c>
      <c r="N313" s="1">
        <f>WEEKNUM(orders[[#This Row],[Order Date]])</f>
        <v>3</v>
      </c>
      <c r="O313" s="1" t="str" cm="1">
        <f t="array" ref="O313">_xlfn.IFS(orders[[#This Row],[Customer Gender]]="M","Male", orders[[#This Row],[Customer Gender]]="F","Female", orders[[#This Row],[Customer Gender]]="O","Other", TRUE,"Unknown")</f>
        <v>Male</v>
      </c>
    </row>
    <row r="314" spans="1:15" x14ac:dyDescent="0.3">
      <c r="A314" t="s">
        <v>397</v>
      </c>
      <c r="B314" t="s">
        <v>16</v>
      </c>
      <c r="C314">
        <v>4</v>
      </c>
      <c r="D314">
        <v>25.6</v>
      </c>
      <c r="E314" s="1">
        <v>102.4</v>
      </c>
      <c r="F314" s="2">
        <v>45671</v>
      </c>
      <c r="G314" s="2">
        <v>45672</v>
      </c>
      <c r="H314" s="1" t="s">
        <v>23</v>
      </c>
      <c r="I314" s="1" t="s">
        <v>51</v>
      </c>
      <c r="J314" s="1">
        <v>4</v>
      </c>
      <c r="K314" s="1" t="s">
        <v>19</v>
      </c>
      <c r="L314" s="1" t="s">
        <v>62</v>
      </c>
      <c r="M314" s="1">
        <f>orders[[#This Row],[Ship Date]]-orders[[#This Row],[Order Date]]</f>
        <v>1</v>
      </c>
      <c r="N314" s="1">
        <f>WEEKNUM(orders[[#This Row],[Order Date]])</f>
        <v>3</v>
      </c>
      <c r="O314" s="1" t="str" cm="1">
        <f t="array" ref="O314">_xlfn.IFS(orders[[#This Row],[Customer Gender]]="M","Male", orders[[#This Row],[Customer Gender]]="F","Female", orders[[#This Row],[Customer Gender]]="O","Other", TRUE,"Unknown")</f>
        <v>Male</v>
      </c>
    </row>
    <row r="315" spans="1:15" x14ac:dyDescent="0.3">
      <c r="A315" t="s">
        <v>398</v>
      </c>
      <c r="B315" t="s">
        <v>37</v>
      </c>
      <c r="C315">
        <v>2</v>
      </c>
      <c r="D315">
        <v>34.9</v>
      </c>
      <c r="E315" s="1">
        <v>69.8</v>
      </c>
      <c r="F315" s="2">
        <v>45671</v>
      </c>
      <c r="G315" s="2">
        <v>45672</v>
      </c>
      <c r="H315" s="1" t="s">
        <v>27</v>
      </c>
      <c r="I315" s="1" t="s">
        <v>40</v>
      </c>
      <c r="J315" s="1">
        <v>4</v>
      </c>
      <c r="K315" s="1" t="s">
        <v>19</v>
      </c>
      <c r="L315" s="1" t="s">
        <v>72</v>
      </c>
      <c r="M315" s="1">
        <f>orders[[#This Row],[Ship Date]]-orders[[#This Row],[Order Date]]</f>
        <v>1</v>
      </c>
      <c r="N315" s="1">
        <f>WEEKNUM(orders[[#This Row],[Order Date]])</f>
        <v>3</v>
      </c>
      <c r="O315" s="1"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s="1">
        <v>256.20000000000005</v>
      </c>
      <c r="F316" s="2">
        <v>45671</v>
      </c>
      <c r="G316" s="2">
        <v>45674</v>
      </c>
      <c r="H316" s="1" t="s">
        <v>23</v>
      </c>
      <c r="I316" s="1" t="s">
        <v>40</v>
      </c>
      <c r="J316" s="1">
        <v>3</v>
      </c>
      <c r="K316" s="1" t="s">
        <v>19</v>
      </c>
      <c r="L316" s="1" t="s">
        <v>77</v>
      </c>
      <c r="M316" s="1">
        <f>orders[[#This Row],[Ship Date]]-orders[[#This Row],[Order Date]]</f>
        <v>3</v>
      </c>
      <c r="N316" s="1">
        <f>WEEKNUM(orders[[#This Row],[Order Date]])</f>
        <v>3</v>
      </c>
      <c r="O316" s="1" t="str" cm="1">
        <f t="array" ref="O316">_xlfn.IFS(orders[[#This Row],[Customer Gender]]="M","Male", orders[[#This Row],[Customer Gender]]="F","Female", orders[[#This Row],[Customer Gender]]="O","Other", TRUE,"Unknown")</f>
        <v>Male</v>
      </c>
    </row>
    <row r="317" spans="1:15" x14ac:dyDescent="0.3">
      <c r="A317" t="s">
        <v>400</v>
      </c>
      <c r="B317" t="s">
        <v>44</v>
      </c>
      <c r="C317">
        <v>1</v>
      </c>
      <c r="D317">
        <v>23.9</v>
      </c>
      <c r="E317" s="1">
        <v>23.9</v>
      </c>
      <c r="F317" s="2">
        <v>45671</v>
      </c>
      <c r="G317" s="2">
        <v>45673</v>
      </c>
      <c r="H317" s="1" t="s">
        <v>27</v>
      </c>
      <c r="I317" s="1" t="s">
        <v>51</v>
      </c>
      <c r="J317" s="1">
        <v>4</v>
      </c>
      <c r="K317" s="1" t="s">
        <v>19</v>
      </c>
      <c r="L317" s="1" t="s">
        <v>77</v>
      </c>
      <c r="M317" s="1">
        <f>orders[[#This Row],[Ship Date]]-orders[[#This Row],[Order Date]]</f>
        <v>2</v>
      </c>
      <c r="N317" s="1">
        <f>WEEKNUM(orders[[#This Row],[Order Date]])</f>
        <v>3</v>
      </c>
      <c r="O317" s="1"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s="1">
        <v>124.3</v>
      </c>
      <c r="F318" s="2">
        <v>45671</v>
      </c>
      <c r="G318" s="2">
        <v>45672</v>
      </c>
      <c r="H318" s="1" t="s">
        <v>17</v>
      </c>
      <c r="I318" s="1" t="s">
        <v>40</v>
      </c>
      <c r="J318" s="1">
        <v>3</v>
      </c>
      <c r="K318" s="1" t="s">
        <v>19</v>
      </c>
      <c r="L318" s="1" t="s">
        <v>115</v>
      </c>
      <c r="M318" s="1">
        <f>orders[[#This Row],[Ship Date]]-orders[[#This Row],[Order Date]]</f>
        <v>1</v>
      </c>
      <c r="N318" s="1">
        <f>WEEKNUM(orders[[#This Row],[Order Date]])</f>
        <v>3</v>
      </c>
      <c r="O318" s="1"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s="1">
        <v>215.39999999999998</v>
      </c>
      <c r="F319" s="2">
        <v>45671</v>
      </c>
      <c r="G319" s="2">
        <v>45672</v>
      </c>
      <c r="H319" s="1" t="s">
        <v>27</v>
      </c>
      <c r="I319" s="1" t="s">
        <v>18</v>
      </c>
      <c r="J319" s="1">
        <v>3</v>
      </c>
      <c r="K319" s="1" t="s">
        <v>19</v>
      </c>
      <c r="L319" s="1" t="s">
        <v>24</v>
      </c>
      <c r="M319" s="1">
        <f>orders[[#This Row],[Ship Date]]-orders[[#This Row],[Order Date]]</f>
        <v>1</v>
      </c>
      <c r="N319" s="1">
        <f>WEEKNUM(orders[[#This Row],[Order Date]])</f>
        <v>3</v>
      </c>
      <c r="O319" s="1"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s="1">
        <v>138.19999999999999</v>
      </c>
      <c r="F320" s="2">
        <v>45671</v>
      </c>
      <c r="G320" s="2">
        <v>45674</v>
      </c>
      <c r="H320" s="1" t="s">
        <v>27</v>
      </c>
      <c r="I320" s="1" t="s">
        <v>18</v>
      </c>
      <c r="J320" s="1">
        <v>5</v>
      </c>
      <c r="K320" s="1" t="s">
        <v>19</v>
      </c>
      <c r="L320" s="1" t="s">
        <v>147</v>
      </c>
      <c r="M320" s="1">
        <f>orders[[#This Row],[Ship Date]]-orders[[#This Row],[Order Date]]</f>
        <v>3</v>
      </c>
      <c r="N320" s="1">
        <f>WEEKNUM(orders[[#This Row],[Order Date]])</f>
        <v>3</v>
      </c>
      <c r="O320" s="1"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s="1">
        <v>58.4</v>
      </c>
      <c r="F321" s="2">
        <v>45671</v>
      </c>
      <c r="G321" s="2">
        <v>45675</v>
      </c>
      <c r="H321" s="1" t="s">
        <v>23</v>
      </c>
      <c r="I321" s="1" t="s">
        <v>18</v>
      </c>
      <c r="J321" s="1">
        <v>4</v>
      </c>
      <c r="K321" s="1" t="s">
        <v>19</v>
      </c>
      <c r="L321" s="1" t="s">
        <v>147</v>
      </c>
      <c r="M321" s="1">
        <f>orders[[#This Row],[Ship Date]]-orders[[#This Row],[Order Date]]</f>
        <v>4</v>
      </c>
      <c r="N321" s="1">
        <f>WEEKNUM(orders[[#This Row],[Order Date]])</f>
        <v>3</v>
      </c>
      <c r="O321" s="1" t="str" cm="1">
        <f t="array" ref="O321">_xlfn.IFS(orders[[#This Row],[Customer Gender]]="M","Male", orders[[#This Row],[Customer Gender]]="F","Female", orders[[#This Row],[Customer Gender]]="O","Other", TRUE,"Unknown")</f>
        <v>Male</v>
      </c>
    </row>
    <row r="322" spans="1:15" x14ac:dyDescent="0.3">
      <c r="A322" t="s">
        <v>405</v>
      </c>
      <c r="B322" t="s">
        <v>37</v>
      </c>
      <c r="C322">
        <v>1</v>
      </c>
      <c r="D322">
        <v>65.2</v>
      </c>
      <c r="E322" s="1">
        <v>65.2</v>
      </c>
      <c r="F322" s="2">
        <v>45671</v>
      </c>
      <c r="G322" s="2">
        <v>45673</v>
      </c>
      <c r="H322" s="1" t="s">
        <v>89</v>
      </c>
      <c r="I322" s="1" t="s">
        <v>70</v>
      </c>
      <c r="J322" s="1">
        <v>2</v>
      </c>
      <c r="K322" s="1" t="s">
        <v>19</v>
      </c>
      <c r="L322" s="1" t="s">
        <v>33</v>
      </c>
      <c r="M322" s="1">
        <f>orders[[#This Row],[Ship Date]]-orders[[#This Row],[Order Date]]</f>
        <v>2</v>
      </c>
      <c r="N322" s="1">
        <f>WEEKNUM(orders[[#This Row],[Order Date]])</f>
        <v>3</v>
      </c>
      <c r="O322" s="1"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s="1">
        <v>555.90000000000009</v>
      </c>
      <c r="F323" s="2">
        <v>45671</v>
      </c>
      <c r="G323" s="2">
        <v>45678</v>
      </c>
      <c r="H323" s="1" t="s">
        <v>17</v>
      </c>
      <c r="I323" s="1" t="s">
        <v>70</v>
      </c>
      <c r="J323" s="1">
        <v>4</v>
      </c>
      <c r="K323" s="1" t="s">
        <v>19</v>
      </c>
      <c r="L323" s="1" t="s">
        <v>33</v>
      </c>
      <c r="M323" s="1">
        <f>orders[[#This Row],[Ship Date]]-orders[[#This Row],[Order Date]]</f>
        <v>7</v>
      </c>
      <c r="N323" s="1">
        <f>WEEKNUM(orders[[#This Row],[Order Date]])</f>
        <v>3</v>
      </c>
      <c r="O323" s="1"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s="1">
        <v>170.79999999999998</v>
      </c>
      <c r="F324" s="2">
        <v>45671</v>
      </c>
      <c r="G324" s="2">
        <v>45672</v>
      </c>
      <c r="H324" s="1" t="s">
        <v>27</v>
      </c>
      <c r="I324" s="1" t="s">
        <v>18</v>
      </c>
      <c r="J324" s="1">
        <v>4</v>
      </c>
      <c r="K324" s="1" t="s">
        <v>19</v>
      </c>
      <c r="L324" s="1" t="s">
        <v>33</v>
      </c>
      <c r="M324" s="1">
        <f>orders[[#This Row],[Ship Date]]-orders[[#This Row],[Order Date]]</f>
        <v>1</v>
      </c>
      <c r="N324" s="1">
        <f>WEEKNUM(orders[[#This Row],[Order Date]])</f>
        <v>3</v>
      </c>
      <c r="O324" s="1"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s="1">
        <v>100.8</v>
      </c>
      <c r="F325" s="2">
        <v>45671</v>
      </c>
      <c r="G325" s="2">
        <v>45677</v>
      </c>
      <c r="H325" s="1" t="s">
        <v>23</v>
      </c>
      <c r="I325" s="1" t="s">
        <v>18</v>
      </c>
      <c r="J325" s="1">
        <v>3</v>
      </c>
      <c r="K325" s="1" t="s">
        <v>19</v>
      </c>
      <c r="L325" s="1" t="s">
        <v>33</v>
      </c>
      <c r="M325" s="1">
        <f>orders[[#This Row],[Ship Date]]-orders[[#This Row],[Order Date]]</f>
        <v>6</v>
      </c>
      <c r="N325" s="1">
        <f>WEEKNUM(orders[[#This Row],[Order Date]])</f>
        <v>3</v>
      </c>
      <c r="O325" s="1" t="str" cm="1">
        <f t="array" ref="O325">_xlfn.IFS(orders[[#This Row],[Customer Gender]]="M","Male", orders[[#This Row],[Customer Gender]]="F","Female", orders[[#This Row],[Customer Gender]]="O","Other", TRUE,"Unknown")</f>
        <v>Male</v>
      </c>
    </row>
    <row r="326" spans="1:15" x14ac:dyDescent="0.3">
      <c r="A326" t="s">
        <v>409</v>
      </c>
      <c r="B326" t="s">
        <v>22</v>
      </c>
      <c r="C326">
        <v>2</v>
      </c>
      <c r="D326">
        <v>100</v>
      </c>
      <c r="E326" s="1">
        <v>200</v>
      </c>
      <c r="F326" s="2">
        <v>45671</v>
      </c>
      <c r="G326" s="2">
        <v>45672</v>
      </c>
      <c r="H326" s="1" t="s">
        <v>27</v>
      </c>
      <c r="I326" s="1" t="s">
        <v>18</v>
      </c>
      <c r="J326" s="1">
        <v>4</v>
      </c>
      <c r="K326" s="1" t="s">
        <v>19</v>
      </c>
      <c r="L326" s="1" t="s">
        <v>33</v>
      </c>
      <c r="M326" s="1">
        <f>orders[[#This Row],[Ship Date]]-orders[[#This Row],[Order Date]]</f>
        <v>1</v>
      </c>
      <c r="N326" s="1">
        <f>WEEKNUM(orders[[#This Row],[Order Date]])</f>
        <v>3</v>
      </c>
      <c r="O326" s="1" t="str" cm="1">
        <f t="array" ref="O326">_xlfn.IFS(orders[[#This Row],[Customer Gender]]="M","Male", orders[[#This Row],[Customer Gender]]="F","Female", orders[[#This Row],[Customer Gender]]="O","Other", TRUE,"Unknown")</f>
        <v>Female</v>
      </c>
    </row>
    <row r="327" spans="1:15" x14ac:dyDescent="0.3">
      <c r="A327" t="s">
        <v>410</v>
      </c>
      <c r="B327" t="s">
        <v>54</v>
      </c>
      <c r="C327">
        <v>3</v>
      </c>
      <c r="D327">
        <v>43</v>
      </c>
      <c r="E327" s="1">
        <v>129</v>
      </c>
      <c r="F327" s="2">
        <v>45672</v>
      </c>
      <c r="G327" s="2">
        <v>45672</v>
      </c>
      <c r="H327" s="1" t="s">
        <v>27</v>
      </c>
      <c r="I327" s="1" t="s">
        <v>40</v>
      </c>
      <c r="J327" s="1">
        <v>3</v>
      </c>
      <c r="K327" s="1" t="s">
        <v>19</v>
      </c>
      <c r="L327" s="1" t="s">
        <v>33</v>
      </c>
      <c r="M327" s="1">
        <f>orders[[#This Row],[Ship Date]]-orders[[#This Row],[Order Date]]</f>
        <v>0</v>
      </c>
      <c r="N327" s="1">
        <f>WEEKNUM(orders[[#This Row],[Order Date]])</f>
        <v>3</v>
      </c>
      <c r="O327" s="1"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s="1">
        <v>322</v>
      </c>
      <c r="F328" s="2">
        <v>45672</v>
      </c>
      <c r="G328" s="2">
        <v>45674</v>
      </c>
      <c r="H328" s="1" t="s">
        <v>23</v>
      </c>
      <c r="I328" s="1" t="s">
        <v>40</v>
      </c>
      <c r="J328" s="1">
        <v>3</v>
      </c>
      <c r="K328" s="1" t="s">
        <v>19</v>
      </c>
      <c r="L328" s="1" t="s">
        <v>33</v>
      </c>
      <c r="M328" s="1">
        <f>orders[[#This Row],[Ship Date]]-orders[[#This Row],[Order Date]]</f>
        <v>2</v>
      </c>
      <c r="N328" s="1">
        <f>WEEKNUM(orders[[#This Row],[Order Date]])</f>
        <v>3</v>
      </c>
      <c r="O328" s="1" t="str" cm="1">
        <f t="array" ref="O328">_xlfn.IFS(orders[[#This Row],[Customer Gender]]="M","Male", orders[[#This Row],[Customer Gender]]="F","Female", orders[[#This Row],[Customer Gender]]="O","Other", TRUE,"Unknown")</f>
        <v>Male</v>
      </c>
    </row>
    <row r="329" spans="1:15" x14ac:dyDescent="0.3">
      <c r="A329" t="s">
        <v>412</v>
      </c>
      <c r="B329" t="s">
        <v>146</v>
      </c>
      <c r="C329">
        <v>2</v>
      </c>
      <c r="D329">
        <v>57.4</v>
      </c>
      <c r="E329" s="1">
        <v>114.8</v>
      </c>
      <c r="F329" s="2">
        <v>45672</v>
      </c>
      <c r="G329" s="2">
        <v>45673</v>
      </c>
      <c r="H329" s="1" t="s">
        <v>23</v>
      </c>
      <c r="I329" s="1" t="s">
        <v>40</v>
      </c>
      <c r="J329" s="1">
        <v>3</v>
      </c>
      <c r="K329" s="1" t="s">
        <v>19</v>
      </c>
      <c r="L329" s="1" t="s">
        <v>33</v>
      </c>
      <c r="M329" s="1">
        <f>orders[[#This Row],[Ship Date]]-orders[[#This Row],[Order Date]]</f>
        <v>1</v>
      </c>
      <c r="N329" s="1">
        <f>WEEKNUM(orders[[#This Row],[Order Date]])</f>
        <v>3</v>
      </c>
      <c r="O329" s="1" t="str" cm="1">
        <f t="array" ref="O329">_xlfn.IFS(orders[[#This Row],[Customer Gender]]="M","Male", orders[[#This Row],[Customer Gender]]="F","Female", orders[[#This Row],[Customer Gender]]="O","Other", TRUE,"Unknown")</f>
        <v>Male</v>
      </c>
    </row>
    <row r="330" spans="1:15" x14ac:dyDescent="0.3">
      <c r="A330" t="s">
        <v>413</v>
      </c>
      <c r="B330" t="s">
        <v>26</v>
      </c>
      <c r="C330">
        <v>3</v>
      </c>
      <c r="D330">
        <v>55.1</v>
      </c>
      <c r="E330" s="1">
        <v>165.3</v>
      </c>
      <c r="F330" s="2">
        <v>45672</v>
      </c>
      <c r="G330" s="2">
        <v>45675</v>
      </c>
      <c r="H330" s="1" t="s">
        <v>27</v>
      </c>
      <c r="I330" s="1" t="s">
        <v>35</v>
      </c>
      <c r="J330" s="1">
        <v>4</v>
      </c>
      <c r="K330" s="1" t="s">
        <v>19</v>
      </c>
      <c r="L330" s="1" t="s">
        <v>33</v>
      </c>
      <c r="M330" s="1">
        <f>orders[[#This Row],[Ship Date]]-orders[[#This Row],[Order Date]]</f>
        <v>3</v>
      </c>
      <c r="N330" s="1">
        <f>WEEKNUM(orders[[#This Row],[Order Date]])</f>
        <v>3</v>
      </c>
      <c r="O330" s="1"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s="1">
        <v>181.6</v>
      </c>
      <c r="F331" s="2">
        <v>45672</v>
      </c>
      <c r="G331" s="2">
        <v>45673</v>
      </c>
      <c r="H331" s="1" t="s">
        <v>27</v>
      </c>
      <c r="I331" s="1" t="s">
        <v>35</v>
      </c>
      <c r="J331" s="1">
        <v>4</v>
      </c>
      <c r="K331" s="1" t="s">
        <v>19</v>
      </c>
      <c r="L331" s="1" t="s">
        <v>33</v>
      </c>
      <c r="M331" s="1">
        <f>orders[[#This Row],[Ship Date]]-orders[[#This Row],[Order Date]]</f>
        <v>1</v>
      </c>
      <c r="N331" s="1">
        <f>WEEKNUM(orders[[#This Row],[Order Date]])</f>
        <v>3</v>
      </c>
      <c r="O331" s="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s="1">
        <v>279.89999999999998</v>
      </c>
      <c r="F332" s="2">
        <v>45672</v>
      </c>
      <c r="G332" s="2">
        <v>45673</v>
      </c>
      <c r="H332" s="1" t="s">
        <v>27</v>
      </c>
      <c r="I332" s="1" t="s">
        <v>18</v>
      </c>
      <c r="J332" s="1">
        <v>4</v>
      </c>
      <c r="K332" s="1" t="s">
        <v>19</v>
      </c>
      <c r="L332" s="1" t="s">
        <v>416</v>
      </c>
      <c r="M332" s="1">
        <f>orders[[#This Row],[Ship Date]]-orders[[#This Row],[Order Date]]</f>
        <v>1</v>
      </c>
      <c r="N332" s="1">
        <f>WEEKNUM(orders[[#This Row],[Order Date]])</f>
        <v>3</v>
      </c>
      <c r="O332" s="1"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s="1">
        <v>3005.7999999999997</v>
      </c>
      <c r="F333" s="2">
        <v>45672</v>
      </c>
      <c r="G333" s="2">
        <v>45673</v>
      </c>
      <c r="H333" s="1" t="s">
        <v>27</v>
      </c>
      <c r="I333" s="1" t="s">
        <v>35</v>
      </c>
      <c r="J333" s="1">
        <v>5</v>
      </c>
      <c r="K333" s="1" t="s">
        <v>19</v>
      </c>
      <c r="L333" s="1" t="s">
        <v>98</v>
      </c>
      <c r="M333" s="1">
        <f>orders[[#This Row],[Ship Date]]-orders[[#This Row],[Order Date]]</f>
        <v>1</v>
      </c>
      <c r="N333" s="1">
        <f>WEEKNUM(orders[[#This Row],[Order Date]])</f>
        <v>3</v>
      </c>
      <c r="O333" s="1"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s="1">
        <v>149.80000000000001</v>
      </c>
      <c r="F334" s="2">
        <v>45672</v>
      </c>
      <c r="G334" s="2">
        <v>45674</v>
      </c>
      <c r="H334" s="1" t="s">
        <v>23</v>
      </c>
      <c r="I334" s="1" t="s">
        <v>51</v>
      </c>
      <c r="J334" s="1">
        <v>4</v>
      </c>
      <c r="K334" s="1" t="s">
        <v>19</v>
      </c>
      <c r="L334" s="1" t="s">
        <v>55</v>
      </c>
      <c r="M334" s="1">
        <f>orders[[#This Row],[Ship Date]]-orders[[#This Row],[Order Date]]</f>
        <v>2</v>
      </c>
      <c r="N334" s="1">
        <f>WEEKNUM(orders[[#This Row],[Order Date]])</f>
        <v>3</v>
      </c>
      <c r="O334" s="1" t="str" cm="1">
        <f t="array" ref="O334">_xlfn.IFS(orders[[#This Row],[Customer Gender]]="M","Male", orders[[#This Row],[Customer Gender]]="F","Female", orders[[#This Row],[Customer Gender]]="O","Other", TRUE,"Unknown")</f>
        <v>Male</v>
      </c>
    </row>
    <row r="335" spans="1:15" x14ac:dyDescent="0.3">
      <c r="A335" t="s">
        <v>419</v>
      </c>
      <c r="B335" t="s">
        <v>44</v>
      </c>
      <c r="C335">
        <v>7</v>
      </c>
      <c r="D335">
        <v>26</v>
      </c>
      <c r="E335" s="1">
        <v>182</v>
      </c>
      <c r="F335" s="2">
        <v>45672</v>
      </c>
      <c r="G335" s="2">
        <v>45675</v>
      </c>
      <c r="H335" s="1" t="s">
        <v>27</v>
      </c>
      <c r="I335" s="1" t="s">
        <v>35</v>
      </c>
      <c r="J335" s="1">
        <v>4</v>
      </c>
      <c r="K335" s="1" t="s">
        <v>19</v>
      </c>
      <c r="L335" s="1" t="s">
        <v>62</v>
      </c>
      <c r="M335" s="1">
        <f>orders[[#This Row],[Ship Date]]-orders[[#This Row],[Order Date]]</f>
        <v>3</v>
      </c>
      <c r="N335" s="1">
        <f>WEEKNUM(orders[[#This Row],[Order Date]])</f>
        <v>3</v>
      </c>
      <c r="O335" s="1"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s="1">
        <v>225</v>
      </c>
      <c r="F336" s="2">
        <v>45672</v>
      </c>
      <c r="G336" s="2">
        <v>45673</v>
      </c>
      <c r="H336" s="1" t="s">
        <v>27</v>
      </c>
      <c r="I336" s="1" t="s">
        <v>18</v>
      </c>
      <c r="J336" s="1">
        <v>3</v>
      </c>
      <c r="K336" s="1" t="s">
        <v>19</v>
      </c>
      <c r="L336" s="1" t="s">
        <v>62</v>
      </c>
      <c r="M336" s="1">
        <f>orders[[#This Row],[Ship Date]]-orders[[#This Row],[Order Date]]</f>
        <v>1</v>
      </c>
      <c r="N336" s="1">
        <f>WEEKNUM(orders[[#This Row],[Order Date]])</f>
        <v>3</v>
      </c>
      <c r="O336" s="1"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s="1">
        <v>151.6</v>
      </c>
      <c r="F337" s="2">
        <v>45672</v>
      </c>
      <c r="G337" s="2">
        <v>45678</v>
      </c>
      <c r="H337" s="1" t="s">
        <v>23</v>
      </c>
      <c r="I337" s="1" t="s">
        <v>18</v>
      </c>
      <c r="J337" s="1">
        <v>4</v>
      </c>
      <c r="K337" s="1" t="s">
        <v>19</v>
      </c>
      <c r="L337" s="1" t="s">
        <v>62</v>
      </c>
      <c r="M337" s="1">
        <f>orders[[#This Row],[Ship Date]]-orders[[#This Row],[Order Date]]</f>
        <v>6</v>
      </c>
      <c r="N337" s="1">
        <f>WEEKNUM(orders[[#This Row],[Order Date]])</f>
        <v>3</v>
      </c>
      <c r="O337" s="1" t="str" cm="1">
        <f t="array" ref="O337">_xlfn.IFS(orders[[#This Row],[Customer Gender]]="M","Male", orders[[#This Row],[Customer Gender]]="F","Female", orders[[#This Row],[Customer Gender]]="O","Other", TRUE,"Unknown")</f>
        <v>Male</v>
      </c>
    </row>
    <row r="338" spans="1:15" x14ac:dyDescent="0.3">
      <c r="A338" t="s">
        <v>422</v>
      </c>
      <c r="B338" t="s">
        <v>42</v>
      </c>
      <c r="C338">
        <v>1</v>
      </c>
      <c r="D338">
        <v>48.5</v>
      </c>
      <c r="E338" s="1">
        <v>48.5</v>
      </c>
      <c r="F338" s="2">
        <v>45672</v>
      </c>
      <c r="G338" s="2">
        <v>45684</v>
      </c>
      <c r="H338" s="1" t="s">
        <v>17</v>
      </c>
      <c r="I338" s="1" t="s">
        <v>70</v>
      </c>
      <c r="J338" s="1">
        <v>5</v>
      </c>
      <c r="K338" s="1" t="s">
        <v>19</v>
      </c>
      <c r="L338" s="1" t="s">
        <v>62</v>
      </c>
      <c r="M338" s="1">
        <f>orders[[#This Row],[Ship Date]]-orders[[#This Row],[Order Date]]</f>
        <v>12</v>
      </c>
      <c r="N338" s="1">
        <f>WEEKNUM(orders[[#This Row],[Order Date]])</f>
        <v>3</v>
      </c>
      <c r="O338" s="1"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s="1">
        <v>296.70000000000005</v>
      </c>
      <c r="F339" s="2">
        <v>45672</v>
      </c>
      <c r="G339" s="2">
        <v>45674</v>
      </c>
      <c r="H339" s="1" t="s">
        <v>27</v>
      </c>
      <c r="I339" s="1" t="s">
        <v>70</v>
      </c>
      <c r="J339" s="1">
        <v>3</v>
      </c>
      <c r="K339" s="1" t="s">
        <v>19</v>
      </c>
      <c r="L339" s="1" t="s">
        <v>62</v>
      </c>
      <c r="M339" s="1">
        <f>orders[[#This Row],[Ship Date]]-orders[[#This Row],[Order Date]]</f>
        <v>2</v>
      </c>
      <c r="N339" s="1">
        <f>WEEKNUM(orders[[#This Row],[Order Date]])</f>
        <v>3</v>
      </c>
      <c r="O339" s="1"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s="1">
        <v>610.79999999999995</v>
      </c>
      <c r="F340" s="2">
        <v>45672</v>
      </c>
      <c r="G340" s="2">
        <v>45672</v>
      </c>
      <c r="H340" s="1" t="s">
        <v>23</v>
      </c>
      <c r="I340" s="1" t="s">
        <v>70</v>
      </c>
      <c r="J340" s="1">
        <v>4</v>
      </c>
      <c r="K340" s="1" t="s">
        <v>19</v>
      </c>
      <c r="L340" s="1" t="s">
        <v>62</v>
      </c>
      <c r="M340" s="1">
        <f>orders[[#This Row],[Ship Date]]-orders[[#This Row],[Order Date]]</f>
        <v>0</v>
      </c>
      <c r="N340" s="1">
        <f>WEEKNUM(orders[[#This Row],[Order Date]])</f>
        <v>3</v>
      </c>
      <c r="O340" s="1" t="str" cm="1">
        <f t="array" ref="O340">_xlfn.IFS(orders[[#This Row],[Customer Gender]]="M","Male", orders[[#This Row],[Customer Gender]]="F","Female", orders[[#This Row],[Customer Gender]]="O","Other", TRUE,"Unknown")</f>
        <v>Male</v>
      </c>
    </row>
    <row r="341" spans="1:15" x14ac:dyDescent="0.3">
      <c r="A341" t="s">
        <v>425</v>
      </c>
      <c r="B341" t="s">
        <v>69</v>
      </c>
      <c r="C341">
        <v>6</v>
      </c>
      <c r="D341">
        <v>84.7</v>
      </c>
      <c r="E341" s="1">
        <v>508.20000000000005</v>
      </c>
      <c r="F341" s="2">
        <v>45672</v>
      </c>
      <c r="G341" s="2">
        <v>45672</v>
      </c>
      <c r="H341" s="1" t="s">
        <v>27</v>
      </c>
      <c r="I341" s="1" t="s">
        <v>40</v>
      </c>
      <c r="J341" s="1">
        <v>4</v>
      </c>
      <c r="K341" s="1" t="s">
        <v>19</v>
      </c>
      <c r="L341" s="1" t="s">
        <v>62</v>
      </c>
      <c r="M341" s="1">
        <f>orders[[#This Row],[Ship Date]]-orders[[#This Row],[Order Date]]</f>
        <v>0</v>
      </c>
      <c r="N341" s="1">
        <f>WEEKNUM(orders[[#This Row],[Order Date]])</f>
        <v>3</v>
      </c>
      <c r="O341" s="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s="1">
        <v>20.7</v>
      </c>
      <c r="F342" s="2">
        <v>45672</v>
      </c>
      <c r="G342" s="2">
        <v>45674</v>
      </c>
      <c r="H342" s="1" t="s">
        <v>27</v>
      </c>
      <c r="I342" s="1" t="s">
        <v>51</v>
      </c>
      <c r="J342" s="1">
        <v>5</v>
      </c>
      <c r="K342" s="1" t="s">
        <v>19</v>
      </c>
      <c r="L342" s="1" t="s">
        <v>62</v>
      </c>
      <c r="M342" s="1">
        <f>orders[[#This Row],[Ship Date]]-orders[[#This Row],[Order Date]]</f>
        <v>2</v>
      </c>
      <c r="N342" s="1">
        <f>WEEKNUM(orders[[#This Row],[Order Date]])</f>
        <v>3</v>
      </c>
      <c r="O342" s="1"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s="1">
        <v>520.19999999999993</v>
      </c>
      <c r="F343" s="2">
        <v>45672</v>
      </c>
      <c r="G343" s="2">
        <v>45683</v>
      </c>
      <c r="H343" s="1" t="s">
        <v>23</v>
      </c>
      <c r="I343" s="1" t="s">
        <v>18</v>
      </c>
      <c r="J343" s="1">
        <v>2</v>
      </c>
      <c r="K343" s="1" t="s">
        <v>19</v>
      </c>
      <c r="L343" s="1" t="s">
        <v>103</v>
      </c>
      <c r="M343" s="1">
        <f>orders[[#This Row],[Ship Date]]-orders[[#This Row],[Order Date]]</f>
        <v>11</v>
      </c>
      <c r="N343" s="1">
        <f>WEEKNUM(orders[[#This Row],[Order Date]])</f>
        <v>3</v>
      </c>
      <c r="O343" s="1" t="str" cm="1">
        <f t="array" ref="O343">_xlfn.IFS(orders[[#This Row],[Customer Gender]]="M","Male", orders[[#This Row],[Customer Gender]]="F","Female", orders[[#This Row],[Customer Gender]]="O","Other", TRUE,"Unknown")</f>
        <v>Male</v>
      </c>
    </row>
    <row r="344" spans="1:15" x14ac:dyDescent="0.3">
      <c r="A344" t="s">
        <v>428</v>
      </c>
      <c r="B344" t="s">
        <v>26</v>
      </c>
      <c r="C344">
        <v>2</v>
      </c>
      <c r="D344">
        <v>106.9</v>
      </c>
      <c r="E344" s="1">
        <v>213.8</v>
      </c>
      <c r="F344" s="2">
        <v>45672</v>
      </c>
      <c r="G344" s="2">
        <v>45674</v>
      </c>
      <c r="H344" s="1" t="s">
        <v>27</v>
      </c>
      <c r="I344" s="1" t="s">
        <v>18</v>
      </c>
      <c r="J344" s="1">
        <v>5</v>
      </c>
      <c r="K344" s="1" t="s">
        <v>19</v>
      </c>
      <c r="L344" s="1" t="s">
        <v>429</v>
      </c>
      <c r="M344" s="1">
        <f>orders[[#This Row],[Ship Date]]-orders[[#This Row],[Order Date]]</f>
        <v>2</v>
      </c>
      <c r="N344" s="1">
        <f>WEEKNUM(orders[[#This Row],[Order Date]])</f>
        <v>3</v>
      </c>
      <c r="O344" s="1"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s="1">
        <v>226</v>
      </c>
      <c r="F345" s="2">
        <v>45672</v>
      </c>
      <c r="G345" s="2">
        <v>45676</v>
      </c>
      <c r="H345" s="1" t="s">
        <v>27</v>
      </c>
      <c r="I345" s="1" t="s">
        <v>35</v>
      </c>
      <c r="J345" s="1">
        <v>4</v>
      </c>
      <c r="K345" s="1" t="s">
        <v>19</v>
      </c>
      <c r="L345" s="1" t="s">
        <v>115</v>
      </c>
      <c r="M345" s="1">
        <f>orders[[#This Row],[Ship Date]]-orders[[#This Row],[Order Date]]</f>
        <v>4</v>
      </c>
      <c r="N345" s="1">
        <f>WEEKNUM(orders[[#This Row],[Order Date]])</f>
        <v>3</v>
      </c>
      <c r="O345" s="1"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s="1">
        <v>449.8</v>
      </c>
      <c r="F346" s="2">
        <v>45672</v>
      </c>
      <c r="G346" s="2">
        <v>45672</v>
      </c>
      <c r="H346" s="1" t="s">
        <v>27</v>
      </c>
      <c r="I346" s="1" t="s">
        <v>35</v>
      </c>
      <c r="J346" s="1">
        <v>3</v>
      </c>
      <c r="K346" s="1" t="s">
        <v>19</v>
      </c>
      <c r="L346" s="1" t="s">
        <v>115</v>
      </c>
      <c r="M346" s="1">
        <f>orders[[#This Row],[Ship Date]]-orders[[#This Row],[Order Date]]</f>
        <v>0</v>
      </c>
      <c r="N346" s="1">
        <f>WEEKNUM(orders[[#This Row],[Order Date]])</f>
        <v>3</v>
      </c>
      <c r="O346" s="1"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s="1">
        <v>43.8</v>
      </c>
      <c r="F347" s="2">
        <v>45672</v>
      </c>
      <c r="G347" s="2">
        <v>45674</v>
      </c>
      <c r="H347" s="1" t="s">
        <v>17</v>
      </c>
      <c r="I347" s="1" t="s">
        <v>18</v>
      </c>
      <c r="J347" s="1">
        <v>5</v>
      </c>
      <c r="K347" s="1" t="s">
        <v>19</v>
      </c>
      <c r="L347" s="1" t="s">
        <v>115</v>
      </c>
      <c r="M347" s="1">
        <f>orders[[#This Row],[Ship Date]]-orders[[#This Row],[Order Date]]</f>
        <v>2</v>
      </c>
      <c r="N347" s="1">
        <f>WEEKNUM(orders[[#This Row],[Order Date]])</f>
        <v>3</v>
      </c>
      <c r="O347" s="1"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s="1">
        <v>20.399999999999999</v>
      </c>
      <c r="F348" s="2">
        <v>45672</v>
      </c>
      <c r="G348" s="2">
        <v>45674</v>
      </c>
      <c r="H348" s="1" t="s">
        <v>23</v>
      </c>
      <c r="I348" s="1" t="s">
        <v>70</v>
      </c>
      <c r="J348" s="1">
        <v>3</v>
      </c>
      <c r="K348" s="1" t="s">
        <v>19</v>
      </c>
      <c r="L348" s="1" t="s">
        <v>115</v>
      </c>
      <c r="M348" s="1">
        <f>orders[[#This Row],[Ship Date]]-orders[[#This Row],[Order Date]]</f>
        <v>2</v>
      </c>
      <c r="N348" s="1">
        <f>WEEKNUM(orders[[#This Row],[Order Date]])</f>
        <v>3</v>
      </c>
      <c r="O348" s="1"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s="1">
        <v>36.700000000000003</v>
      </c>
      <c r="F349" s="2">
        <v>45672</v>
      </c>
      <c r="G349" s="2">
        <v>45673</v>
      </c>
      <c r="H349" s="1" t="s">
        <v>23</v>
      </c>
      <c r="I349" s="1" t="s">
        <v>18</v>
      </c>
      <c r="J349" s="1">
        <v>3</v>
      </c>
      <c r="K349" s="1" t="s">
        <v>19</v>
      </c>
      <c r="L349" s="1" t="s">
        <v>24</v>
      </c>
      <c r="M349" s="1">
        <f>orders[[#This Row],[Ship Date]]-orders[[#This Row],[Order Date]]</f>
        <v>1</v>
      </c>
      <c r="N349" s="1">
        <f>WEEKNUM(orders[[#This Row],[Order Date]])</f>
        <v>3</v>
      </c>
      <c r="O349" s="1" t="str" cm="1">
        <f t="array" ref="O349">_xlfn.IFS(orders[[#This Row],[Customer Gender]]="M","Male", orders[[#This Row],[Customer Gender]]="F","Female", orders[[#This Row],[Customer Gender]]="O","Other", TRUE,"Unknown")</f>
        <v>Male</v>
      </c>
    </row>
    <row r="350" spans="1:15" x14ac:dyDescent="0.3">
      <c r="A350" t="s">
        <v>435</v>
      </c>
      <c r="B350" t="s">
        <v>44</v>
      </c>
      <c r="C350">
        <v>3</v>
      </c>
      <c r="D350">
        <v>27.2</v>
      </c>
      <c r="E350" s="1">
        <v>81.599999999999994</v>
      </c>
      <c r="F350" s="2">
        <v>45672</v>
      </c>
      <c r="G350" s="2">
        <v>45676</v>
      </c>
      <c r="H350" s="1" t="s">
        <v>23</v>
      </c>
      <c r="I350" s="1" t="s">
        <v>18</v>
      </c>
      <c r="J350" s="1">
        <v>5</v>
      </c>
      <c r="K350" s="1" t="s">
        <v>19</v>
      </c>
      <c r="L350" s="1" t="s">
        <v>24</v>
      </c>
      <c r="M350" s="1">
        <f>orders[[#This Row],[Ship Date]]-orders[[#This Row],[Order Date]]</f>
        <v>4</v>
      </c>
      <c r="N350" s="1">
        <f>WEEKNUM(orders[[#This Row],[Order Date]])</f>
        <v>3</v>
      </c>
      <c r="O350" s="1" t="str" cm="1">
        <f t="array" ref="O350">_xlfn.IFS(orders[[#This Row],[Customer Gender]]="M","Male", orders[[#This Row],[Customer Gender]]="F","Female", orders[[#This Row],[Customer Gender]]="O","Other", TRUE,"Unknown")</f>
        <v>Male</v>
      </c>
    </row>
    <row r="351" spans="1:15" x14ac:dyDescent="0.3">
      <c r="A351" t="s">
        <v>436</v>
      </c>
      <c r="B351" t="s">
        <v>39</v>
      </c>
      <c r="C351">
        <v>1</v>
      </c>
      <c r="D351">
        <v>58.2</v>
      </c>
      <c r="E351" s="1">
        <v>58.2</v>
      </c>
      <c r="F351" s="2">
        <v>45672</v>
      </c>
      <c r="G351" s="2">
        <v>45673</v>
      </c>
      <c r="H351" s="1" t="s">
        <v>27</v>
      </c>
      <c r="I351" s="1" t="s">
        <v>18</v>
      </c>
      <c r="J351" s="1">
        <v>5</v>
      </c>
      <c r="K351" s="1" t="s">
        <v>19</v>
      </c>
      <c r="L351" s="1" t="s">
        <v>437</v>
      </c>
      <c r="M351" s="1">
        <f>orders[[#This Row],[Ship Date]]-orders[[#This Row],[Order Date]]</f>
        <v>1</v>
      </c>
      <c r="N351" s="1">
        <f>WEEKNUM(orders[[#This Row],[Order Date]])</f>
        <v>3</v>
      </c>
      <c r="O351" s="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s="1">
        <v>76.800000000000011</v>
      </c>
      <c r="F352" s="2">
        <v>45672</v>
      </c>
      <c r="G352" s="2">
        <v>45673</v>
      </c>
      <c r="H352" s="1" t="s">
        <v>23</v>
      </c>
      <c r="I352" s="1" t="s">
        <v>70</v>
      </c>
      <c r="J352" s="1">
        <v>2</v>
      </c>
      <c r="K352" s="1" t="s">
        <v>19</v>
      </c>
      <c r="L352" s="1" t="s">
        <v>28</v>
      </c>
      <c r="M352" s="1">
        <f>orders[[#This Row],[Ship Date]]-orders[[#This Row],[Order Date]]</f>
        <v>1</v>
      </c>
      <c r="N352" s="1">
        <f>WEEKNUM(orders[[#This Row],[Order Date]])</f>
        <v>3</v>
      </c>
      <c r="O352" s="1" t="str" cm="1">
        <f t="array" ref="O352">_xlfn.IFS(orders[[#This Row],[Customer Gender]]="M","Male", orders[[#This Row],[Customer Gender]]="F","Female", orders[[#This Row],[Customer Gender]]="O","Other", TRUE,"Unknown")</f>
        <v>Male</v>
      </c>
    </row>
    <row r="353" spans="1:15" x14ac:dyDescent="0.3">
      <c r="A353" t="s">
        <v>439</v>
      </c>
      <c r="B353" t="s">
        <v>54</v>
      </c>
      <c r="C353">
        <v>1</v>
      </c>
      <c r="D353">
        <v>21.2</v>
      </c>
      <c r="E353" s="1">
        <v>21.2</v>
      </c>
      <c r="F353" s="2">
        <v>45672</v>
      </c>
      <c r="G353" s="2">
        <v>45672</v>
      </c>
      <c r="H353" s="1" t="s">
        <v>27</v>
      </c>
      <c r="I353" s="1" t="s">
        <v>35</v>
      </c>
      <c r="J353" s="1">
        <v>5</v>
      </c>
      <c r="K353" s="1" t="s">
        <v>19</v>
      </c>
      <c r="L353" s="1" t="s">
        <v>33</v>
      </c>
      <c r="M353" s="1">
        <f>orders[[#This Row],[Ship Date]]-orders[[#This Row],[Order Date]]</f>
        <v>0</v>
      </c>
      <c r="N353" s="1">
        <f>WEEKNUM(orders[[#This Row],[Order Date]])</f>
        <v>3</v>
      </c>
      <c r="O353" s="1"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s="1">
        <v>96.4</v>
      </c>
      <c r="F354" s="2">
        <v>45672</v>
      </c>
      <c r="G354" s="2">
        <v>45680</v>
      </c>
      <c r="H354" s="1" t="s">
        <v>27</v>
      </c>
      <c r="I354" s="1" t="s">
        <v>18</v>
      </c>
      <c r="J354" s="1">
        <v>5</v>
      </c>
      <c r="K354" s="1" t="s">
        <v>19</v>
      </c>
      <c r="L354" s="1" t="s">
        <v>33</v>
      </c>
      <c r="M354" s="1">
        <f>orders[[#This Row],[Ship Date]]-orders[[#This Row],[Order Date]]</f>
        <v>8</v>
      </c>
      <c r="N354" s="1">
        <f>WEEKNUM(orders[[#This Row],[Order Date]])</f>
        <v>3</v>
      </c>
      <c r="O354" s="1"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s="1">
        <v>333.6</v>
      </c>
      <c r="F355" s="2">
        <v>45673</v>
      </c>
      <c r="G355" s="2">
        <v>45674</v>
      </c>
      <c r="H355" s="1" t="s">
        <v>23</v>
      </c>
      <c r="I355" s="1" t="s">
        <v>18</v>
      </c>
      <c r="J355" s="1">
        <v>4</v>
      </c>
      <c r="K355" s="1" t="s">
        <v>19</v>
      </c>
      <c r="L355" s="1" t="s">
        <v>33</v>
      </c>
      <c r="M355" s="1">
        <f>orders[[#This Row],[Ship Date]]-orders[[#This Row],[Order Date]]</f>
        <v>1</v>
      </c>
      <c r="N355" s="1">
        <f>WEEKNUM(orders[[#This Row],[Order Date]])</f>
        <v>3</v>
      </c>
      <c r="O355" s="1" t="str" cm="1">
        <f t="array" ref="O355">_xlfn.IFS(orders[[#This Row],[Customer Gender]]="M","Male", orders[[#This Row],[Customer Gender]]="F","Female", orders[[#This Row],[Customer Gender]]="O","Other", TRUE,"Unknown")</f>
        <v>Male</v>
      </c>
    </row>
    <row r="356" spans="1:15" x14ac:dyDescent="0.3">
      <c r="A356" t="s">
        <v>442</v>
      </c>
      <c r="B356" t="s">
        <v>46</v>
      </c>
      <c r="C356">
        <v>3</v>
      </c>
      <c r="D356">
        <v>45.3</v>
      </c>
      <c r="E356" s="1">
        <v>135.89999999999998</v>
      </c>
      <c r="F356" s="2">
        <v>45673</v>
      </c>
      <c r="G356" s="2">
        <v>45679</v>
      </c>
      <c r="H356" s="1" t="s">
        <v>23</v>
      </c>
      <c r="I356" s="1" t="s">
        <v>40</v>
      </c>
      <c r="J356" s="1">
        <v>3</v>
      </c>
      <c r="K356" s="1" t="s">
        <v>19</v>
      </c>
      <c r="L356" s="1" t="s">
        <v>33</v>
      </c>
      <c r="M356" s="1">
        <f>orders[[#This Row],[Ship Date]]-orders[[#This Row],[Order Date]]</f>
        <v>6</v>
      </c>
      <c r="N356" s="1">
        <f>WEEKNUM(orders[[#This Row],[Order Date]])</f>
        <v>3</v>
      </c>
      <c r="O356" s="1" t="str" cm="1">
        <f t="array" ref="O356">_xlfn.IFS(orders[[#This Row],[Customer Gender]]="M","Male", orders[[#This Row],[Customer Gender]]="F","Female", orders[[#This Row],[Customer Gender]]="O","Other", TRUE,"Unknown")</f>
        <v>Male</v>
      </c>
    </row>
    <row r="357" spans="1:15" x14ac:dyDescent="0.3">
      <c r="A357" t="s">
        <v>443</v>
      </c>
      <c r="B357" t="s">
        <v>135</v>
      </c>
      <c r="C357">
        <v>1</v>
      </c>
      <c r="D357">
        <v>42</v>
      </c>
      <c r="E357" s="1">
        <v>42</v>
      </c>
      <c r="F357" s="2">
        <v>45673</v>
      </c>
      <c r="G357" s="2">
        <v>45674</v>
      </c>
      <c r="H357" s="1" t="s">
        <v>17</v>
      </c>
      <c r="I357" s="1" t="s">
        <v>18</v>
      </c>
      <c r="J357" s="1">
        <v>4</v>
      </c>
      <c r="K357" s="1" t="s">
        <v>19</v>
      </c>
      <c r="L357" s="1" t="s">
        <v>33</v>
      </c>
      <c r="M357" s="1">
        <f>orders[[#This Row],[Ship Date]]-orders[[#This Row],[Order Date]]</f>
        <v>1</v>
      </c>
      <c r="N357" s="1">
        <f>WEEKNUM(orders[[#This Row],[Order Date]])</f>
        <v>3</v>
      </c>
      <c r="O357" s="1"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s="1">
        <v>196.20000000000002</v>
      </c>
      <c r="F358" s="2">
        <v>45673</v>
      </c>
      <c r="G358" s="2">
        <v>45675</v>
      </c>
      <c r="H358" s="1" t="s">
        <v>27</v>
      </c>
      <c r="I358" s="1" t="s">
        <v>35</v>
      </c>
      <c r="J358" s="1">
        <v>4</v>
      </c>
      <c r="K358" s="1" t="s">
        <v>19</v>
      </c>
      <c r="L358" s="1" t="s">
        <v>33</v>
      </c>
      <c r="M358" s="1">
        <f>orders[[#This Row],[Ship Date]]-orders[[#This Row],[Order Date]]</f>
        <v>2</v>
      </c>
      <c r="N358" s="1">
        <f>WEEKNUM(orders[[#This Row],[Order Date]])</f>
        <v>3</v>
      </c>
      <c r="O358" s="1"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s="1">
        <v>385.2</v>
      </c>
      <c r="F359" s="2">
        <v>45673</v>
      </c>
      <c r="G359" s="2">
        <v>45676</v>
      </c>
      <c r="H359" s="1" t="s">
        <v>27</v>
      </c>
      <c r="I359" s="1" t="s">
        <v>35</v>
      </c>
      <c r="J359" s="1">
        <v>5</v>
      </c>
      <c r="K359" s="1" t="s">
        <v>19</v>
      </c>
      <c r="L359" s="1" t="s">
        <v>33</v>
      </c>
      <c r="M359" s="1">
        <f>orders[[#This Row],[Ship Date]]-orders[[#This Row],[Order Date]]</f>
        <v>3</v>
      </c>
      <c r="N359" s="1">
        <f>WEEKNUM(orders[[#This Row],[Order Date]])</f>
        <v>3</v>
      </c>
      <c r="O359" s="1" t="str" cm="1">
        <f t="array" ref="O359">_xlfn.IFS(orders[[#This Row],[Customer Gender]]="M","Male", orders[[#This Row],[Customer Gender]]="F","Female", orders[[#This Row],[Customer Gender]]="O","Other", TRUE,"Unknown")</f>
        <v>Female</v>
      </c>
    </row>
    <row r="360" spans="1:15" x14ac:dyDescent="0.3">
      <c r="A360" t="s">
        <v>446</v>
      </c>
      <c r="B360" t="s">
        <v>54</v>
      </c>
      <c r="C360">
        <v>3</v>
      </c>
      <c r="D360">
        <v>45</v>
      </c>
      <c r="E360" s="1">
        <v>135</v>
      </c>
      <c r="F360" s="2">
        <v>45673</v>
      </c>
      <c r="G360" s="2">
        <v>45673</v>
      </c>
      <c r="H360" s="1" t="s">
        <v>27</v>
      </c>
      <c r="I360" s="1" t="s">
        <v>35</v>
      </c>
      <c r="J360" s="1">
        <v>5</v>
      </c>
      <c r="K360" s="1" t="s">
        <v>19</v>
      </c>
      <c r="L360" s="1" t="s">
        <v>33</v>
      </c>
      <c r="M360" s="1">
        <f>orders[[#This Row],[Ship Date]]-orders[[#This Row],[Order Date]]</f>
        <v>0</v>
      </c>
      <c r="N360" s="1">
        <f>WEEKNUM(orders[[#This Row],[Order Date]])</f>
        <v>3</v>
      </c>
      <c r="O360" s="1"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s="1">
        <v>39.6</v>
      </c>
      <c r="F361" s="2">
        <v>45673</v>
      </c>
      <c r="G361" s="2">
        <v>45674</v>
      </c>
      <c r="H361" s="1" t="s">
        <v>23</v>
      </c>
      <c r="I361" s="1" t="s">
        <v>18</v>
      </c>
      <c r="J361" s="1">
        <v>5</v>
      </c>
      <c r="K361" s="1" t="s">
        <v>19</v>
      </c>
      <c r="L361" s="1" t="s">
        <v>33</v>
      </c>
      <c r="M361" s="1">
        <f>orders[[#This Row],[Ship Date]]-orders[[#This Row],[Order Date]]</f>
        <v>1</v>
      </c>
      <c r="N361" s="1">
        <f>WEEKNUM(orders[[#This Row],[Order Date]])</f>
        <v>3</v>
      </c>
      <c r="O361" s="1" t="str" cm="1">
        <f t="array" ref="O361">_xlfn.IFS(orders[[#This Row],[Customer Gender]]="M","Male", orders[[#This Row],[Customer Gender]]="F","Female", orders[[#This Row],[Customer Gender]]="O","Other", TRUE,"Unknown")</f>
        <v>Male</v>
      </c>
    </row>
    <row r="362" spans="1:15" x14ac:dyDescent="0.3">
      <c r="A362" t="s">
        <v>448</v>
      </c>
      <c r="B362" t="s">
        <v>69</v>
      </c>
      <c r="C362">
        <v>3</v>
      </c>
      <c r="D362">
        <v>79.8</v>
      </c>
      <c r="E362" s="1">
        <v>239.39999999999998</v>
      </c>
      <c r="F362" s="2">
        <v>45673</v>
      </c>
      <c r="G362" s="2">
        <v>45679</v>
      </c>
      <c r="H362" s="1" t="s">
        <v>27</v>
      </c>
      <c r="I362" s="1" t="s">
        <v>35</v>
      </c>
      <c r="J362" s="1">
        <v>2</v>
      </c>
      <c r="K362" s="1" t="s">
        <v>19</v>
      </c>
      <c r="L362" s="1" t="s">
        <v>33</v>
      </c>
      <c r="M362" s="1">
        <f>orders[[#This Row],[Ship Date]]-orders[[#This Row],[Order Date]]</f>
        <v>6</v>
      </c>
      <c r="N362" s="1">
        <f>WEEKNUM(orders[[#This Row],[Order Date]])</f>
        <v>3</v>
      </c>
      <c r="O362" s="1"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s="1">
        <v>254.4</v>
      </c>
      <c r="F363" s="2">
        <v>45673</v>
      </c>
      <c r="G363" s="2">
        <v>45674</v>
      </c>
      <c r="H363" s="1" t="s">
        <v>89</v>
      </c>
      <c r="I363" s="1" t="s">
        <v>18</v>
      </c>
      <c r="J363" s="1">
        <v>5</v>
      </c>
      <c r="K363" s="1" t="s">
        <v>19</v>
      </c>
      <c r="L363" s="1" t="s">
        <v>186</v>
      </c>
      <c r="M363" s="1">
        <f>orders[[#This Row],[Ship Date]]-orders[[#This Row],[Order Date]]</f>
        <v>1</v>
      </c>
      <c r="N363" s="1">
        <f>WEEKNUM(orders[[#This Row],[Order Date]])</f>
        <v>3</v>
      </c>
      <c r="O363" s="1"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s="1">
        <v>927</v>
      </c>
      <c r="F364" s="2">
        <v>45673</v>
      </c>
      <c r="G364" s="2">
        <v>45677</v>
      </c>
      <c r="H364" s="1" t="s">
        <v>23</v>
      </c>
      <c r="I364" s="1" t="s">
        <v>35</v>
      </c>
      <c r="J364" s="1">
        <v>5</v>
      </c>
      <c r="K364" s="1" t="s">
        <v>19</v>
      </c>
      <c r="L364" s="1" t="s">
        <v>55</v>
      </c>
      <c r="M364" s="1">
        <f>orders[[#This Row],[Ship Date]]-orders[[#This Row],[Order Date]]</f>
        <v>4</v>
      </c>
      <c r="N364" s="1">
        <f>WEEKNUM(orders[[#This Row],[Order Date]])</f>
        <v>3</v>
      </c>
      <c r="O364" s="1" t="str" cm="1">
        <f t="array" ref="O364">_xlfn.IFS(orders[[#This Row],[Customer Gender]]="M","Male", orders[[#This Row],[Customer Gender]]="F","Female", orders[[#This Row],[Customer Gender]]="O","Other", TRUE,"Unknown")</f>
        <v>Male</v>
      </c>
    </row>
    <row r="365" spans="1:15" x14ac:dyDescent="0.3">
      <c r="A365" t="s">
        <v>451</v>
      </c>
      <c r="B365" t="s">
        <v>22</v>
      </c>
      <c r="C365">
        <v>4</v>
      </c>
      <c r="D365">
        <v>48.4</v>
      </c>
      <c r="E365" s="1">
        <v>193.6</v>
      </c>
      <c r="F365" s="2">
        <v>45673</v>
      </c>
      <c r="G365" s="2">
        <v>45675</v>
      </c>
      <c r="H365" s="1" t="s">
        <v>27</v>
      </c>
      <c r="I365" s="1" t="s">
        <v>35</v>
      </c>
      <c r="J365" s="1">
        <v>5</v>
      </c>
      <c r="K365" s="1" t="s">
        <v>19</v>
      </c>
      <c r="L365" s="1" t="s">
        <v>55</v>
      </c>
      <c r="M365" s="1">
        <f>orders[[#This Row],[Ship Date]]-orders[[#This Row],[Order Date]]</f>
        <v>2</v>
      </c>
      <c r="N365" s="1">
        <f>WEEKNUM(orders[[#This Row],[Order Date]])</f>
        <v>3</v>
      </c>
      <c r="O365" s="1" t="str" cm="1">
        <f t="array" ref="O365">_xlfn.IFS(orders[[#This Row],[Customer Gender]]="M","Male", orders[[#This Row],[Customer Gender]]="F","Female", orders[[#This Row],[Customer Gender]]="O","Other", TRUE,"Unknown")</f>
        <v>Female</v>
      </c>
    </row>
    <row r="366" spans="1:15" x14ac:dyDescent="0.3">
      <c r="A366" t="s">
        <v>452</v>
      </c>
      <c r="B366" t="s">
        <v>46</v>
      </c>
      <c r="C366">
        <v>8</v>
      </c>
      <c r="D366">
        <v>36</v>
      </c>
      <c r="E366" s="1">
        <v>288</v>
      </c>
      <c r="F366" s="2">
        <v>45673</v>
      </c>
      <c r="G366" s="2">
        <v>45676</v>
      </c>
      <c r="H366" s="1" t="s">
        <v>23</v>
      </c>
      <c r="I366" s="1" t="s">
        <v>40</v>
      </c>
      <c r="J366" s="1">
        <v>5</v>
      </c>
      <c r="K366" s="1" t="s">
        <v>19</v>
      </c>
      <c r="L366" s="1" t="s">
        <v>62</v>
      </c>
      <c r="M366" s="1">
        <f>orders[[#This Row],[Ship Date]]-orders[[#This Row],[Order Date]]</f>
        <v>3</v>
      </c>
      <c r="N366" s="1">
        <f>WEEKNUM(orders[[#This Row],[Order Date]])</f>
        <v>3</v>
      </c>
      <c r="O366" s="1" t="str" cm="1">
        <f t="array" ref="O366">_xlfn.IFS(orders[[#This Row],[Customer Gender]]="M","Male", orders[[#This Row],[Customer Gender]]="F","Female", orders[[#This Row],[Customer Gender]]="O","Other", TRUE,"Unknown")</f>
        <v>Male</v>
      </c>
    </row>
    <row r="367" spans="1:15" x14ac:dyDescent="0.3">
      <c r="A367" t="s">
        <v>453</v>
      </c>
      <c r="B367" t="s">
        <v>44</v>
      </c>
      <c r="C367">
        <v>12</v>
      </c>
      <c r="D367">
        <v>27</v>
      </c>
      <c r="E367" s="1">
        <v>324</v>
      </c>
      <c r="F367" s="2">
        <v>45673</v>
      </c>
      <c r="G367" s="2">
        <v>45675</v>
      </c>
      <c r="H367" s="1" t="s">
        <v>27</v>
      </c>
      <c r="I367" s="1" t="s">
        <v>40</v>
      </c>
      <c r="J367" s="1">
        <v>3</v>
      </c>
      <c r="K367" s="1" t="s">
        <v>19</v>
      </c>
      <c r="L367" s="1" t="s">
        <v>62</v>
      </c>
      <c r="M367" s="1">
        <f>orders[[#This Row],[Ship Date]]-orders[[#This Row],[Order Date]]</f>
        <v>2</v>
      </c>
      <c r="N367" s="1">
        <f>WEEKNUM(orders[[#This Row],[Order Date]])</f>
        <v>3</v>
      </c>
      <c r="O367" s="1"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s="1">
        <v>431.2</v>
      </c>
      <c r="F368" s="2">
        <v>45673</v>
      </c>
      <c r="G368" s="2">
        <v>45674</v>
      </c>
      <c r="H368" s="1" t="s">
        <v>17</v>
      </c>
      <c r="I368" s="1" t="s">
        <v>18</v>
      </c>
      <c r="J368" s="1">
        <v>4</v>
      </c>
      <c r="K368" s="1" t="s">
        <v>19</v>
      </c>
      <c r="L368" s="1" t="s">
        <v>62</v>
      </c>
      <c r="M368" s="1">
        <f>orders[[#This Row],[Ship Date]]-orders[[#This Row],[Order Date]]</f>
        <v>1</v>
      </c>
      <c r="N368" s="1">
        <f>WEEKNUM(orders[[#This Row],[Order Date]])</f>
        <v>3</v>
      </c>
      <c r="O368" s="1"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s="1">
        <v>435.59999999999997</v>
      </c>
      <c r="F369" s="2">
        <v>45673</v>
      </c>
      <c r="G369" s="2">
        <v>45674</v>
      </c>
      <c r="H369" s="1" t="s">
        <v>27</v>
      </c>
      <c r="I369" s="1" t="s">
        <v>35</v>
      </c>
      <c r="J369" s="1">
        <v>4</v>
      </c>
      <c r="K369" s="1" t="s">
        <v>19</v>
      </c>
      <c r="L369" s="1" t="s">
        <v>72</v>
      </c>
      <c r="M369" s="1">
        <f>orders[[#This Row],[Ship Date]]-orders[[#This Row],[Order Date]]</f>
        <v>1</v>
      </c>
      <c r="N369" s="1">
        <f>WEEKNUM(orders[[#This Row],[Order Date]])</f>
        <v>3</v>
      </c>
      <c r="O369" s="1"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s="1">
        <v>99.8</v>
      </c>
      <c r="F370" s="2">
        <v>45673</v>
      </c>
      <c r="G370" s="2">
        <v>45678</v>
      </c>
      <c r="H370" s="1" t="s">
        <v>23</v>
      </c>
      <c r="I370" s="1" t="s">
        <v>70</v>
      </c>
      <c r="J370" s="1">
        <v>2</v>
      </c>
      <c r="K370" s="1" t="s">
        <v>19</v>
      </c>
      <c r="L370" s="1" t="s">
        <v>74</v>
      </c>
      <c r="M370" s="1">
        <f>orders[[#This Row],[Ship Date]]-orders[[#This Row],[Order Date]]</f>
        <v>5</v>
      </c>
      <c r="N370" s="1">
        <f>WEEKNUM(orders[[#This Row],[Order Date]])</f>
        <v>3</v>
      </c>
      <c r="O370" s="1" t="str" cm="1">
        <f t="array" ref="O370">_xlfn.IFS(orders[[#This Row],[Customer Gender]]="M","Male", orders[[#This Row],[Customer Gender]]="F","Female", orders[[#This Row],[Customer Gender]]="O","Other", TRUE,"Unknown")</f>
        <v>Male</v>
      </c>
    </row>
    <row r="371" spans="1:15" x14ac:dyDescent="0.3">
      <c r="A371" t="s">
        <v>457</v>
      </c>
      <c r="B371" t="s">
        <v>22</v>
      </c>
      <c r="C371">
        <v>3</v>
      </c>
      <c r="D371">
        <v>51.7</v>
      </c>
      <c r="E371" s="1">
        <v>155.10000000000002</v>
      </c>
      <c r="F371" s="2">
        <v>45673</v>
      </c>
      <c r="G371" s="2">
        <v>45674</v>
      </c>
      <c r="H371" s="1" t="s">
        <v>27</v>
      </c>
      <c r="I371" s="1" t="s">
        <v>18</v>
      </c>
      <c r="J371" s="1">
        <v>5</v>
      </c>
      <c r="K371" s="1" t="s">
        <v>19</v>
      </c>
      <c r="L371" s="1" t="s">
        <v>77</v>
      </c>
      <c r="M371" s="1">
        <f>orders[[#This Row],[Ship Date]]-orders[[#This Row],[Order Date]]</f>
        <v>1</v>
      </c>
      <c r="N371" s="1">
        <f>WEEKNUM(orders[[#This Row],[Order Date]])</f>
        <v>3</v>
      </c>
      <c r="O371" s="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s="1">
        <v>125.39999999999999</v>
      </c>
      <c r="F372" s="2">
        <v>45673</v>
      </c>
      <c r="G372" s="2">
        <v>45675</v>
      </c>
      <c r="H372" s="1" t="s">
        <v>27</v>
      </c>
      <c r="I372" s="1" t="s">
        <v>40</v>
      </c>
      <c r="J372" s="1">
        <v>4</v>
      </c>
      <c r="K372" s="1" t="s">
        <v>19</v>
      </c>
      <c r="L372" s="1" t="s">
        <v>108</v>
      </c>
      <c r="M372" s="1">
        <f>orders[[#This Row],[Ship Date]]-orders[[#This Row],[Order Date]]</f>
        <v>2</v>
      </c>
      <c r="N372" s="1">
        <f>WEEKNUM(orders[[#This Row],[Order Date]])</f>
        <v>3</v>
      </c>
      <c r="O372" s="1"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s="1">
        <v>144.80000000000001</v>
      </c>
      <c r="F373" s="2">
        <v>45674</v>
      </c>
      <c r="G373" s="2">
        <v>45675</v>
      </c>
      <c r="H373" s="1" t="s">
        <v>23</v>
      </c>
      <c r="I373" s="1" t="s">
        <v>40</v>
      </c>
      <c r="J373" s="1">
        <v>5</v>
      </c>
      <c r="K373" s="1" t="s">
        <v>19</v>
      </c>
      <c r="L373" s="1" t="s">
        <v>115</v>
      </c>
      <c r="M373" s="1">
        <f>orders[[#This Row],[Ship Date]]-orders[[#This Row],[Order Date]]</f>
        <v>1</v>
      </c>
      <c r="N373" s="1">
        <f>WEEKNUM(orders[[#This Row],[Order Date]])</f>
        <v>3</v>
      </c>
      <c r="O373" s="1" t="str" cm="1">
        <f t="array" ref="O373">_xlfn.IFS(orders[[#This Row],[Customer Gender]]="M","Male", orders[[#This Row],[Customer Gender]]="F","Female", orders[[#This Row],[Customer Gender]]="O","Other", TRUE,"Unknown")</f>
        <v>Male</v>
      </c>
    </row>
    <row r="374" spans="1:15" x14ac:dyDescent="0.3">
      <c r="A374" t="s">
        <v>460</v>
      </c>
      <c r="B374" t="s">
        <v>26</v>
      </c>
      <c r="C374">
        <v>1</v>
      </c>
      <c r="D374">
        <v>150.9</v>
      </c>
      <c r="E374" s="1">
        <v>150.9</v>
      </c>
      <c r="F374" s="2">
        <v>45674</v>
      </c>
      <c r="G374" s="2">
        <v>45684</v>
      </c>
      <c r="H374" s="1" t="s">
        <v>23</v>
      </c>
      <c r="I374" s="1" t="s">
        <v>18</v>
      </c>
      <c r="J374" s="1">
        <v>4</v>
      </c>
      <c r="K374" s="1" t="s">
        <v>19</v>
      </c>
      <c r="L374" s="1" t="s">
        <v>24</v>
      </c>
      <c r="M374" s="1">
        <f>orders[[#This Row],[Ship Date]]-orders[[#This Row],[Order Date]]</f>
        <v>10</v>
      </c>
      <c r="N374" s="1">
        <f>WEEKNUM(orders[[#This Row],[Order Date]])</f>
        <v>3</v>
      </c>
      <c r="O374" s="1"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s="1">
        <v>310.39999999999998</v>
      </c>
      <c r="F375" s="2">
        <v>45674</v>
      </c>
      <c r="G375" s="2">
        <v>45675</v>
      </c>
      <c r="H375" s="1" t="s">
        <v>17</v>
      </c>
      <c r="I375" s="1" t="s">
        <v>40</v>
      </c>
      <c r="J375" s="1">
        <v>4</v>
      </c>
      <c r="K375" s="1" t="s">
        <v>19</v>
      </c>
      <c r="L375" s="1" t="s">
        <v>33</v>
      </c>
      <c r="M375" s="1">
        <f>orders[[#This Row],[Ship Date]]-orders[[#This Row],[Order Date]]</f>
        <v>1</v>
      </c>
      <c r="N375" s="1">
        <f>WEEKNUM(orders[[#This Row],[Order Date]])</f>
        <v>3</v>
      </c>
      <c r="O375" s="1"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s="1">
        <v>327.5</v>
      </c>
      <c r="F376" s="2">
        <v>45674</v>
      </c>
      <c r="G376" s="2">
        <v>45674</v>
      </c>
      <c r="H376" s="1" t="s">
        <v>23</v>
      </c>
      <c r="I376" s="1" t="s">
        <v>35</v>
      </c>
      <c r="J376" s="1">
        <v>4</v>
      </c>
      <c r="K376" s="1" t="s">
        <v>19</v>
      </c>
      <c r="L376" s="1" t="s">
        <v>33</v>
      </c>
      <c r="M376" s="1">
        <f>orders[[#This Row],[Ship Date]]-orders[[#This Row],[Order Date]]</f>
        <v>0</v>
      </c>
      <c r="N376" s="1">
        <f>WEEKNUM(orders[[#This Row],[Order Date]])</f>
        <v>3</v>
      </c>
      <c r="O376" s="1" t="str" cm="1">
        <f t="array" ref="O376">_xlfn.IFS(orders[[#This Row],[Customer Gender]]="M","Male", orders[[#This Row],[Customer Gender]]="F","Female", orders[[#This Row],[Customer Gender]]="O","Other", TRUE,"Unknown")</f>
        <v>Male</v>
      </c>
    </row>
    <row r="377" spans="1:15" x14ac:dyDescent="0.3">
      <c r="A377" t="s">
        <v>463</v>
      </c>
      <c r="B377" t="s">
        <v>39</v>
      </c>
      <c r="C377">
        <v>3</v>
      </c>
      <c r="D377">
        <v>90.1</v>
      </c>
      <c r="E377" s="1">
        <v>270.29999999999995</v>
      </c>
      <c r="F377" s="2">
        <v>45674</v>
      </c>
      <c r="G377" s="2">
        <v>45676</v>
      </c>
      <c r="H377" s="1" t="s">
        <v>27</v>
      </c>
      <c r="I377" s="1" t="s">
        <v>18</v>
      </c>
      <c r="J377" s="1">
        <v>4</v>
      </c>
      <c r="K377" s="1" t="s">
        <v>19</v>
      </c>
      <c r="L377" s="1" t="s">
        <v>33</v>
      </c>
      <c r="M377" s="1">
        <f>orders[[#This Row],[Ship Date]]-orders[[#This Row],[Order Date]]</f>
        <v>2</v>
      </c>
      <c r="N377" s="1">
        <f>WEEKNUM(orders[[#This Row],[Order Date]])</f>
        <v>3</v>
      </c>
      <c r="O377" s="1"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s="1">
        <v>216.6</v>
      </c>
      <c r="F378" s="2">
        <v>45674</v>
      </c>
      <c r="G378" s="2">
        <v>45677</v>
      </c>
      <c r="H378" s="1" t="s">
        <v>89</v>
      </c>
      <c r="I378" s="1" t="s">
        <v>70</v>
      </c>
      <c r="J378" s="1">
        <v>4</v>
      </c>
      <c r="K378" s="1" t="s">
        <v>19</v>
      </c>
      <c r="L378" s="1" t="s">
        <v>33</v>
      </c>
      <c r="M378" s="1">
        <f>orders[[#This Row],[Ship Date]]-orders[[#This Row],[Order Date]]</f>
        <v>3</v>
      </c>
      <c r="N378" s="1">
        <f>WEEKNUM(orders[[#This Row],[Order Date]])</f>
        <v>3</v>
      </c>
      <c r="O378" s="1" t="str" cm="1">
        <f t="array" ref="O378">_xlfn.IFS(orders[[#This Row],[Customer Gender]]="M","Male", orders[[#This Row],[Customer Gender]]="F","Female", orders[[#This Row],[Customer Gender]]="O","Other", TRUE,"Unknown")</f>
        <v>Other</v>
      </c>
    </row>
    <row r="379" spans="1:15" x14ac:dyDescent="0.3">
      <c r="A379" t="s">
        <v>465</v>
      </c>
      <c r="B379" t="s">
        <v>37</v>
      </c>
      <c r="C379">
        <v>3</v>
      </c>
      <c r="D379">
        <v>59.9</v>
      </c>
      <c r="E379" s="1">
        <v>179.7</v>
      </c>
      <c r="F379" s="2">
        <v>45674</v>
      </c>
      <c r="G379" s="2">
        <v>45678</v>
      </c>
      <c r="H379" s="1" t="s">
        <v>27</v>
      </c>
      <c r="I379" s="1" t="s">
        <v>18</v>
      </c>
      <c r="J379" s="1">
        <v>4</v>
      </c>
      <c r="K379" s="1" t="s">
        <v>19</v>
      </c>
      <c r="L379" s="1" t="s">
        <v>33</v>
      </c>
      <c r="M379" s="1">
        <f>orders[[#This Row],[Ship Date]]-orders[[#This Row],[Order Date]]</f>
        <v>4</v>
      </c>
      <c r="N379" s="1">
        <f>WEEKNUM(orders[[#This Row],[Order Date]])</f>
        <v>3</v>
      </c>
      <c r="O379" s="1"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s="1">
        <v>2363</v>
      </c>
      <c r="F380" s="2">
        <v>45674</v>
      </c>
      <c r="G380" s="2">
        <v>45676</v>
      </c>
      <c r="H380" s="1" t="s">
        <v>27</v>
      </c>
      <c r="I380" s="1" t="s">
        <v>35</v>
      </c>
      <c r="J380" s="1">
        <v>2</v>
      </c>
      <c r="K380" s="1" t="s">
        <v>19</v>
      </c>
      <c r="L380" s="1" t="s">
        <v>33</v>
      </c>
      <c r="M380" s="1">
        <f>orders[[#This Row],[Ship Date]]-orders[[#This Row],[Order Date]]</f>
        <v>2</v>
      </c>
      <c r="N380" s="1">
        <f>WEEKNUM(orders[[#This Row],[Order Date]])</f>
        <v>3</v>
      </c>
      <c r="O380" s="1"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s="1">
        <v>261.89999999999998</v>
      </c>
      <c r="F381" s="2">
        <v>45674</v>
      </c>
      <c r="G381" s="2">
        <v>45675</v>
      </c>
      <c r="H381" s="1" t="s">
        <v>27</v>
      </c>
      <c r="I381" s="1" t="s">
        <v>18</v>
      </c>
      <c r="J381" s="1">
        <v>4</v>
      </c>
      <c r="K381" s="1" t="s">
        <v>19</v>
      </c>
      <c r="L381" s="1" t="s">
        <v>33</v>
      </c>
      <c r="M381" s="1">
        <f>orders[[#This Row],[Ship Date]]-orders[[#This Row],[Order Date]]</f>
        <v>1</v>
      </c>
      <c r="N381" s="1">
        <f>WEEKNUM(orders[[#This Row],[Order Date]])</f>
        <v>3</v>
      </c>
      <c r="O381" s="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s="1">
        <v>169.2</v>
      </c>
      <c r="F382" s="2">
        <v>45674</v>
      </c>
      <c r="G382" s="2">
        <v>45674</v>
      </c>
      <c r="H382" s="1" t="s">
        <v>23</v>
      </c>
      <c r="I382" s="1" t="s">
        <v>18</v>
      </c>
      <c r="J382" s="1">
        <v>4</v>
      </c>
      <c r="K382" s="1" t="s">
        <v>19</v>
      </c>
      <c r="L382" s="1" t="s">
        <v>33</v>
      </c>
      <c r="M382" s="1">
        <f>orders[[#This Row],[Ship Date]]-orders[[#This Row],[Order Date]]</f>
        <v>0</v>
      </c>
      <c r="N382" s="1">
        <f>WEEKNUM(orders[[#This Row],[Order Date]])</f>
        <v>3</v>
      </c>
      <c r="O382" s="1" t="str" cm="1">
        <f t="array" ref="O382">_xlfn.IFS(orders[[#This Row],[Customer Gender]]="M","Male", orders[[#This Row],[Customer Gender]]="F","Female", orders[[#This Row],[Customer Gender]]="O","Other", TRUE,"Unknown")</f>
        <v>Male</v>
      </c>
    </row>
    <row r="383" spans="1:15" x14ac:dyDescent="0.3">
      <c r="A383" t="s">
        <v>469</v>
      </c>
      <c r="B383" t="s">
        <v>81</v>
      </c>
      <c r="C383">
        <v>8</v>
      </c>
      <c r="D383">
        <v>103.6</v>
      </c>
      <c r="E383" s="1">
        <v>828.8</v>
      </c>
      <c r="F383" s="2">
        <v>45674</v>
      </c>
      <c r="G383" s="2">
        <v>45675</v>
      </c>
      <c r="H383" s="1" t="s">
        <v>89</v>
      </c>
      <c r="I383" s="1" t="s">
        <v>18</v>
      </c>
      <c r="J383" s="1">
        <v>3</v>
      </c>
      <c r="K383" s="1" t="s">
        <v>19</v>
      </c>
      <c r="L383" s="1" t="s">
        <v>33</v>
      </c>
      <c r="M383" s="1">
        <f>orders[[#This Row],[Ship Date]]-orders[[#This Row],[Order Date]]</f>
        <v>1</v>
      </c>
      <c r="N383" s="1">
        <f>WEEKNUM(orders[[#This Row],[Order Date]])</f>
        <v>3</v>
      </c>
      <c r="O383" s="1" t="str" cm="1">
        <f t="array" ref="O383">_xlfn.IFS(orders[[#This Row],[Customer Gender]]="M","Male", orders[[#This Row],[Customer Gender]]="F","Female", orders[[#This Row],[Customer Gender]]="O","Other", TRUE,"Unknown")</f>
        <v>Other</v>
      </c>
    </row>
    <row r="384" spans="1:15" x14ac:dyDescent="0.3">
      <c r="A384" t="s">
        <v>470</v>
      </c>
      <c r="B384" t="s">
        <v>39</v>
      </c>
      <c r="C384">
        <v>2</v>
      </c>
      <c r="D384">
        <v>90.9</v>
      </c>
      <c r="E384" s="1">
        <v>181.8</v>
      </c>
      <c r="F384" s="2">
        <v>45674</v>
      </c>
      <c r="G384" s="2">
        <v>45675</v>
      </c>
      <c r="H384" s="1" t="s">
        <v>23</v>
      </c>
      <c r="I384" s="1" t="s">
        <v>35</v>
      </c>
      <c r="J384" s="1">
        <v>4</v>
      </c>
      <c r="K384" s="1" t="s">
        <v>19</v>
      </c>
      <c r="L384" s="1" t="s">
        <v>55</v>
      </c>
      <c r="M384" s="1">
        <f>orders[[#This Row],[Ship Date]]-orders[[#This Row],[Order Date]]</f>
        <v>1</v>
      </c>
      <c r="N384" s="1">
        <f>WEEKNUM(orders[[#This Row],[Order Date]])</f>
        <v>3</v>
      </c>
      <c r="O384" s="1"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s="1">
        <v>1614.4</v>
      </c>
      <c r="F385" s="2">
        <v>45674</v>
      </c>
      <c r="G385" s="2">
        <v>45675</v>
      </c>
      <c r="H385" s="1" t="s">
        <v>27</v>
      </c>
      <c r="I385" s="1" t="s">
        <v>35</v>
      </c>
      <c r="J385" s="1">
        <v>4</v>
      </c>
      <c r="K385" s="1" t="s">
        <v>19</v>
      </c>
      <c r="L385" s="1" t="s">
        <v>55</v>
      </c>
      <c r="M385" s="1">
        <f>orders[[#This Row],[Ship Date]]-orders[[#This Row],[Order Date]]</f>
        <v>1</v>
      </c>
      <c r="N385" s="1">
        <f>WEEKNUM(orders[[#This Row],[Order Date]])</f>
        <v>3</v>
      </c>
      <c r="O385" s="1" t="str" cm="1">
        <f t="array" ref="O385">_xlfn.IFS(orders[[#This Row],[Customer Gender]]="M","Male", orders[[#This Row],[Customer Gender]]="F","Female", orders[[#This Row],[Customer Gender]]="O","Other", TRUE,"Unknown")</f>
        <v>Female</v>
      </c>
    </row>
    <row r="386" spans="1:15" x14ac:dyDescent="0.3">
      <c r="A386" t="s">
        <v>472</v>
      </c>
      <c r="B386" t="s">
        <v>32</v>
      </c>
      <c r="C386">
        <v>5</v>
      </c>
      <c r="D386">
        <v>36</v>
      </c>
      <c r="E386" s="1">
        <v>180</v>
      </c>
      <c r="F386" s="2">
        <v>45674</v>
      </c>
      <c r="G386" s="2">
        <v>45676</v>
      </c>
      <c r="H386" s="1" t="s">
        <v>27</v>
      </c>
      <c r="I386" s="1" t="s">
        <v>35</v>
      </c>
      <c r="J386" s="1">
        <v>4</v>
      </c>
      <c r="K386" s="1" t="s">
        <v>19</v>
      </c>
      <c r="L386" s="1" t="s">
        <v>59</v>
      </c>
      <c r="M386" s="1">
        <f>orders[[#This Row],[Ship Date]]-orders[[#This Row],[Order Date]]</f>
        <v>2</v>
      </c>
      <c r="N386" s="1">
        <f>WEEKNUM(orders[[#This Row],[Order Date]])</f>
        <v>3</v>
      </c>
      <c r="O386" s="1"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s="1">
        <v>499.79999999999995</v>
      </c>
      <c r="F387" s="2">
        <v>45674</v>
      </c>
      <c r="G387" s="2">
        <v>45677</v>
      </c>
      <c r="H387" s="1" t="s">
        <v>17</v>
      </c>
      <c r="I387" s="1" t="s">
        <v>40</v>
      </c>
      <c r="J387" s="1">
        <v>4</v>
      </c>
      <c r="K387" s="1" t="s">
        <v>19</v>
      </c>
      <c r="L387" s="1" t="s">
        <v>59</v>
      </c>
      <c r="M387" s="1">
        <f>orders[[#This Row],[Ship Date]]-orders[[#This Row],[Order Date]]</f>
        <v>3</v>
      </c>
      <c r="N387" s="1">
        <f>WEEKNUM(orders[[#This Row],[Order Date]])</f>
        <v>3</v>
      </c>
      <c r="O387" s="1"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s="1">
        <v>1025.0999999999999</v>
      </c>
      <c r="F388" s="2">
        <v>45674</v>
      </c>
      <c r="G388" s="2">
        <v>45675</v>
      </c>
      <c r="H388" s="1" t="s">
        <v>23</v>
      </c>
      <c r="I388" s="1" t="s">
        <v>40</v>
      </c>
      <c r="J388" s="1">
        <v>3</v>
      </c>
      <c r="K388" s="1" t="s">
        <v>19</v>
      </c>
      <c r="L388" s="1" t="s">
        <v>59</v>
      </c>
      <c r="M388" s="1">
        <f>orders[[#This Row],[Ship Date]]-orders[[#This Row],[Order Date]]</f>
        <v>1</v>
      </c>
      <c r="N388" s="1">
        <f>WEEKNUM(orders[[#This Row],[Order Date]])</f>
        <v>3</v>
      </c>
      <c r="O388" s="1" t="str" cm="1">
        <f t="array" ref="O388">_xlfn.IFS(orders[[#This Row],[Customer Gender]]="M","Male", orders[[#This Row],[Customer Gender]]="F","Female", orders[[#This Row],[Customer Gender]]="O","Other", TRUE,"Unknown")</f>
        <v>Male</v>
      </c>
    </row>
    <row r="389" spans="1:15" x14ac:dyDescent="0.3">
      <c r="A389" t="s">
        <v>475</v>
      </c>
      <c r="B389" t="s">
        <v>26</v>
      </c>
      <c r="C389">
        <v>6</v>
      </c>
      <c r="D389">
        <v>120.3</v>
      </c>
      <c r="E389" s="1">
        <v>721.8</v>
      </c>
      <c r="F389" s="2">
        <v>45674</v>
      </c>
      <c r="G389" s="2">
        <v>45675</v>
      </c>
      <c r="H389" s="1" t="s">
        <v>23</v>
      </c>
      <c r="I389" s="1" t="s">
        <v>40</v>
      </c>
      <c r="J389" s="1">
        <v>4</v>
      </c>
      <c r="K389" s="1" t="s">
        <v>19</v>
      </c>
      <c r="L389" s="1" t="s">
        <v>62</v>
      </c>
      <c r="M389" s="1">
        <f>orders[[#This Row],[Ship Date]]-orders[[#This Row],[Order Date]]</f>
        <v>1</v>
      </c>
      <c r="N389" s="1">
        <f>WEEKNUM(orders[[#This Row],[Order Date]])</f>
        <v>3</v>
      </c>
      <c r="O389" s="1" t="str" cm="1">
        <f t="array" ref="O389">_xlfn.IFS(orders[[#This Row],[Customer Gender]]="M","Male", orders[[#This Row],[Customer Gender]]="F","Female", orders[[#This Row],[Customer Gender]]="O","Other", TRUE,"Unknown")</f>
        <v>Male</v>
      </c>
    </row>
    <row r="390" spans="1:15" x14ac:dyDescent="0.3">
      <c r="A390" t="s">
        <v>476</v>
      </c>
      <c r="B390" t="s">
        <v>32</v>
      </c>
      <c r="C390">
        <v>10</v>
      </c>
      <c r="D390">
        <v>34</v>
      </c>
      <c r="E390" s="1">
        <v>340</v>
      </c>
      <c r="F390" s="2">
        <v>45674</v>
      </c>
      <c r="G390" s="2">
        <v>45678</v>
      </c>
      <c r="H390" s="1" t="s">
        <v>27</v>
      </c>
      <c r="I390" s="1" t="s">
        <v>40</v>
      </c>
      <c r="J390" s="1">
        <v>4</v>
      </c>
      <c r="K390" s="1" t="s">
        <v>19</v>
      </c>
      <c r="L390" s="1" t="s">
        <v>62</v>
      </c>
      <c r="M390" s="1">
        <f>orders[[#This Row],[Ship Date]]-orders[[#This Row],[Order Date]]</f>
        <v>4</v>
      </c>
      <c r="N390" s="1">
        <f>WEEKNUM(orders[[#This Row],[Order Date]])</f>
        <v>3</v>
      </c>
      <c r="O390" s="1"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s="1">
        <v>213</v>
      </c>
      <c r="F391" s="2">
        <v>45674</v>
      </c>
      <c r="G391" s="2">
        <v>45677</v>
      </c>
      <c r="H391" s="1" t="s">
        <v>23</v>
      </c>
      <c r="I391" s="1" t="s">
        <v>35</v>
      </c>
      <c r="J391" s="1">
        <v>4</v>
      </c>
      <c r="K391" s="1" t="s">
        <v>19</v>
      </c>
      <c r="L391" s="1" t="s">
        <v>62</v>
      </c>
      <c r="M391" s="1">
        <f>orders[[#This Row],[Ship Date]]-orders[[#This Row],[Order Date]]</f>
        <v>3</v>
      </c>
      <c r="N391" s="1">
        <f>WEEKNUM(orders[[#This Row],[Order Date]])</f>
        <v>3</v>
      </c>
      <c r="O391" s="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s="1">
        <v>948</v>
      </c>
      <c r="F392" s="2">
        <v>45674</v>
      </c>
      <c r="G392" s="2">
        <v>45674</v>
      </c>
      <c r="H392" s="1" t="s">
        <v>27</v>
      </c>
      <c r="I392" s="1" t="s">
        <v>40</v>
      </c>
      <c r="J392" s="1">
        <v>3</v>
      </c>
      <c r="K392" s="1" t="s">
        <v>19</v>
      </c>
      <c r="L392" s="1" t="s">
        <v>103</v>
      </c>
      <c r="M392" s="1">
        <f>orders[[#This Row],[Ship Date]]-orders[[#This Row],[Order Date]]</f>
        <v>0</v>
      </c>
      <c r="N392" s="1">
        <f>WEEKNUM(orders[[#This Row],[Order Date]])</f>
        <v>3</v>
      </c>
      <c r="O392" s="1" t="str" cm="1">
        <f t="array" ref="O392">_xlfn.IFS(orders[[#This Row],[Customer Gender]]="M","Male", orders[[#This Row],[Customer Gender]]="F","Female", orders[[#This Row],[Customer Gender]]="O","Other", TRUE,"Unknown")</f>
        <v>Female</v>
      </c>
    </row>
    <row r="393" spans="1:15" x14ac:dyDescent="0.3">
      <c r="A393" t="s">
        <v>479</v>
      </c>
      <c r="B393" t="s">
        <v>26</v>
      </c>
      <c r="C393">
        <v>1</v>
      </c>
      <c r="D393">
        <v>74</v>
      </c>
      <c r="E393" s="1">
        <v>74</v>
      </c>
      <c r="F393" s="2">
        <v>45675</v>
      </c>
      <c r="G393" s="2">
        <v>45676</v>
      </c>
      <c r="H393" s="1" t="s">
        <v>23</v>
      </c>
      <c r="I393" s="1" t="s">
        <v>35</v>
      </c>
      <c r="J393" s="1">
        <v>4</v>
      </c>
      <c r="K393" s="1" t="s">
        <v>19</v>
      </c>
      <c r="L393" s="1" t="s">
        <v>77</v>
      </c>
      <c r="M393" s="1">
        <f>orders[[#This Row],[Ship Date]]-orders[[#This Row],[Order Date]]</f>
        <v>1</v>
      </c>
      <c r="N393" s="1">
        <f>WEEKNUM(orders[[#This Row],[Order Date]])</f>
        <v>3</v>
      </c>
      <c r="O393" s="1" t="str" cm="1">
        <f t="array" ref="O393">_xlfn.IFS(orders[[#This Row],[Customer Gender]]="M","Male", orders[[#This Row],[Customer Gender]]="F","Female", orders[[#This Row],[Customer Gender]]="O","Other", TRUE,"Unknown")</f>
        <v>Male</v>
      </c>
    </row>
    <row r="394" spans="1:15" x14ac:dyDescent="0.3">
      <c r="A394" t="s">
        <v>480</v>
      </c>
      <c r="B394" t="s">
        <v>26</v>
      </c>
      <c r="C394">
        <v>5</v>
      </c>
      <c r="D394">
        <v>60.4</v>
      </c>
      <c r="E394" s="1">
        <v>302</v>
      </c>
      <c r="F394" s="2">
        <v>45675</v>
      </c>
      <c r="G394" s="2">
        <v>45678</v>
      </c>
      <c r="H394" s="1" t="s">
        <v>27</v>
      </c>
      <c r="I394" s="1" t="s">
        <v>35</v>
      </c>
      <c r="J394" s="1">
        <v>2</v>
      </c>
      <c r="K394" s="1" t="s">
        <v>19</v>
      </c>
      <c r="L394" s="1" t="s">
        <v>108</v>
      </c>
      <c r="M394" s="1">
        <f>orders[[#This Row],[Ship Date]]-orders[[#This Row],[Order Date]]</f>
        <v>3</v>
      </c>
      <c r="N394" s="1">
        <f>WEEKNUM(orders[[#This Row],[Order Date]])</f>
        <v>3</v>
      </c>
      <c r="O394" s="1"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s="1">
        <v>138.6</v>
      </c>
      <c r="F395" s="2">
        <v>45675</v>
      </c>
      <c r="G395" s="2">
        <v>45678</v>
      </c>
      <c r="H395" s="1" t="s">
        <v>23</v>
      </c>
      <c r="I395" s="1" t="s">
        <v>35</v>
      </c>
      <c r="J395" s="1">
        <v>3</v>
      </c>
      <c r="K395" s="1" t="s">
        <v>19</v>
      </c>
      <c r="L395" s="1" t="s">
        <v>82</v>
      </c>
      <c r="M395" s="1">
        <f>orders[[#This Row],[Ship Date]]-orders[[#This Row],[Order Date]]</f>
        <v>3</v>
      </c>
      <c r="N395" s="1">
        <f>WEEKNUM(orders[[#This Row],[Order Date]])</f>
        <v>3</v>
      </c>
      <c r="O395" s="1" t="str" cm="1">
        <f t="array" ref="O395">_xlfn.IFS(orders[[#This Row],[Customer Gender]]="M","Male", orders[[#This Row],[Customer Gender]]="F","Female", orders[[#This Row],[Customer Gender]]="O","Other", TRUE,"Unknown")</f>
        <v>Male</v>
      </c>
    </row>
    <row r="396" spans="1:15" x14ac:dyDescent="0.3">
      <c r="A396" t="s">
        <v>482</v>
      </c>
      <c r="B396" t="s">
        <v>37</v>
      </c>
      <c r="C396">
        <v>5</v>
      </c>
      <c r="D396">
        <v>81</v>
      </c>
      <c r="E396" s="1">
        <v>405</v>
      </c>
      <c r="F396" s="2">
        <v>45675</v>
      </c>
      <c r="G396" s="2">
        <v>45681</v>
      </c>
      <c r="H396" s="1" t="s">
        <v>23</v>
      </c>
      <c r="I396" s="1" t="s">
        <v>51</v>
      </c>
      <c r="J396" s="1">
        <v>4</v>
      </c>
      <c r="K396" s="1" t="s">
        <v>19</v>
      </c>
      <c r="L396" s="1" t="s">
        <v>115</v>
      </c>
      <c r="M396" s="1">
        <f>orders[[#This Row],[Ship Date]]-orders[[#This Row],[Order Date]]</f>
        <v>6</v>
      </c>
      <c r="N396" s="1">
        <f>WEEKNUM(orders[[#This Row],[Order Date]])</f>
        <v>3</v>
      </c>
      <c r="O396" s="1" t="str" cm="1">
        <f t="array" ref="O396">_xlfn.IFS(orders[[#This Row],[Customer Gender]]="M","Male", orders[[#This Row],[Customer Gender]]="F","Female", orders[[#This Row],[Customer Gender]]="O","Other", TRUE,"Unknown")</f>
        <v>Male</v>
      </c>
    </row>
    <row r="397" spans="1:15" x14ac:dyDescent="0.3">
      <c r="A397" t="s">
        <v>483</v>
      </c>
      <c r="B397" t="s">
        <v>123</v>
      </c>
      <c r="C397">
        <v>3</v>
      </c>
      <c r="D397">
        <v>41.5</v>
      </c>
      <c r="E397" s="1">
        <v>124.5</v>
      </c>
      <c r="F397" s="2">
        <v>45675</v>
      </c>
      <c r="G397" s="2">
        <v>45677</v>
      </c>
      <c r="H397" s="1" t="s">
        <v>89</v>
      </c>
      <c r="I397" s="1" t="s">
        <v>35</v>
      </c>
      <c r="J397" s="1">
        <v>4</v>
      </c>
      <c r="K397" s="1" t="s">
        <v>19</v>
      </c>
      <c r="L397" s="1" t="s">
        <v>115</v>
      </c>
      <c r="M397" s="1">
        <f>orders[[#This Row],[Ship Date]]-orders[[#This Row],[Order Date]]</f>
        <v>2</v>
      </c>
      <c r="N397" s="1">
        <f>WEEKNUM(orders[[#This Row],[Order Date]])</f>
        <v>3</v>
      </c>
      <c r="O397" s="1"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s="1">
        <v>139.4</v>
      </c>
      <c r="F398" s="2">
        <v>45675</v>
      </c>
      <c r="G398" s="2">
        <v>45680</v>
      </c>
      <c r="H398" s="1" t="s">
        <v>23</v>
      </c>
      <c r="I398" s="1" t="s">
        <v>35</v>
      </c>
      <c r="J398" s="1">
        <v>4</v>
      </c>
      <c r="K398" s="1" t="s">
        <v>19</v>
      </c>
      <c r="L398" s="1" t="s">
        <v>115</v>
      </c>
      <c r="M398" s="1">
        <f>orders[[#This Row],[Ship Date]]-orders[[#This Row],[Order Date]]</f>
        <v>5</v>
      </c>
      <c r="N398" s="1">
        <f>WEEKNUM(orders[[#This Row],[Order Date]])</f>
        <v>3</v>
      </c>
      <c r="O398" s="1" t="str" cm="1">
        <f t="array" ref="O398">_xlfn.IFS(orders[[#This Row],[Customer Gender]]="M","Male", orders[[#This Row],[Customer Gender]]="F","Female", orders[[#This Row],[Customer Gender]]="O","Other", TRUE,"Unknown")</f>
        <v>Male</v>
      </c>
    </row>
    <row r="399" spans="1:15" x14ac:dyDescent="0.3">
      <c r="A399" t="s">
        <v>485</v>
      </c>
      <c r="B399" t="s">
        <v>26</v>
      </c>
      <c r="C399">
        <v>5</v>
      </c>
      <c r="D399">
        <v>83.6</v>
      </c>
      <c r="E399" s="1">
        <v>418</v>
      </c>
      <c r="F399" s="2">
        <v>45675</v>
      </c>
      <c r="G399" s="2">
        <v>45675</v>
      </c>
      <c r="H399" s="1" t="s">
        <v>27</v>
      </c>
      <c r="I399" s="1" t="s">
        <v>70</v>
      </c>
      <c r="J399" s="1">
        <v>4</v>
      </c>
      <c r="K399" s="1" t="s">
        <v>19</v>
      </c>
      <c r="L399" s="1" t="s">
        <v>24</v>
      </c>
      <c r="M399" s="1">
        <f>orders[[#This Row],[Ship Date]]-orders[[#This Row],[Order Date]]</f>
        <v>0</v>
      </c>
      <c r="N399" s="1">
        <f>WEEKNUM(orders[[#This Row],[Order Date]])</f>
        <v>3</v>
      </c>
      <c r="O399" s="1"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s="1">
        <v>150.5</v>
      </c>
      <c r="F400" s="2">
        <v>45675</v>
      </c>
      <c r="G400" s="2">
        <v>45677</v>
      </c>
      <c r="H400" s="1" t="s">
        <v>23</v>
      </c>
      <c r="I400" s="1" t="s">
        <v>35</v>
      </c>
      <c r="J400" s="1">
        <v>2</v>
      </c>
      <c r="K400" s="1" t="s">
        <v>19</v>
      </c>
      <c r="L400" s="1" t="s">
        <v>334</v>
      </c>
      <c r="M400" s="1">
        <f>orders[[#This Row],[Ship Date]]-orders[[#This Row],[Order Date]]</f>
        <v>2</v>
      </c>
      <c r="N400" s="1">
        <f>WEEKNUM(orders[[#This Row],[Order Date]])</f>
        <v>3</v>
      </c>
      <c r="O400" s="1" t="str" cm="1">
        <f t="array" ref="O400">_xlfn.IFS(orders[[#This Row],[Customer Gender]]="M","Male", orders[[#This Row],[Customer Gender]]="F","Female", orders[[#This Row],[Customer Gender]]="O","Other", TRUE,"Unknown")</f>
        <v>Male</v>
      </c>
    </row>
    <row r="401" spans="1:15" x14ac:dyDescent="0.3">
      <c r="A401" t="s">
        <v>487</v>
      </c>
      <c r="B401" t="s">
        <v>44</v>
      </c>
      <c r="C401">
        <v>8</v>
      </c>
      <c r="D401">
        <v>28.6</v>
      </c>
      <c r="E401" s="1">
        <v>228.8</v>
      </c>
      <c r="F401" s="2">
        <v>45675</v>
      </c>
      <c r="G401" s="2">
        <v>45676</v>
      </c>
      <c r="H401" s="1" t="s">
        <v>23</v>
      </c>
      <c r="I401" s="1" t="s">
        <v>18</v>
      </c>
      <c r="J401" s="1">
        <v>4</v>
      </c>
      <c r="K401" s="1" t="s">
        <v>19</v>
      </c>
      <c r="L401" s="1" t="s">
        <v>33</v>
      </c>
      <c r="M401" s="1">
        <f>orders[[#This Row],[Ship Date]]-orders[[#This Row],[Order Date]]</f>
        <v>1</v>
      </c>
      <c r="N401" s="1">
        <f>WEEKNUM(orders[[#This Row],[Order Date]])</f>
        <v>3</v>
      </c>
      <c r="O401" s="1" t="str" cm="1">
        <f t="array" ref="O401">_xlfn.IFS(orders[[#This Row],[Customer Gender]]="M","Male", orders[[#This Row],[Customer Gender]]="F","Female", orders[[#This Row],[Customer Gender]]="O","Other", TRUE,"Unknown")</f>
        <v>Male</v>
      </c>
    </row>
    <row r="402" spans="1:15" x14ac:dyDescent="0.3">
      <c r="A402" t="s">
        <v>488</v>
      </c>
      <c r="B402" t="s">
        <v>44</v>
      </c>
      <c r="C402">
        <v>6</v>
      </c>
      <c r="D402">
        <v>18.8</v>
      </c>
      <c r="E402" s="1">
        <v>112.80000000000001</v>
      </c>
      <c r="F402" s="2">
        <v>45675</v>
      </c>
      <c r="G402" s="2">
        <v>45678</v>
      </c>
      <c r="H402" s="1" t="s">
        <v>23</v>
      </c>
      <c r="I402" s="1" t="s">
        <v>51</v>
      </c>
      <c r="J402" s="1">
        <v>5</v>
      </c>
      <c r="K402" s="1" t="s">
        <v>19</v>
      </c>
      <c r="L402" s="1" t="s">
        <v>33</v>
      </c>
      <c r="M402" s="1">
        <f>orders[[#This Row],[Ship Date]]-orders[[#This Row],[Order Date]]</f>
        <v>3</v>
      </c>
      <c r="N402" s="1">
        <f>WEEKNUM(orders[[#This Row],[Order Date]])</f>
        <v>3</v>
      </c>
      <c r="O402" s="1" t="str" cm="1">
        <f t="array" ref="O402">_xlfn.IFS(orders[[#This Row],[Customer Gender]]="M","Male", orders[[#This Row],[Customer Gender]]="F","Female", orders[[#This Row],[Customer Gender]]="O","Other", TRUE,"Unknown")</f>
        <v>Male</v>
      </c>
    </row>
    <row r="403" spans="1:15" x14ac:dyDescent="0.3">
      <c r="A403" t="s">
        <v>489</v>
      </c>
      <c r="B403" t="s">
        <v>54</v>
      </c>
      <c r="C403">
        <v>4</v>
      </c>
      <c r="D403">
        <v>35.1</v>
      </c>
      <c r="E403" s="1">
        <v>140.4</v>
      </c>
      <c r="F403" s="2">
        <v>45675</v>
      </c>
      <c r="G403" s="2">
        <v>45675</v>
      </c>
      <c r="H403" s="1" t="s">
        <v>27</v>
      </c>
      <c r="I403" s="1" t="s">
        <v>35</v>
      </c>
      <c r="J403" s="1">
        <v>3</v>
      </c>
      <c r="K403" s="1" t="s">
        <v>19</v>
      </c>
      <c r="L403" s="1" t="s">
        <v>33</v>
      </c>
      <c r="M403" s="1">
        <f>orders[[#This Row],[Ship Date]]-orders[[#This Row],[Order Date]]</f>
        <v>0</v>
      </c>
      <c r="N403" s="1">
        <f>WEEKNUM(orders[[#This Row],[Order Date]])</f>
        <v>3</v>
      </c>
      <c r="O403" s="1"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s="1">
        <v>25.4</v>
      </c>
      <c r="F404" s="2">
        <v>45675</v>
      </c>
      <c r="G404" s="2">
        <v>45677</v>
      </c>
      <c r="H404" s="1" t="s">
        <v>27</v>
      </c>
      <c r="I404" s="1" t="s">
        <v>35</v>
      </c>
      <c r="J404" s="1">
        <v>5</v>
      </c>
      <c r="K404" s="1" t="s">
        <v>19</v>
      </c>
      <c r="L404" s="1" t="s">
        <v>33</v>
      </c>
      <c r="M404" s="1">
        <f>orders[[#This Row],[Ship Date]]-orders[[#This Row],[Order Date]]</f>
        <v>2</v>
      </c>
      <c r="N404" s="1">
        <f>WEEKNUM(orders[[#This Row],[Order Date]])</f>
        <v>3</v>
      </c>
      <c r="O404" s="1"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s="1">
        <v>137</v>
      </c>
      <c r="F405" s="2">
        <v>45675</v>
      </c>
      <c r="G405" s="2">
        <v>45677</v>
      </c>
      <c r="H405" s="1" t="s">
        <v>89</v>
      </c>
      <c r="I405" s="1" t="s">
        <v>18</v>
      </c>
      <c r="J405" s="1">
        <v>4</v>
      </c>
      <c r="K405" s="1" t="s">
        <v>19</v>
      </c>
      <c r="L405" s="1" t="s">
        <v>33</v>
      </c>
      <c r="M405" s="1">
        <f>orders[[#This Row],[Ship Date]]-orders[[#This Row],[Order Date]]</f>
        <v>2</v>
      </c>
      <c r="N405" s="1">
        <f>WEEKNUM(orders[[#This Row],[Order Date]])</f>
        <v>3</v>
      </c>
      <c r="O405" s="1" t="str" cm="1">
        <f t="array" ref="O405">_xlfn.IFS(orders[[#This Row],[Customer Gender]]="M","Male", orders[[#This Row],[Customer Gender]]="F","Female", orders[[#This Row],[Customer Gender]]="O","Other", TRUE,"Unknown")</f>
        <v>Other</v>
      </c>
    </row>
    <row r="406" spans="1:15" x14ac:dyDescent="0.3">
      <c r="A406" t="s">
        <v>492</v>
      </c>
      <c r="B406" t="s">
        <v>54</v>
      </c>
      <c r="C406">
        <v>2</v>
      </c>
      <c r="D406">
        <v>61.3</v>
      </c>
      <c r="E406" s="1">
        <v>122.6</v>
      </c>
      <c r="F406" s="2">
        <v>45675</v>
      </c>
      <c r="G406" s="2">
        <v>45676</v>
      </c>
      <c r="H406" s="1" t="s">
        <v>27</v>
      </c>
      <c r="I406" s="1" t="s">
        <v>35</v>
      </c>
      <c r="J406" s="1">
        <v>4</v>
      </c>
      <c r="K406" s="1" t="s">
        <v>19</v>
      </c>
      <c r="L406" s="1" t="s">
        <v>55</v>
      </c>
      <c r="M406" s="1">
        <f>orders[[#This Row],[Ship Date]]-orders[[#This Row],[Order Date]]</f>
        <v>1</v>
      </c>
      <c r="N406" s="1">
        <f>WEEKNUM(orders[[#This Row],[Order Date]])</f>
        <v>3</v>
      </c>
      <c r="O406" s="1"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s="1">
        <v>129.4</v>
      </c>
      <c r="F407" s="2">
        <v>45675</v>
      </c>
      <c r="G407" s="2">
        <v>45677</v>
      </c>
      <c r="H407" s="1" t="s">
        <v>27</v>
      </c>
      <c r="I407" s="1" t="s">
        <v>51</v>
      </c>
      <c r="J407" s="1">
        <v>5</v>
      </c>
      <c r="K407" s="1" t="s">
        <v>19</v>
      </c>
      <c r="L407" s="1" t="s">
        <v>55</v>
      </c>
      <c r="M407" s="1">
        <f>orders[[#This Row],[Ship Date]]-orders[[#This Row],[Order Date]]</f>
        <v>2</v>
      </c>
      <c r="N407" s="1">
        <f>WEEKNUM(orders[[#This Row],[Order Date]])</f>
        <v>3</v>
      </c>
      <c r="O407" s="1"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s="1">
        <v>365.6</v>
      </c>
      <c r="F408" s="2">
        <v>45675</v>
      </c>
      <c r="G408" s="2">
        <v>45677</v>
      </c>
      <c r="H408" s="1" t="s">
        <v>27</v>
      </c>
      <c r="I408" s="1" t="s">
        <v>18</v>
      </c>
      <c r="J408" s="1">
        <v>4</v>
      </c>
      <c r="K408" s="1" t="s">
        <v>19</v>
      </c>
      <c r="L408" s="1" t="s">
        <v>62</v>
      </c>
      <c r="M408" s="1">
        <f>orders[[#This Row],[Ship Date]]-orders[[#This Row],[Order Date]]</f>
        <v>2</v>
      </c>
      <c r="N408" s="1">
        <f>WEEKNUM(orders[[#This Row],[Order Date]])</f>
        <v>3</v>
      </c>
      <c r="O408" s="1"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s="1">
        <v>66.2</v>
      </c>
      <c r="F409" s="2">
        <v>45676</v>
      </c>
      <c r="G409" s="2">
        <v>45677</v>
      </c>
      <c r="H409" s="1" t="s">
        <v>23</v>
      </c>
      <c r="I409" s="1" t="s">
        <v>18</v>
      </c>
      <c r="J409" s="1">
        <v>5</v>
      </c>
      <c r="K409" s="1" t="s">
        <v>19</v>
      </c>
      <c r="L409" s="1" t="s">
        <v>62</v>
      </c>
      <c r="M409" s="1">
        <f>orders[[#This Row],[Ship Date]]-orders[[#This Row],[Order Date]]</f>
        <v>1</v>
      </c>
      <c r="N409" s="1">
        <f>WEEKNUM(orders[[#This Row],[Order Date]])</f>
        <v>4</v>
      </c>
      <c r="O409" s="1" t="str" cm="1">
        <f t="array" ref="O409">_xlfn.IFS(orders[[#This Row],[Customer Gender]]="M","Male", orders[[#This Row],[Customer Gender]]="F","Female", orders[[#This Row],[Customer Gender]]="O","Other", TRUE,"Unknown")</f>
        <v>Male</v>
      </c>
    </row>
    <row r="410" spans="1:15" x14ac:dyDescent="0.3">
      <c r="A410" t="s">
        <v>496</v>
      </c>
      <c r="B410" t="s">
        <v>30</v>
      </c>
      <c r="C410">
        <v>2</v>
      </c>
      <c r="D410">
        <v>105.6</v>
      </c>
      <c r="E410" s="1">
        <v>211.2</v>
      </c>
      <c r="F410" s="2">
        <v>45676</v>
      </c>
      <c r="G410" s="2">
        <v>45677</v>
      </c>
      <c r="H410" s="1" t="s">
        <v>23</v>
      </c>
      <c r="I410" s="1" t="s">
        <v>40</v>
      </c>
      <c r="J410" s="1">
        <v>3</v>
      </c>
      <c r="K410" s="1" t="s">
        <v>19</v>
      </c>
      <c r="L410" s="1" t="s">
        <v>62</v>
      </c>
      <c r="M410" s="1">
        <f>orders[[#This Row],[Ship Date]]-orders[[#This Row],[Order Date]]</f>
        <v>1</v>
      </c>
      <c r="N410" s="1">
        <f>WEEKNUM(orders[[#This Row],[Order Date]])</f>
        <v>4</v>
      </c>
      <c r="O410" s="1" t="str" cm="1">
        <f t="array" ref="O410">_xlfn.IFS(orders[[#This Row],[Customer Gender]]="M","Male", orders[[#This Row],[Customer Gender]]="F","Female", orders[[#This Row],[Customer Gender]]="O","Other", TRUE,"Unknown")</f>
        <v>Male</v>
      </c>
    </row>
    <row r="411" spans="1:15" x14ac:dyDescent="0.3">
      <c r="A411" t="s">
        <v>497</v>
      </c>
      <c r="B411" t="s">
        <v>54</v>
      </c>
      <c r="C411">
        <v>3</v>
      </c>
      <c r="D411">
        <v>46.4</v>
      </c>
      <c r="E411" s="1">
        <v>139.19999999999999</v>
      </c>
      <c r="F411" s="2">
        <v>45676</v>
      </c>
      <c r="G411" s="2">
        <v>45677</v>
      </c>
      <c r="H411" s="1" t="s">
        <v>23</v>
      </c>
      <c r="I411" s="1" t="s">
        <v>40</v>
      </c>
      <c r="J411" s="1">
        <v>4</v>
      </c>
      <c r="K411" s="1" t="s">
        <v>19</v>
      </c>
      <c r="L411" s="1" t="s">
        <v>72</v>
      </c>
      <c r="M411" s="1">
        <f>orders[[#This Row],[Ship Date]]-orders[[#This Row],[Order Date]]</f>
        <v>1</v>
      </c>
      <c r="N411" s="1">
        <f>WEEKNUM(orders[[#This Row],[Order Date]])</f>
        <v>4</v>
      </c>
      <c r="O411" s="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s="1">
        <v>494.19999999999993</v>
      </c>
      <c r="F412" s="2">
        <v>45676</v>
      </c>
      <c r="G412" s="2">
        <v>45679</v>
      </c>
      <c r="H412" s="1" t="s">
        <v>27</v>
      </c>
      <c r="I412" s="1" t="s">
        <v>70</v>
      </c>
      <c r="J412" s="1">
        <v>3</v>
      </c>
      <c r="K412" s="1" t="s">
        <v>19</v>
      </c>
      <c r="L412" s="1" t="s">
        <v>77</v>
      </c>
      <c r="M412" s="1">
        <f>orders[[#This Row],[Ship Date]]-orders[[#This Row],[Order Date]]</f>
        <v>3</v>
      </c>
      <c r="N412" s="1">
        <f>WEEKNUM(orders[[#This Row],[Order Date]])</f>
        <v>4</v>
      </c>
      <c r="O412" s="1"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s="1">
        <v>32.200000000000003</v>
      </c>
      <c r="F413" s="2">
        <v>45676</v>
      </c>
      <c r="G413" s="2">
        <v>45678</v>
      </c>
      <c r="H413" s="1" t="s">
        <v>23</v>
      </c>
      <c r="I413" s="1" t="s">
        <v>51</v>
      </c>
      <c r="J413" s="1">
        <v>5</v>
      </c>
      <c r="K413" s="1" t="s">
        <v>19</v>
      </c>
      <c r="L413" s="1" t="s">
        <v>309</v>
      </c>
      <c r="M413" s="1">
        <f>orders[[#This Row],[Ship Date]]-orders[[#This Row],[Order Date]]</f>
        <v>2</v>
      </c>
      <c r="N413" s="1">
        <f>WEEKNUM(orders[[#This Row],[Order Date]])</f>
        <v>4</v>
      </c>
      <c r="O413" s="1" t="str" cm="1">
        <f t="array" ref="O413">_xlfn.IFS(orders[[#This Row],[Customer Gender]]="M","Male", orders[[#This Row],[Customer Gender]]="F","Female", orders[[#This Row],[Customer Gender]]="O","Other", TRUE,"Unknown")</f>
        <v>Male</v>
      </c>
    </row>
    <row r="414" spans="1:15" x14ac:dyDescent="0.3">
      <c r="A414" t="s">
        <v>500</v>
      </c>
      <c r="B414" t="s">
        <v>32</v>
      </c>
      <c r="C414">
        <v>2</v>
      </c>
      <c r="D414">
        <v>27.9</v>
      </c>
      <c r="E414" s="1">
        <v>55.8</v>
      </c>
      <c r="F414" s="2">
        <v>45676</v>
      </c>
      <c r="G414" s="2">
        <v>45679</v>
      </c>
      <c r="H414" s="1" t="s">
        <v>23</v>
      </c>
      <c r="I414" s="1" t="s">
        <v>18</v>
      </c>
      <c r="J414" s="1">
        <v>4</v>
      </c>
      <c r="K414" s="1" t="s">
        <v>19</v>
      </c>
      <c r="L414" s="1" t="s">
        <v>82</v>
      </c>
      <c r="M414" s="1">
        <f>orders[[#This Row],[Ship Date]]-orders[[#This Row],[Order Date]]</f>
        <v>3</v>
      </c>
      <c r="N414" s="1">
        <f>WEEKNUM(orders[[#This Row],[Order Date]])</f>
        <v>4</v>
      </c>
      <c r="O414" s="1" t="str" cm="1">
        <f t="array" ref="O414">_xlfn.IFS(orders[[#This Row],[Customer Gender]]="M","Male", orders[[#This Row],[Customer Gender]]="F","Female", orders[[#This Row],[Customer Gender]]="O","Other", TRUE,"Unknown")</f>
        <v>Male</v>
      </c>
    </row>
    <row r="415" spans="1:15" x14ac:dyDescent="0.3">
      <c r="A415" t="s">
        <v>501</v>
      </c>
      <c r="B415" t="s">
        <v>44</v>
      </c>
      <c r="C415">
        <v>1</v>
      </c>
      <c r="D415">
        <v>47.1</v>
      </c>
      <c r="E415" s="1">
        <v>47.1</v>
      </c>
      <c r="F415" s="2">
        <v>45676</v>
      </c>
      <c r="G415" s="2">
        <v>45684</v>
      </c>
      <c r="H415" s="1" t="s">
        <v>27</v>
      </c>
      <c r="I415" s="1" t="s">
        <v>35</v>
      </c>
      <c r="J415" s="1">
        <v>4</v>
      </c>
      <c r="K415" s="1" t="s">
        <v>19</v>
      </c>
      <c r="L415" s="1" t="s">
        <v>28</v>
      </c>
      <c r="M415" s="1">
        <f>orders[[#This Row],[Ship Date]]-orders[[#This Row],[Order Date]]</f>
        <v>8</v>
      </c>
      <c r="N415" s="1">
        <f>WEEKNUM(orders[[#This Row],[Order Date]])</f>
        <v>4</v>
      </c>
      <c r="O415" s="1" t="str" cm="1">
        <f t="array" ref="O415">_xlfn.IFS(orders[[#This Row],[Customer Gender]]="M","Male", orders[[#This Row],[Customer Gender]]="F","Female", orders[[#This Row],[Customer Gender]]="O","Other", TRUE,"Unknown")</f>
        <v>Female</v>
      </c>
    </row>
    <row r="416" spans="1:15" x14ac:dyDescent="0.3">
      <c r="A416" t="s">
        <v>502</v>
      </c>
      <c r="B416" t="s">
        <v>39</v>
      </c>
      <c r="C416">
        <v>2</v>
      </c>
      <c r="D416">
        <v>85</v>
      </c>
      <c r="E416" s="1">
        <v>170</v>
      </c>
      <c r="F416" s="2">
        <v>45676</v>
      </c>
      <c r="G416" s="2">
        <v>45679</v>
      </c>
      <c r="H416" s="1" t="s">
        <v>17</v>
      </c>
      <c r="I416" s="1" t="s">
        <v>40</v>
      </c>
      <c r="J416" s="1">
        <v>5</v>
      </c>
      <c r="K416" s="1" t="s">
        <v>19</v>
      </c>
      <c r="L416" s="1" t="s">
        <v>147</v>
      </c>
      <c r="M416" s="1">
        <f>orders[[#This Row],[Ship Date]]-orders[[#This Row],[Order Date]]</f>
        <v>3</v>
      </c>
      <c r="N416" s="1">
        <f>WEEKNUM(orders[[#This Row],[Order Date]])</f>
        <v>4</v>
      </c>
      <c r="O416" s="1"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s="1">
        <v>178</v>
      </c>
      <c r="F417" s="2">
        <v>45676</v>
      </c>
      <c r="G417" s="2">
        <v>45678</v>
      </c>
      <c r="H417" s="1" t="s">
        <v>27</v>
      </c>
      <c r="I417" s="1" t="s">
        <v>18</v>
      </c>
      <c r="J417" s="1">
        <v>4</v>
      </c>
      <c r="K417" s="1" t="s">
        <v>19</v>
      </c>
      <c r="L417" s="1" t="s">
        <v>33</v>
      </c>
      <c r="M417" s="1">
        <f>orders[[#This Row],[Ship Date]]-orders[[#This Row],[Order Date]]</f>
        <v>2</v>
      </c>
      <c r="N417" s="1">
        <f>WEEKNUM(orders[[#This Row],[Order Date]])</f>
        <v>4</v>
      </c>
      <c r="O417" s="1"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s="1">
        <v>109.80000000000001</v>
      </c>
      <c r="F418" s="2">
        <v>45676</v>
      </c>
      <c r="G418" s="2">
        <v>45677</v>
      </c>
      <c r="H418" s="1" t="s">
        <v>89</v>
      </c>
      <c r="I418" s="1" t="s">
        <v>51</v>
      </c>
      <c r="J418" s="1">
        <v>5</v>
      </c>
      <c r="K418" s="1" t="s">
        <v>19</v>
      </c>
      <c r="L418" s="1" t="s">
        <v>33</v>
      </c>
      <c r="M418" s="1">
        <f>orders[[#This Row],[Ship Date]]-orders[[#This Row],[Order Date]]</f>
        <v>1</v>
      </c>
      <c r="N418" s="1">
        <f>WEEKNUM(orders[[#This Row],[Order Date]])</f>
        <v>4</v>
      </c>
      <c r="O418" s="1" t="str" cm="1">
        <f t="array" ref="O418">_xlfn.IFS(orders[[#This Row],[Customer Gender]]="M","Male", orders[[#This Row],[Customer Gender]]="F","Female", orders[[#This Row],[Customer Gender]]="O","Other", TRUE,"Unknown")</f>
        <v>Other</v>
      </c>
    </row>
    <row r="419" spans="1:15" x14ac:dyDescent="0.3">
      <c r="A419" t="s">
        <v>505</v>
      </c>
      <c r="B419" t="s">
        <v>39</v>
      </c>
      <c r="C419">
        <v>7</v>
      </c>
      <c r="D419">
        <v>43.5</v>
      </c>
      <c r="E419" s="1">
        <v>304.5</v>
      </c>
      <c r="F419" s="2">
        <v>45676</v>
      </c>
      <c r="G419" s="2">
        <v>45677</v>
      </c>
      <c r="H419" s="1" t="s">
        <v>23</v>
      </c>
      <c r="I419" s="1" t="s">
        <v>35</v>
      </c>
      <c r="J419" s="1">
        <v>5</v>
      </c>
      <c r="K419" s="1" t="s">
        <v>19</v>
      </c>
      <c r="L419" s="1" t="s">
        <v>33</v>
      </c>
      <c r="M419" s="1">
        <f>orders[[#This Row],[Ship Date]]-orders[[#This Row],[Order Date]]</f>
        <v>1</v>
      </c>
      <c r="N419" s="1">
        <f>WEEKNUM(orders[[#This Row],[Order Date]])</f>
        <v>4</v>
      </c>
      <c r="O419" s="1" t="str" cm="1">
        <f t="array" ref="O419">_xlfn.IFS(orders[[#This Row],[Customer Gender]]="M","Male", orders[[#This Row],[Customer Gender]]="F","Female", orders[[#This Row],[Customer Gender]]="O","Other", TRUE,"Unknown")</f>
        <v>Male</v>
      </c>
    </row>
    <row r="420" spans="1:15" x14ac:dyDescent="0.3">
      <c r="A420" t="s">
        <v>506</v>
      </c>
      <c r="B420" t="s">
        <v>46</v>
      </c>
      <c r="C420">
        <v>19</v>
      </c>
      <c r="D420">
        <v>30.5</v>
      </c>
      <c r="E420" s="1">
        <v>579.5</v>
      </c>
      <c r="F420" s="2">
        <v>45676</v>
      </c>
      <c r="G420" s="2">
        <v>45676</v>
      </c>
      <c r="H420" s="1" t="s">
        <v>27</v>
      </c>
      <c r="I420" s="1" t="s">
        <v>51</v>
      </c>
      <c r="J420" s="1">
        <v>4</v>
      </c>
      <c r="K420" s="1" t="s">
        <v>19</v>
      </c>
      <c r="L420" s="1" t="s">
        <v>33</v>
      </c>
      <c r="M420" s="1">
        <f>orders[[#This Row],[Ship Date]]-orders[[#This Row],[Order Date]]</f>
        <v>0</v>
      </c>
      <c r="N420" s="1">
        <f>WEEKNUM(orders[[#This Row],[Order Date]])</f>
        <v>4</v>
      </c>
      <c r="O420" s="1"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s="1">
        <v>215.4</v>
      </c>
      <c r="F421" s="2">
        <v>45676</v>
      </c>
      <c r="G421" s="2">
        <v>45680</v>
      </c>
      <c r="H421" s="1" t="s">
        <v>23</v>
      </c>
      <c r="I421" s="1" t="s">
        <v>51</v>
      </c>
      <c r="J421" s="1">
        <v>2</v>
      </c>
      <c r="K421" s="1" t="s">
        <v>19</v>
      </c>
      <c r="L421" s="1" t="s">
        <v>33</v>
      </c>
      <c r="M421" s="1">
        <f>orders[[#This Row],[Ship Date]]-orders[[#This Row],[Order Date]]</f>
        <v>4</v>
      </c>
      <c r="N421" s="1">
        <f>WEEKNUM(orders[[#This Row],[Order Date]])</f>
        <v>4</v>
      </c>
      <c r="O421" s="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s="1">
        <v>1484.6000000000001</v>
      </c>
      <c r="F422" s="2">
        <v>45676</v>
      </c>
      <c r="G422" s="2">
        <v>45677</v>
      </c>
      <c r="H422" s="1" t="s">
        <v>23</v>
      </c>
      <c r="I422" s="1" t="s">
        <v>35</v>
      </c>
      <c r="J422" s="1">
        <v>4</v>
      </c>
      <c r="K422" s="1" t="s">
        <v>19</v>
      </c>
      <c r="L422" s="1" t="s">
        <v>33</v>
      </c>
      <c r="M422" s="1">
        <f>orders[[#This Row],[Ship Date]]-orders[[#This Row],[Order Date]]</f>
        <v>1</v>
      </c>
      <c r="N422" s="1">
        <f>WEEKNUM(orders[[#This Row],[Order Date]])</f>
        <v>4</v>
      </c>
      <c r="O422" s="1"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s="1">
        <v>1117</v>
      </c>
      <c r="F423" s="2">
        <v>45676</v>
      </c>
      <c r="G423" s="2">
        <v>45677</v>
      </c>
      <c r="H423" s="1" t="s">
        <v>27</v>
      </c>
      <c r="I423" s="1" t="s">
        <v>70</v>
      </c>
      <c r="J423" s="1">
        <v>5</v>
      </c>
      <c r="K423" s="1" t="s">
        <v>19</v>
      </c>
      <c r="L423" s="1" t="s">
        <v>33</v>
      </c>
      <c r="M423" s="1">
        <f>orders[[#This Row],[Ship Date]]-orders[[#This Row],[Order Date]]</f>
        <v>1</v>
      </c>
      <c r="N423" s="1">
        <f>WEEKNUM(orders[[#This Row],[Order Date]])</f>
        <v>4</v>
      </c>
      <c r="O423" s="1"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s="1">
        <v>310.09999999999997</v>
      </c>
      <c r="F424" s="2">
        <v>45676</v>
      </c>
      <c r="G424" s="2">
        <v>45679</v>
      </c>
      <c r="H424" s="1" t="s">
        <v>23</v>
      </c>
      <c r="I424" s="1" t="s">
        <v>51</v>
      </c>
      <c r="J424" s="1">
        <v>5</v>
      </c>
      <c r="K424" s="1" t="s">
        <v>19</v>
      </c>
      <c r="L424" s="1" t="s">
        <v>33</v>
      </c>
      <c r="M424" s="1">
        <f>orders[[#This Row],[Ship Date]]-orders[[#This Row],[Order Date]]</f>
        <v>3</v>
      </c>
      <c r="N424" s="1">
        <f>WEEKNUM(orders[[#This Row],[Order Date]])</f>
        <v>4</v>
      </c>
      <c r="O424" s="1" t="str" cm="1">
        <f t="array" ref="O424">_xlfn.IFS(orders[[#This Row],[Customer Gender]]="M","Male", orders[[#This Row],[Customer Gender]]="F","Female", orders[[#This Row],[Customer Gender]]="O","Other", TRUE,"Unknown")</f>
        <v>Male</v>
      </c>
    </row>
    <row r="425" spans="1:15" x14ac:dyDescent="0.3">
      <c r="A425" t="s">
        <v>511</v>
      </c>
      <c r="B425" t="s">
        <v>26</v>
      </c>
      <c r="C425">
        <v>8</v>
      </c>
      <c r="D425">
        <v>95.8</v>
      </c>
      <c r="E425" s="1">
        <v>766.4</v>
      </c>
      <c r="F425" s="2">
        <v>45676</v>
      </c>
      <c r="G425" s="2">
        <v>45682</v>
      </c>
      <c r="H425" s="1" t="s">
        <v>89</v>
      </c>
      <c r="I425" s="1" t="s">
        <v>18</v>
      </c>
      <c r="J425" s="1">
        <v>4</v>
      </c>
      <c r="K425" s="1" t="s">
        <v>19</v>
      </c>
      <c r="L425" s="1" t="s">
        <v>33</v>
      </c>
      <c r="M425" s="1">
        <f>orders[[#This Row],[Ship Date]]-orders[[#This Row],[Order Date]]</f>
        <v>6</v>
      </c>
      <c r="N425" s="1">
        <f>WEEKNUM(orders[[#This Row],[Order Date]])</f>
        <v>4</v>
      </c>
      <c r="O425" s="1" t="str" cm="1">
        <f t="array" ref="O425">_xlfn.IFS(orders[[#This Row],[Customer Gender]]="M","Male", orders[[#This Row],[Customer Gender]]="F","Female", orders[[#This Row],[Customer Gender]]="O","Other", TRUE,"Unknown")</f>
        <v>Other</v>
      </c>
    </row>
    <row r="426" spans="1:15" x14ac:dyDescent="0.3">
      <c r="A426" t="s">
        <v>512</v>
      </c>
      <c r="B426" t="s">
        <v>54</v>
      </c>
      <c r="C426">
        <v>7</v>
      </c>
      <c r="D426">
        <v>22.6</v>
      </c>
      <c r="E426" s="1">
        <v>158.20000000000002</v>
      </c>
      <c r="F426" s="2">
        <v>45676</v>
      </c>
      <c r="G426" s="2">
        <v>45679</v>
      </c>
      <c r="H426" s="1" t="s">
        <v>27</v>
      </c>
      <c r="I426" s="1" t="s">
        <v>51</v>
      </c>
      <c r="J426" s="1">
        <v>3</v>
      </c>
      <c r="K426" s="1" t="s">
        <v>19</v>
      </c>
      <c r="L426" s="1" t="s">
        <v>33</v>
      </c>
      <c r="M426" s="1">
        <f>orders[[#This Row],[Ship Date]]-orders[[#This Row],[Order Date]]</f>
        <v>3</v>
      </c>
      <c r="N426" s="1">
        <f>WEEKNUM(orders[[#This Row],[Order Date]])</f>
        <v>4</v>
      </c>
      <c r="O426" s="1"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s="1">
        <v>204.8</v>
      </c>
      <c r="F427" s="2">
        <v>45676</v>
      </c>
      <c r="G427" s="2">
        <v>45678</v>
      </c>
      <c r="H427" s="1" t="s">
        <v>27</v>
      </c>
      <c r="I427" s="1" t="s">
        <v>70</v>
      </c>
      <c r="J427" s="1">
        <v>4</v>
      </c>
      <c r="K427" s="1" t="s">
        <v>19</v>
      </c>
      <c r="L427" s="1" t="s">
        <v>33</v>
      </c>
      <c r="M427" s="1">
        <f>orders[[#This Row],[Ship Date]]-orders[[#This Row],[Order Date]]</f>
        <v>2</v>
      </c>
      <c r="N427" s="1">
        <f>WEEKNUM(orders[[#This Row],[Order Date]])</f>
        <v>4</v>
      </c>
      <c r="O427" s="1"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s="1">
        <v>868.8</v>
      </c>
      <c r="F428" s="2">
        <v>45676</v>
      </c>
      <c r="G428" s="2">
        <v>45679</v>
      </c>
      <c r="H428" s="1" t="s">
        <v>27</v>
      </c>
      <c r="I428" s="1" t="s">
        <v>70</v>
      </c>
      <c r="J428" s="1">
        <v>4</v>
      </c>
      <c r="K428" s="1" t="s">
        <v>19</v>
      </c>
      <c r="L428" s="1" t="s">
        <v>33</v>
      </c>
      <c r="M428" s="1">
        <f>orders[[#This Row],[Ship Date]]-orders[[#This Row],[Order Date]]</f>
        <v>3</v>
      </c>
      <c r="N428" s="1">
        <f>WEEKNUM(orders[[#This Row],[Order Date]])</f>
        <v>4</v>
      </c>
      <c r="O428" s="1"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s="1">
        <v>666.9</v>
      </c>
      <c r="F429" s="2">
        <v>45676</v>
      </c>
      <c r="G429" s="2">
        <v>45678</v>
      </c>
      <c r="H429" s="1" t="s">
        <v>23</v>
      </c>
      <c r="I429" s="1" t="s">
        <v>18</v>
      </c>
      <c r="J429" s="1">
        <v>5</v>
      </c>
      <c r="K429" s="1" t="s">
        <v>19</v>
      </c>
      <c r="L429" s="1" t="s">
        <v>33</v>
      </c>
      <c r="M429" s="1">
        <f>orders[[#This Row],[Ship Date]]-orders[[#This Row],[Order Date]]</f>
        <v>2</v>
      </c>
      <c r="N429" s="1">
        <f>WEEKNUM(orders[[#This Row],[Order Date]])</f>
        <v>4</v>
      </c>
      <c r="O429" s="1" t="str" cm="1">
        <f t="array" ref="O429">_xlfn.IFS(orders[[#This Row],[Customer Gender]]="M","Male", orders[[#This Row],[Customer Gender]]="F","Female", orders[[#This Row],[Customer Gender]]="O","Other", TRUE,"Unknown")</f>
        <v>Male</v>
      </c>
    </row>
    <row r="430" spans="1:15" x14ac:dyDescent="0.3">
      <c r="A430" t="s">
        <v>516</v>
      </c>
      <c r="B430" t="s">
        <v>16</v>
      </c>
      <c r="C430">
        <v>8</v>
      </c>
      <c r="D430">
        <v>25.6</v>
      </c>
      <c r="E430" s="1">
        <v>204.8</v>
      </c>
      <c r="F430" s="2">
        <v>45676</v>
      </c>
      <c r="G430" s="2">
        <v>45677</v>
      </c>
      <c r="H430" s="1" t="s">
        <v>27</v>
      </c>
      <c r="I430" s="1" t="s">
        <v>35</v>
      </c>
      <c r="J430" s="1">
        <v>3</v>
      </c>
      <c r="K430" s="1" t="s">
        <v>19</v>
      </c>
      <c r="L430" s="1" t="s">
        <v>33</v>
      </c>
      <c r="M430" s="1">
        <f>orders[[#This Row],[Ship Date]]-orders[[#This Row],[Order Date]]</f>
        <v>1</v>
      </c>
      <c r="N430" s="1">
        <f>WEEKNUM(orders[[#This Row],[Order Date]])</f>
        <v>4</v>
      </c>
      <c r="O430" s="1"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s="1">
        <v>31.2</v>
      </c>
      <c r="F431" s="2">
        <v>45676</v>
      </c>
      <c r="G431" s="2">
        <v>45677</v>
      </c>
      <c r="H431" s="1" t="s">
        <v>27</v>
      </c>
      <c r="I431" s="1" t="s">
        <v>40</v>
      </c>
      <c r="J431" s="1">
        <v>5</v>
      </c>
      <c r="K431" s="1" t="s">
        <v>19</v>
      </c>
      <c r="L431" s="1" t="s">
        <v>33</v>
      </c>
      <c r="M431" s="1">
        <f>orders[[#This Row],[Ship Date]]-orders[[#This Row],[Order Date]]</f>
        <v>1</v>
      </c>
      <c r="N431" s="1">
        <f>WEEKNUM(orders[[#This Row],[Order Date]])</f>
        <v>4</v>
      </c>
      <c r="O431" s="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s="1">
        <v>90.9</v>
      </c>
      <c r="F432" s="2">
        <v>45676</v>
      </c>
      <c r="G432" s="2">
        <v>45680</v>
      </c>
      <c r="H432" s="1" t="s">
        <v>27</v>
      </c>
      <c r="I432" s="1" t="s">
        <v>18</v>
      </c>
      <c r="J432" s="1">
        <v>3</v>
      </c>
      <c r="K432" s="1" t="s">
        <v>19</v>
      </c>
      <c r="L432" s="1" t="s">
        <v>33</v>
      </c>
      <c r="M432" s="1">
        <f>orders[[#This Row],[Ship Date]]-orders[[#This Row],[Order Date]]</f>
        <v>4</v>
      </c>
      <c r="N432" s="1">
        <f>WEEKNUM(orders[[#This Row],[Order Date]])</f>
        <v>4</v>
      </c>
      <c r="O432" s="1"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s="1">
        <v>60.6</v>
      </c>
      <c r="F433" s="2">
        <v>45676</v>
      </c>
      <c r="G433" s="2">
        <v>45681</v>
      </c>
      <c r="H433" s="1" t="s">
        <v>27</v>
      </c>
      <c r="I433" s="1" t="s">
        <v>18</v>
      </c>
      <c r="J433" s="1">
        <v>5</v>
      </c>
      <c r="K433" s="1" t="s">
        <v>19</v>
      </c>
      <c r="L433" s="1" t="s">
        <v>364</v>
      </c>
      <c r="M433" s="1">
        <f>orders[[#This Row],[Ship Date]]-orders[[#This Row],[Order Date]]</f>
        <v>5</v>
      </c>
      <c r="N433" s="1">
        <f>WEEKNUM(orders[[#This Row],[Order Date]])</f>
        <v>4</v>
      </c>
      <c r="O433" s="1" t="str" cm="1">
        <f t="array" ref="O433">_xlfn.IFS(orders[[#This Row],[Customer Gender]]="M","Male", orders[[#This Row],[Customer Gender]]="F","Female", orders[[#This Row],[Customer Gender]]="O","Other", TRUE,"Unknown")</f>
        <v>Female</v>
      </c>
    </row>
    <row r="434" spans="1:15" x14ac:dyDescent="0.3">
      <c r="A434" t="s">
        <v>520</v>
      </c>
      <c r="B434" t="s">
        <v>54</v>
      </c>
      <c r="C434">
        <v>3</v>
      </c>
      <c r="D434">
        <v>53</v>
      </c>
      <c r="E434" s="1">
        <v>159</v>
      </c>
      <c r="F434" s="2">
        <v>45676</v>
      </c>
      <c r="G434" s="2">
        <v>45683</v>
      </c>
      <c r="H434" s="1" t="s">
        <v>27</v>
      </c>
      <c r="I434" s="1" t="s">
        <v>40</v>
      </c>
      <c r="J434" s="1">
        <v>4</v>
      </c>
      <c r="K434" s="1" t="s">
        <v>19</v>
      </c>
      <c r="L434" s="1" t="s">
        <v>186</v>
      </c>
      <c r="M434" s="1">
        <f>orders[[#This Row],[Ship Date]]-orders[[#This Row],[Order Date]]</f>
        <v>7</v>
      </c>
      <c r="N434" s="1">
        <f>WEEKNUM(orders[[#This Row],[Order Date]])</f>
        <v>4</v>
      </c>
      <c r="O434" s="1"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s="1">
        <v>1078.2</v>
      </c>
      <c r="F435" s="2">
        <v>45676</v>
      </c>
      <c r="G435" s="2">
        <v>45679</v>
      </c>
      <c r="H435" s="1" t="s">
        <v>23</v>
      </c>
      <c r="I435" s="1" t="s">
        <v>40</v>
      </c>
      <c r="J435" s="1">
        <v>2</v>
      </c>
      <c r="K435" s="1" t="s">
        <v>19</v>
      </c>
      <c r="L435" s="1" t="s">
        <v>188</v>
      </c>
      <c r="M435" s="1">
        <f>orders[[#This Row],[Ship Date]]-orders[[#This Row],[Order Date]]</f>
        <v>3</v>
      </c>
      <c r="N435" s="1">
        <f>WEEKNUM(orders[[#This Row],[Order Date]])</f>
        <v>4</v>
      </c>
      <c r="O435" s="1" t="str" cm="1">
        <f t="array" ref="O435">_xlfn.IFS(orders[[#This Row],[Customer Gender]]="M","Male", orders[[#This Row],[Customer Gender]]="F","Female", orders[[#This Row],[Customer Gender]]="O","Other", TRUE,"Unknown")</f>
        <v>Male</v>
      </c>
    </row>
    <row r="436" spans="1:15" x14ac:dyDescent="0.3">
      <c r="A436" t="s">
        <v>522</v>
      </c>
      <c r="B436" t="s">
        <v>46</v>
      </c>
      <c r="C436">
        <v>2</v>
      </c>
      <c r="D436">
        <v>45.7</v>
      </c>
      <c r="E436" s="1">
        <v>91.4</v>
      </c>
      <c r="F436" s="2">
        <v>45676</v>
      </c>
      <c r="G436" s="2">
        <v>45677</v>
      </c>
      <c r="H436" s="1" t="s">
        <v>27</v>
      </c>
      <c r="I436" s="1" t="s">
        <v>35</v>
      </c>
      <c r="J436" s="1">
        <v>5</v>
      </c>
      <c r="K436" s="1" t="s">
        <v>19</v>
      </c>
      <c r="L436" s="1" t="s">
        <v>55</v>
      </c>
      <c r="M436" s="1">
        <f>orders[[#This Row],[Ship Date]]-orders[[#This Row],[Order Date]]</f>
        <v>1</v>
      </c>
      <c r="N436" s="1">
        <f>WEEKNUM(orders[[#This Row],[Order Date]])</f>
        <v>4</v>
      </c>
      <c r="O436" s="1"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s="1">
        <v>184.4</v>
      </c>
      <c r="F437" s="2">
        <v>45676</v>
      </c>
      <c r="G437" s="2">
        <v>45677</v>
      </c>
      <c r="H437" s="1" t="s">
        <v>23</v>
      </c>
      <c r="I437" s="1" t="s">
        <v>18</v>
      </c>
      <c r="J437" s="1">
        <v>4</v>
      </c>
      <c r="K437" s="1" t="s">
        <v>19</v>
      </c>
      <c r="L437" s="1" t="s">
        <v>55</v>
      </c>
      <c r="M437" s="1">
        <f>orders[[#This Row],[Ship Date]]-orders[[#This Row],[Order Date]]</f>
        <v>1</v>
      </c>
      <c r="N437" s="1">
        <f>WEEKNUM(orders[[#This Row],[Order Date]])</f>
        <v>4</v>
      </c>
      <c r="O437" s="1" t="str" cm="1">
        <f t="array" ref="O437">_xlfn.IFS(orders[[#This Row],[Customer Gender]]="M","Male", orders[[#This Row],[Customer Gender]]="F","Female", orders[[#This Row],[Customer Gender]]="O","Other", TRUE,"Unknown")</f>
        <v>Male</v>
      </c>
    </row>
    <row r="438" spans="1:15" x14ac:dyDescent="0.3">
      <c r="A438" t="s">
        <v>524</v>
      </c>
      <c r="B438" t="s">
        <v>44</v>
      </c>
      <c r="C438">
        <v>3</v>
      </c>
      <c r="D438">
        <v>17.5</v>
      </c>
      <c r="E438" s="1">
        <v>52.5</v>
      </c>
      <c r="F438" s="2">
        <v>45676</v>
      </c>
      <c r="G438" s="2">
        <v>45677</v>
      </c>
      <c r="H438" s="1" t="s">
        <v>27</v>
      </c>
      <c r="I438" s="1" t="s">
        <v>18</v>
      </c>
      <c r="J438" s="1">
        <v>5</v>
      </c>
      <c r="K438" s="1" t="s">
        <v>19</v>
      </c>
      <c r="L438" s="1" t="s">
        <v>62</v>
      </c>
      <c r="M438" s="1">
        <f>orders[[#This Row],[Ship Date]]-orders[[#This Row],[Order Date]]</f>
        <v>1</v>
      </c>
      <c r="N438" s="1">
        <f>WEEKNUM(orders[[#This Row],[Order Date]])</f>
        <v>4</v>
      </c>
      <c r="O438" s="1"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s="1">
        <v>109.5</v>
      </c>
      <c r="F439" s="2">
        <v>45676</v>
      </c>
      <c r="G439" s="2">
        <v>45687</v>
      </c>
      <c r="H439" s="1" t="s">
        <v>23</v>
      </c>
      <c r="I439" s="1" t="s">
        <v>40</v>
      </c>
      <c r="J439" s="1">
        <v>4</v>
      </c>
      <c r="K439" s="1" t="s">
        <v>19</v>
      </c>
      <c r="L439" s="1" t="s">
        <v>62</v>
      </c>
      <c r="M439" s="1">
        <f>orders[[#This Row],[Ship Date]]-orders[[#This Row],[Order Date]]</f>
        <v>11</v>
      </c>
      <c r="N439" s="1">
        <f>WEEKNUM(orders[[#This Row],[Order Date]])</f>
        <v>4</v>
      </c>
      <c r="O439" s="1" t="str" cm="1">
        <f t="array" ref="O439">_xlfn.IFS(orders[[#This Row],[Customer Gender]]="M","Male", orders[[#This Row],[Customer Gender]]="F","Female", orders[[#This Row],[Customer Gender]]="O","Other", TRUE,"Unknown")</f>
        <v>Male</v>
      </c>
    </row>
    <row r="440" spans="1:15" x14ac:dyDescent="0.3">
      <c r="A440" t="s">
        <v>526</v>
      </c>
      <c r="B440" t="s">
        <v>44</v>
      </c>
      <c r="C440">
        <v>2</v>
      </c>
      <c r="D440">
        <v>47.5</v>
      </c>
      <c r="E440" s="1">
        <v>95</v>
      </c>
      <c r="F440" s="2">
        <v>45677</v>
      </c>
      <c r="G440" s="2">
        <v>45679</v>
      </c>
      <c r="H440" s="1" t="s">
        <v>27</v>
      </c>
      <c r="I440" s="1" t="s">
        <v>35</v>
      </c>
      <c r="J440" s="1">
        <v>4</v>
      </c>
      <c r="K440" s="1" t="s">
        <v>19</v>
      </c>
      <c r="L440" s="1" t="s">
        <v>62</v>
      </c>
      <c r="M440" s="1">
        <f>orders[[#This Row],[Ship Date]]-orders[[#This Row],[Order Date]]</f>
        <v>2</v>
      </c>
      <c r="N440" s="1">
        <f>WEEKNUM(orders[[#This Row],[Order Date]])</f>
        <v>4</v>
      </c>
      <c r="O440" s="1"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s="1">
        <v>228</v>
      </c>
      <c r="F441" s="2">
        <v>45677</v>
      </c>
      <c r="G441" s="2">
        <v>45679</v>
      </c>
      <c r="H441" s="1" t="s">
        <v>27</v>
      </c>
      <c r="I441" s="1" t="s">
        <v>18</v>
      </c>
      <c r="J441" s="1">
        <v>5</v>
      </c>
      <c r="K441" s="1" t="s">
        <v>19</v>
      </c>
      <c r="L441" s="1" t="s">
        <v>62</v>
      </c>
      <c r="M441" s="1">
        <f>orders[[#This Row],[Ship Date]]-orders[[#This Row],[Order Date]]</f>
        <v>2</v>
      </c>
      <c r="N441" s="1">
        <f>WEEKNUM(orders[[#This Row],[Order Date]])</f>
        <v>4</v>
      </c>
      <c r="O441" s="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s="1">
        <v>101</v>
      </c>
      <c r="F442" s="2">
        <v>45677</v>
      </c>
      <c r="G442" s="2">
        <v>45679</v>
      </c>
      <c r="H442" s="1" t="s">
        <v>23</v>
      </c>
      <c r="I442" s="1" t="s">
        <v>18</v>
      </c>
      <c r="J442" s="1">
        <v>3</v>
      </c>
      <c r="K442" s="1" t="s">
        <v>19</v>
      </c>
      <c r="L442" s="1" t="s">
        <v>103</v>
      </c>
      <c r="M442" s="1">
        <f>orders[[#This Row],[Ship Date]]-orders[[#This Row],[Order Date]]</f>
        <v>2</v>
      </c>
      <c r="N442" s="1">
        <f>WEEKNUM(orders[[#This Row],[Order Date]])</f>
        <v>4</v>
      </c>
      <c r="O442" s="1" t="str" cm="1">
        <f t="array" ref="O442">_xlfn.IFS(orders[[#This Row],[Customer Gender]]="M","Male", orders[[#This Row],[Customer Gender]]="F","Female", orders[[#This Row],[Customer Gender]]="O","Other", TRUE,"Unknown")</f>
        <v>Male</v>
      </c>
    </row>
    <row r="443" spans="1:15" x14ac:dyDescent="0.3">
      <c r="A443" t="s">
        <v>529</v>
      </c>
      <c r="B443" t="s">
        <v>26</v>
      </c>
      <c r="C443">
        <v>10</v>
      </c>
      <c r="D443">
        <v>99.8</v>
      </c>
      <c r="E443" s="1">
        <v>998</v>
      </c>
      <c r="F443" s="2">
        <v>45677</v>
      </c>
      <c r="G443" s="2">
        <v>45680</v>
      </c>
      <c r="H443" s="1" t="s">
        <v>27</v>
      </c>
      <c r="I443" s="1" t="s">
        <v>40</v>
      </c>
      <c r="J443" s="1">
        <v>3</v>
      </c>
      <c r="K443" s="1" t="s">
        <v>19</v>
      </c>
      <c r="L443" s="1" t="s">
        <v>103</v>
      </c>
      <c r="M443" s="1">
        <f>orders[[#This Row],[Ship Date]]-orders[[#This Row],[Order Date]]</f>
        <v>3</v>
      </c>
      <c r="N443" s="1">
        <f>WEEKNUM(orders[[#This Row],[Order Date]])</f>
        <v>4</v>
      </c>
      <c r="O443" s="1"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s="1">
        <v>288</v>
      </c>
      <c r="F444" s="2">
        <v>45677</v>
      </c>
      <c r="G444" s="2">
        <v>45679</v>
      </c>
      <c r="H444" s="1" t="s">
        <v>89</v>
      </c>
      <c r="I444" s="1" t="s">
        <v>70</v>
      </c>
      <c r="J444" s="1">
        <v>3</v>
      </c>
      <c r="K444" s="1" t="s">
        <v>19</v>
      </c>
      <c r="L444" s="1" t="s">
        <v>201</v>
      </c>
      <c r="M444" s="1">
        <f>orders[[#This Row],[Ship Date]]-orders[[#This Row],[Order Date]]</f>
        <v>2</v>
      </c>
      <c r="N444" s="1">
        <f>WEEKNUM(orders[[#This Row],[Order Date]])</f>
        <v>4</v>
      </c>
      <c r="O444" s="1"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s="1">
        <v>67.800000000000011</v>
      </c>
      <c r="F445" s="2">
        <v>45677</v>
      </c>
      <c r="G445" s="2">
        <v>45678</v>
      </c>
      <c r="H445" s="1" t="s">
        <v>23</v>
      </c>
      <c r="I445" s="1" t="s">
        <v>35</v>
      </c>
      <c r="J445" s="1">
        <v>4</v>
      </c>
      <c r="K445" s="1" t="s">
        <v>19</v>
      </c>
      <c r="L445" s="1" t="s">
        <v>77</v>
      </c>
      <c r="M445" s="1">
        <f>orders[[#This Row],[Ship Date]]-orders[[#This Row],[Order Date]]</f>
        <v>1</v>
      </c>
      <c r="N445" s="1">
        <f>WEEKNUM(orders[[#This Row],[Order Date]])</f>
        <v>4</v>
      </c>
      <c r="O445" s="1"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s="1">
        <v>1903.5</v>
      </c>
      <c r="F446" s="2">
        <v>45677</v>
      </c>
      <c r="G446" s="2">
        <v>45679</v>
      </c>
      <c r="H446" s="1" t="s">
        <v>27</v>
      </c>
      <c r="I446" s="1" t="s">
        <v>18</v>
      </c>
      <c r="J446" s="1">
        <v>5</v>
      </c>
      <c r="K446" s="1" t="s">
        <v>19</v>
      </c>
      <c r="L446" s="1" t="s">
        <v>77</v>
      </c>
      <c r="M446" s="1">
        <f>orders[[#This Row],[Ship Date]]-orders[[#This Row],[Order Date]]</f>
        <v>2</v>
      </c>
      <c r="N446" s="1">
        <f>WEEKNUM(orders[[#This Row],[Order Date]])</f>
        <v>4</v>
      </c>
      <c r="O446" s="1"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s="1">
        <v>200.6</v>
      </c>
      <c r="F447" s="2">
        <v>45677</v>
      </c>
      <c r="G447" s="2">
        <v>45678</v>
      </c>
      <c r="H447" s="1" t="s">
        <v>27</v>
      </c>
      <c r="I447" s="1" t="s">
        <v>18</v>
      </c>
      <c r="J447" s="1">
        <v>3</v>
      </c>
      <c r="K447" s="1" t="s">
        <v>19</v>
      </c>
      <c r="L447" s="1" t="s">
        <v>77</v>
      </c>
      <c r="M447" s="1">
        <f>orders[[#This Row],[Ship Date]]-orders[[#This Row],[Order Date]]</f>
        <v>1</v>
      </c>
      <c r="N447" s="1">
        <f>WEEKNUM(orders[[#This Row],[Order Date]])</f>
        <v>4</v>
      </c>
      <c r="O447" s="1"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s="1">
        <v>442.8</v>
      </c>
      <c r="F448" s="2">
        <v>45677</v>
      </c>
      <c r="G448" s="2">
        <v>45678</v>
      </c>
      <c r="H448" s="1" t="s">
        <v>27</v>
      </c>
      <c r="I448" s="1" t="s">
        <v>70</v>
      </c>
      <c r="J448" s="1">
        <v>4</v>
      </c>
      <c r="K448" s="1" t="s">
        <v>19</v>
      </c>
      <c r="L448" s="1" t="s">
        <v>82</v>
      </c>
      <c r="M448" s="1">
        <f>orders[[#This Row],[Ship Date]]-orders[[#This Row],[Order Date]]</f>
        <v>1</v>
      </c>
      <c r="N448" s="1">
        <f>WEEKNUM(orders[[#This Row],[Order Date]])</f>
        <v>4</v>
      </c>
      <c r="O448" s="1"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s="1">
        <v>94.6</v>
      </c>
      <c r="F449" s="2">
        <v>45677</v>
      </c>
      <c r="G449" s="2">
        <v>45678</v>
      </c>
      <c r="H449" s="1" t="s">
        <v>23</v>
      </c>
      <c r="I449" s="1" t="s">
        <v>35</v>
      </c>
      <c r="J449" s="1">
        <v>5</v>
      </c>
      <c r="K449" s="1" t="s">
        <v>19</v>
      </c>
      <c r="L449" s="1" t="s">
        <v>82</v>
      </c>
      <c r="M449" s="1">
        <f>orders[[#This Row],[Ship Date]]-orders[[#This Row],[Order Date]]</f>
        <v>1</v>
      </c>
      <c r="N449" s="1">
        <f>WEEKNUM(orders[[#This Row],[Order Date]])</f>
        <v>4</v>
      </c>
      <c r="O449" s="1"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s="1">
        <v>285.59999999999997</v>
      </c>
      <c r="F450" s="2">
        <v>45677</v>
      </c>
      <c r="G450" s="2">
        <v>45680</v>
      </c>
      <c r="H450" s="1" t="s">
        <v>27</v>
      </c>
      <c r="I450" s="1" t="s">
        <v>40</v>
      </c>
      <c r="J450" s="1">
        <v>5</v>
      </c>
      <c r="K450" s="1" t="s">
        <v>19</v>
      </c>
      <c r="L450" s="1" t="s">
        <v>115</v>
      </c>
      <c r="M450" s="1">
        <f>orders[[#This Row],[Ship Date]]-orders[[#This Row],[Order Date]]</f>
        <v>3</v>
      </c>
      <c r="N450" s="1">
        <f>WEEKNUM(orders[[#This Row],[Order Date]])</f>
        <v>4</v>
      </c>
      <c r="O450" s="1"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s="1">
        <v>393.6</v>
      </c>
      <c r="F451" s="2">
        <v>45677</v>
      </c>
      <c r="G451" s="2">
        <v>45679</v>
      </c>
      <c r="H451" s="1" t="s">
        <v>27</v>
      </c>
      <c r="I451" s="1" t="s">
        <v>18</v>
      </c>
      <c r="J451" s="1">
        <v>4</v>
      </c>
      <c r="K451" s="1" t="s">
        <v>19</v>
      </c>
      <c r="L451" s="1" t="s">
        <v>24</v>
      </c>
      <c r="M451" s="1">
        <f>orders[[#This Row],[Ship Date]]-orders[[#This Row],[Order Date]]</f>
        <v>2</v>
      </c>
      <c r="N451" s="1">
        <f>WEEKNUM(orders[[#This Row],[Order Date]])</f>
        <v>4</v>
      </c>
      <c r="O451" s="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s="1">
        <v>28.5</v>
      </c>
      <c r="F452" s="2">
        <v>45677</v>
      </c>
      <c r="G452" s="2">
        <v>45679</v>
      </c>
      <c r="H452" s="1" t="s">
        <v>17</v>
      </c>
      <c r="I452" s="1" t="s">
        <v>40</v>
      </c>
      <c r="J452" s="1">
        <v>3</v>
      </c>
      <c r="K452" s="1" t="s">
        <v>19</v>
      </c>
      <c r="L452" s="1" t="s">
        <v>33</v>
      </c>
      <c r="M452" s="1">
        <f>orders[[#This Row],[Ship Date]]-orders[[#This Row],[Order Date]]</f>
        <v>2</v>
      </c>
      <c r="N452" s="1">
        <f>WEEKNUM(orders[[#This Row],[Order Date]])</f>
        <v>4</v>
      </c>
      <c r="O452" s="1"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s="1">
        <v>73.599999999999994</v>
      </c>
      <c r="F453" s="2">
        <v>45677</v>
      </c>
      <c r="G453" s="2">
        <v>45683</v>
      </c>
      <c r="H453" s="1" t="s">
        <v>27</v>
      </c>
      <c r="I453" s="1" t="s">
        <v>18</v>
      </c>
      <c r="J453" s="1">
        <v>5</v>
      </c>
      <c r="K453" s="1" t="s">
        <v>19</v>
      </c>
      <c r="L453" s="1" t="s">
        <v>33</v>
      </c>
      <c r="M453" s="1">
        <f>orders[[#This Row],[Ship Date]]-orders[[#This Row],[Order Date]]</f>
        <v>6</v>
      </c>
      <c r="N453" s="1">
        <f>WEEKNUM(orders[[#This Row],[Order Date]])</f>
        <v>4</v>
      </c>
      <c r="O453" s="1"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s="1">
        <v>100.5</v>
      </c>
      <c r="F454" s="2">
        <v>45677</v>
      </c>
      <c r="G454" s="2">
        <v>45678</v>
      </c>
      <c r="H454" s="1" t="s">
        <v>27</v>
      </c>
      <c r="I454" s="1" t="s">
        <v>18</v>
      </c>
      <c r="J454" s="1">
        <v>3</v>
      </c>
      <c r="K454" s="1" t="s">
        <v>19</v>
      </c>
      <c r="L454" s="1" t="s">
        <v>33</v>
      </c>
      <c r="M454" s="1">
        <f>orders[[#This Row],[Ship Date]]-orders[[#This Row],[Order Date]]</f>
        <v>1</v>
      </c>
      <c r="N454" s="1">
        <f>WEEKNUM(orders[[#This Row],[Order Date]])</f>
        <v>4</v>
      </c>
      <c r="O454" s="1"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s="1">
        <v>375</v>
      </c>
      <c r="F455" s="2">
        <v>45677</v>
      </c>
      <c r="G455" s="2">
        <v>45679</v>
      </c>
      <c r="H455" s="1" t="s">
        <v>27</v>
      </c>
      <c r="I455" s="1" t="s">
        <v>18</v>
      </c>
      <c r="J455" s="1">
        <v>4</v>
      </c>
      <c r="K455" s="1" t="s">
        <v>19</v>
      </c>
      <c r="L455" s="1" t="s">
        <v>33</v>
      </c>
      <c r="M455" s="1">
        <f>orders[[#This Row],[Ship Date]]-orders[[#This Row],[Order Date]]</f>
        <v>2</v>
      </c>
      <c r="N455" s="1">
        <f>WEEKNUM(orders[[#This Row],[Order Date]])</f>
        <v>4</v>
      </c>
      <c r="O455" s="1"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s="1">
        <v>1916</v>
      </c>
      <c r="F456" s="2">
        <v>45677</v>
      </c>
      <c r="G456" s="2">
        <v>45678</v>
      </c>
      <c r="H456" s="1" t="s">
        <v>27</v>
      </c>
      <c r="I456" s="1" t="s">
        <v>51</v>
      </c>
      <c r="J456" s="1">
        <v>4</v>
      </c>
      <c r="K456" s="1" t="s">
        <v>19</v>
      </c>
      <c r="L456" s="1" t="s">
        <v>33</v>
      </c>
      <c r="M456" s="1">
        <f>orders[[#This Row],[Ship Date]]-orders[[#This Row],[Order Date]]</f>
        <v>1</v>
      </c>
      <c r="N456" s="1">
        <f>WEEKNUM(orders[[#This Row],[Order Date]])</f>
        <v>4</v>
      </c>
      <c r="O456" s="1"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s="1">
        <v>557.40000000000009</v>
      </c>
      <c r="F457" s="2">
        <v>45677</v>
      </c>
      <c r="G457" s="2">
        <v>45688</v>
      </c>
      <c r="H457" s="1" t="s">
        <v>27</v>
      </c>
      <c r="I457" s="1" t="s">
        <v>18</v>
      </c>
      <c r="J457" s="1">
        <v>2</v>
      </c>
      <c r="K457" s="1" t="s">
        <v>19</v>
      </c>
      <c r="L457" s="1" t="s">
        <v>33</v>
      </c>
      <c r="M457" s="1">
        <f>orders[[#This Row],[Ship Date]]-orders[[#This Row],[Order Date]]</f>
        <v>11</v>
      </c>
      <c r="N457" s="1">
        <f>WEEKNUM(orders[[#This Row],[Order Date]])</f>
        <v>4</v>
      </c>
      <c r="O457" s="1"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s="1">
        <v>132.30000000000001</v>
      </c>
      <c r="F458" s="2">
        <v>45677</v>
      </c>
      <c r="G458" s="2">
        <v>45677</v>
      </c>
      <c r="H458" s="1" t="s">
        <v>27</v>
      </c>
      <c r="I458" s="1" t="s">
        <v>35</v>
      </c>
      <c r="J458" s="1">
        <v>3</v>
      </c>
      <c r="K458" s="1" t="s">
        <v>19</v>
      </c>
      <c r="L458" s="1" t="s">
        <v>545</v>
      </c>
      <c r="M458" s="1">
        <f>orders[[#This Row],[Ship Date]]-orders[[#This Row],[Order Date]]</f>
        <v>0</v>
      </c>
      <c r="N458" s="1">
        <f>WEEKNUM(orders[[#This Row],[Order Date]])</f>
        <v>4</v>
      </c>
      <c r="O458" s="1"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s="1">
        <v>11.4</v>
      </c>
      <c r="F459" s="2">
        <v>45678</v>
      </c>
      <c r="G459" s="2">
        <v>45680</v>
      </c>
      <c r="H459" s="1" t="s">
        <v>27</v>
      </c>
      <c r="I459" s="1" t="s">
        <v>40</v>
      </c>
      <c r="J459" s="1">
        <v>4</v>
      </c>
      <c r="K459" s="1" t="s">
        <v>19</v>
      </c>
      <c r="L459" s="1" t="s">
        <v>52</v>
      </c>
      <c r="M459" s="1">
        <f>orders[[#This Row],[Ship Date]]-orders[[#This Row],[Order Date]]</f>
        <v>2</v>
      </c>
      <c r="N459" s="1">
        <f>WEEKNUM(orders[[#This Row],[Order Date]])</f>
        <v>4</v>
      </c>
      <c r="O459" s="1"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s="1">
        <v>83.7</v>
      </c>
      <c r="F460" s="2">
        <v>45678</v>
      </c>
      <c r="G460" s="2">
        <v>45680</v>
      </c>
      <c r="H460" s="1" t="s">
        <v>27</v>
      </c>
      <c r="I460" s="1" t="s">
        <v>18</v>
      </c>
      <c r="J460" s="1">
        <v>5</v>
      </c>
      <c r="K460" s="1" t="s">
        <v>19</v>
      </c>
      <c r="L460" s="1" t="s">
        <v>55</v>
      </c>
      <c r="M460" s="1">
        <f>orders[[#This Row],[Ship Date]]-orders[[#This Row],[Order Date]]</f>
        <v>2</v>
      </c>
      <c r="N460" s="1">
        <f>WEEKNUM(orders[[#This Row],[Order Date]])</f>
        <v>4</v>
      </c>
      <c r="O460" s="1"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s="1">
        <v>46.4</v>
      </c>
      <c r="F461" s="2">
        <v>45678</v>
      </c>
      <c r="G461" s="2">
        <v>45679</v>
      </c>
      <c r="H461" s="1" t="s">
        <v>23</v>
      </c>
      <c r="I461" s="1" t="s">
        <v>40</v>
      </c>
      <c r="J461" s="1">
        <v>4</v>
      </c>
      <c r="K461" s="1" t="s">
        <v>19</v>
      </c>
      <c r="L461" s="1" t="s">
        <v>62</v>
      </c>
      <c r="M461" s="1">
        <f>orders[[#This Row],[Ship Date]]-orders[[#This Row],[Order Date]]</f>
        <v>1</v>
      </c>
      <c r="N461" s="1">
        <f>WEEKNUM(orders[[#This Row],[Order Date]])</f>
        <v>4</v>
      </c>
      <c r="O461" s="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s="1">
        <v>162.1</v>
      </c>
      <c r="F462" s="2">
        <v>45678</v>
      </c>
      <c r="G462" s="2">
        <v>45681</v>
      </c>
      <c r="H462" s="1" t="s">
        <v>27</v>
      </c>
      <c r="I462" s="1" t="s">
        <v>18</v>
      </c>
      <c r="J462" s="1">
        <v>5</v>
      </c>
      <c r="K462" s="1" t="s">
        <v>19</v>
      </c>
      <c r="L462" s="1" t="s">
        <v>72</v>
      </c>
      <c r="M462" s="1">
        <f>orders[[#This Row],[Ship Date]]-orders[[#This Row],[Order Date]]</f>
        <v>3</v>
      </c>
      <c r="N462" s="1">
        <f>WEEKNUM(orders[[#This Row],[Order Date]])</f>
        <v>4</v>
      </c>
      <c r="O462" s="1"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s="1">
        <v>196.8</v>
      </c>
      <c r="F463" s="2">
        <v>45678</v>
      </c>
      <c r="G463" s="2">
        <v>45682</v>
      </c>
      <c r="H463" s="1" t="s">
        <v>23</v>
      </c>
      <c r="I463" s="1" t="s">
        <v>35</v>
      </c>
      <c r="J463" s="1">
        <v>4</v>
      </c>
      <c r="K463" s="1" t="s">
        <v>19</v>
      </c>
      <c r="L463" s="1" t="s">
        <v>72</v>
      </c>
      <c r="M463" s="1">
        <f>orders[[#This Row],[Ship Date]]-orders[[#This Row],[Order Date]]</f>
        <v>4</v>
      </c>
      <c r="N463" s="1">
        <f>WEEKNUM(orders[[#This Row],[Order Date]])</f>
        <v>4</v>
      </c>
      <c r="O463" s="1" t="str" cm="1">
        <f t="array" ref="O463">_xlfn.IFS(orders[[#This Row],[Customer Gender]]="M","Male", orders[[#This Row],[Customer Gender]]="F","Female", orders[[#This Row],[Customer Gender]]="O","Other", TRUE,"Unknown")</f>
        <v>Male</v>
      </c>
    </row>
    <row r="464" spans="1:15" x14ac:dyDescent="0.3">
      <c r="A464" t="s">
        <v>551</v>
      </c>
      <c r="B464" t="s">
        <v>22</v>
      </c>
      <c r="C464">
        <v>2</v>
      </c>
      <c r="D464">
        <v>61</v>
      </c>
      <c r="E464" s="1">
        <v>122</v>
      </c>
      <c r="F464" s="2">
        <v>45678</v>
      </c>
      <c r="G464" s="2">
        <v>45679</v>
      </c>
      <c r="H464" s="1" t="s">
        <v>23</v>
      </c>
      <c r="I464" s="1" t="s">
        <v>51</v>
      </c>
      <c r="J464" s="1">
        <v>4</v>
      </c>
      <c r="K464" s="1" t="s">
        <v>19</v>
      </c>
      <c r="L464" s="1" t="s">
        <v>74</v>
      </c>
      <c r="M464" s="1">
        <f>orders[[#This Row],[Ship Date]]-orders[[#This Row],[Order Date]]</f>
        <v>1</v>
      </c>
      <c r="N464" s="1">
        <f>WEEKNUM(orders[[#This Row],[Order Date]])</f>
        <v>4</v>
      </c>
      <c r="O464" s="1" t="str" cm="1">
        <f t="array" ref="O464">_xlfn.IFS(orders[[#This Row],[Customer Gender]]="M","Male", orders[[#This Row],[Customer Gender]]="F","Female", orders[[#This Row],[Customer Gender]]="O","Other", TRUE,"Unknown")</f>
        <v>Male</v>
      </c>
    </row>
    <row r="465" spans="1:15" x14ac:dyDescent="0.3">
      <c r="A465" t="s">
        <v>552</v>
      </c>
      <c r="B465" t="s">
        <v>26</v>
      </c>
      <c r="C465">
        <v>10</v>
      </c>
      <c r="D465">
        <v>53.1</v>
      </c>
      <c r="E465" s="1">
        <v>531</v>
      </c>
      <c r="F465" s="2">
        <v>45678</v>
      </c>
      <c r="G465" s="2">
        <v>45680</v>
      </c>
      <c r="H465" s="1" t="s">
        <v>23</v>
      </c>
      <c r="I465" s="1" t="s">
        <v>18</v>
      </c>
      <c r="J465" s="1">
        <v>4</v>
      </c>
      <c r="K465" s="1" t="s">
        <v>19</v>
      </c>
      <c r="L465" s="1" t="s">
        <v>77</v>
      </c>
      <c r="M465" s="1">
        <f>orders[[#This Row],[Ship Date]]-orders[[#This Row],[Order Date]]</f>
        <v>2</v>
      </c>
      <c r="N465" s="1">
        <f>WEEKNUM(orders[[#This Row],[Order Date]])</f>
        <v>4</v>
      </c>
      <c r="O465" s="1" t="str" cm="1">
        <f t="array" ref="O465">_xlfn.IFS(orders[[#This Row],[Customer Gender]]="M","Male", orders[[#This Row],[Customer Gender]]="F","Female", orders[[#This Row],[Customer Gender]]="O","Other", TRUE,"Unknown")</f>
        <v>Male</v>
      </c>
    </row>
    <row r="466" spans="1:15" x14ac:dyDescent="0.3">
      <c r="A466" t="s">
        <v>553</v>
      </c>
      <c r="B466" t="s">
        <v>32</v>
      </c>
      <c r="C466">
        <v>2</v>
      </c>
      <c r="D466">
        <v>22.4</v>
      </c>
      <c r="E466" s="1">
        <v>44.8</v>
      </c>
      <c r="F466" s="2">
        <v>45678</v>
      </c>
      <c r="G466" s="2">
        <v>45680</v>
      </c>
      <c r="H466" s="1" t="s">
        <v>17</v>
      </c>
      <c r="I466" s="1" t="s">
        <v>35</v>
      </c>
      <c r="J466" s="1">
        <v>5</v>
      </c>
      <c r="K466" s="1" t="s">
        <v>19</v>
      </c>
      <c r="L466" s="1" t="s">
        <v>82</v>
      </c>
      <c r="M466" s="1">
        <f>orders[[#This Row],[Ship Date]]-orders[[#This Row],[Order Date]]</f>
        <v>2</v>
      </c>
      <c r="N466" s="1">
        <f>WEEKNUM(orders[[#This Row],[Order Date]])</f>
        <v>4</v>
      </c>
      <c r="O466" s="1"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s="1">
        <v>376.5</v>
      </c>
      <c r="F467" s="2">
        <v>45678</v>
      </c>
      <c r="G467" s="2">
        <v>45679</v>
      </c>
      <c r="H467" s="1" t="s">
        <v>23</v>
      </c>
      <c r="I467" s="1" t="s">
        <v>18</v>
      </c>
      <c r="J467" s="1">
        <v>4</v>
      </c>
      <c r="K467" s="1" t="s">
        <v>19</v>
      </c>
      <c r="L467" s="1" t="s">
        <v>115</v>
      </c>
      <c r="M467" s="1">
        <f>orders[[#This Row],[Ship Date]]-orders[[#This Row],[Order Date]]</f>
        <v>1</v>
      </c>
      <c r="N467" s="1">
        <f>WEEKNUM(orders[[#This Row],[Order Date]])</f>
        <v>4</v>
      </c>
      <c r="O467" s="1" t="str" cm="1">
        <f t="array" ref="O467">_xlfn.IFS(orders[[#This Row],[Customer Gender]]="M","Male", orders[[#This Row],[Customer Gender]]="F","Female", orders[[#This Row],[Customer Gender]]="O","Other", TRUE,"Unknown")</f>
        <v>Male</v>
      </c>
    </row>
    <row r="468" spans="1:15" x14ac:dyDescent="0.3">
      <c r="A468" t="s">
        <v>555</v>
      </c>
      <c r="B468" t="s">
        <v>39</v>
      </c>
      <c r="C468">
        <v>1</v>
      </c>
      <c r="D468">
        <v>48.5</v>
      </c>
      <c r="E468" s="1">
        <v>48.5</v>
      </c>
      <c r="F468" s="2">
        <v>45678</v>
      </c>
      <c r="G468" s="2">
        <v>45679</v>
      </c>
      <c r="H468" s="1" t="s">
        <v>27</v>
      </c>
      <c r="I468" s="1" t="s">
        <v>18</v>
      </c>
      <c r="J468" s="1">
        <v>3</v>
      </c>
      <c r="K468" s="1" t="s">
        <v>19</v>
      </c>
      <c r="L468" s="1" t="s">
        <v>115</v>
      </c>
      <c r="M468" s="1">
        <f>orders[[#This Row],[Ship Date]]-orders[[#This Row],[Order Date]]</f>
        <v>1</v>
      </c>
      <c r="N468" s="1">
        <f>WEEKNUM(orders[[#This Row],[Order Date]])</f>
        <v>4</v>
      </c>
      <c r="O468" s="1"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s="1">
        <v>42.6</v>
      </c>
      <c r="F469" s="2">
        <v>45678</v>
      </c>
      <c r="G469" s="2">
        <v>45682</v>
      </c>
      <c r="H469" s="1" t="s">
        <v>27</v>
      </c>
      <c r="I469" s="1" t="s">
        <v>51</v>
      </c>
      <c r="J469" s="1">
        <v>4</v>
      </c>
      <c r="K469" s="1" t="s">
        <v>19</v>
      </c>
      <c r="L469" s="1" t="s">
        <v>24</v>
      </c>
      <c r="M469" s="1">
        <f>orders[[#This Row],[Ship Date]]-orders[[#This Row],[Order Date]]</f>
        <v>4</v>
      </c>
      <c r="N469" s="1">
        <f>WEEKNUM(orders[[#This Row],[Order Date]])</f>
        <v>4</v>
      </c>
      <c r="O469" s="1" t="str" cm="1">
        <f t="array" ref="O469">_xlfn.IFS(orders[[#This Row],[Customer Gender]]="M","Male", orders[[#This Row],[Customer Gender]]="F","Female", orders[[#This Row],[Customer Gender]]="O","Other", TRUE,"Unknown")</f>
        <v>Female</v>
      </c>
    </row>
    <row r="470" spans="1:15" x14ac:dyDescent="0.3">
      <c r="A470" t="s">
        <v>557</v>
      </c>
      <c r="B470" t="s">
        <v>37</v>
      </c>
      <c r="C470">
        <v>5</v>
      </c>
      <c r="D470">
        <v>49</v>
      </c>
      <c r="E470" s="1">
        <v>245</v>
      </c>
      <c r="F470" s="2">
        <v>45678</v>
      </c>
      <c r="G470" s="2">
        <v>45679</v>
      </c>
      <c r="H470" s="1" t="s">
        <v>23</v>
      </c>
      <c r="I470" s="1" t="s">
        <v>18</v>
      </c>
      <c r="J470" s="1">
        <v>4</v>
      </c>
      <c r="K470" s="1" t="s">
        <v>19</v>
      </c>
      <c r="L470" s="1" t="s">
        <v>147</v>
      </c>
      <c r="M470" s="1">
        <f>orders[[#This Row],[Ship Date]]-orders[[#This Row],[Order Date]]</f>
        <v>1</v>
      </c>
      <c r="N470" s="1">
        <f>WEEKNUM(orders[[#This Row],[Order Date]])</f>
        <v>4</v>
      </c>
      <c r="O470" s="1" t="str" cm="1">
        <f t="array" ref="O470">_xlfn.IFS(orders[[#This Row],[Customer Gender]]="M","Male", orders[[#This Row],[Customer Gender]]="F","Female", orders[[#This Row],[Customer Gender]]="O","Other", TRUE,"Unknown")</f>
        <v>Male</v>
      </c>
    </row>
    <row r="471" spans="1:15" x14ac:dyDescent="0.3">
      <c r="A471" t="s">
        <v>558</v>
      </c>
      <c r="B471" t="s">
        <v>44</v>
      </c>
      <c r="C471">
        <v>3</v>
      </c>
      <c r="D471">
        <v>31.3</v>
      </c>
      <c r="E471" s="1">
        <v>93.9</v>
      </c>
      <c r="F471" s="2">
        <v>45678</v>
      </c>
      <c r="G471" s="2">
        <v>45679</v>
      </c>
      <c r="H471" s="1" t="s">
        <v>23</v>
      </c>
      <c r="I471" s="1" t="s">
        <v>40</v>
      </c>
      <c r="J471" s="1">
        <v>3</v>
      </c>
      <c r="K471" s="1" t="s">
        <v>19</v>
      </c>
      <c r="L471" s="1" t="s">
        <v>33</v>
      </c>
      <c r="M471" s="1">
        <f>orders[[#This Row],[Ship Date]]-orders[[#This Row],[Order Date]]</f>
        <v>1</v>
      </c>
      <c r="N471" s="1">
        <f>WEEKNUM(orders[[#This Row],[Order Date]])</f>
        <v>4</v>
      </c>
      <c r="O471" s="1" t="str" cm="1">
        <f t="array" ref="O471">_xlfn.IFS(orders[[#This Row],[Customer Gender]]="M","Male", orders[[#This Row],[Customer Gender]]="F","Female", orders[[#This Row],[Customer Gender]]="O","Other", TRUE,"Unknown")</f>
        <v>Male</v>
      </c>
    </row>
    <row r="472" spans="1:15" x14ac:dyDescent="0.3">
      <c r="A472" t="s">
        <v>559</v>
      </c>
      <c r="B472" t="s">
        <v>26</v>
      </c>
      <c r="C472">
        <v>2</v>
      </c>
      <c r="D472">
        <v>85.4</v>
      </c>
      <c r="E472" s="1">
        <v>170.8</v>
      </c>
      <c r="F472" s="2">
        <v>45678</v>
      </c>
      <c r="G472" s="2">
        <v>45679</v>
      </c>
      <c r="H472" s="1" t="s">
        <v>27</v>
      </c>
      <c r="I472" s="1" t="s">
        <v>40</v>
      </c>
      <c r="J472" s="1">
        <v>4</v>
      </c>
      <c r="K472" s="1" t="s">
        <v>19</v>
      </c>
      <c r="L472" s="1" t="s">
        <v>33</v>
      </c>
      <c r="M472" s="1">
        <f>orders[[#This Row],[Ship Date]]-orders[[#This Row],[Order Date]]</f>
        <v>1</v>
      </c>
      <c r="N472" s="1">
        <f>WEEKNUM(orders[[#This Row],[Order Date]])</f>
        <v>4</v>
      </c>
      <c r="O472" s="1" t="str" cm="1">
        <f t="array" ref="O472">_xlfn.IFS(orders[[#This Row],[Customer Gender]]="M","Male", orders[[#This Row],[Customer Gender]]="F","Female", orders[[#This Row],[Customer Gender]]="O","Other", TRUE,"Unknown")</f>
        <v>Female</v>
      </c>
    </row>
    <row r="473" spans="1:15" x14ac:dyDescent="0.3">
      <c r="A473" t="s">
        <v>560</v>
      </c>
      <c r="B473" t="s">
        <v>44</v>
      </c>
      <c r="C473">
        <v>4</v>
      </c>
      <c r="D473">
        <v>40</v>
      </c>
      <c r="E473" s="1">
        <v>160</v>
      </c>
      <c r="F473" s="2">
        <v>45678</v>
      </c>
      <c r="G473" s="2">
        <v>45679</v>
      </c>
      <c r="H473" s="1" t="s">
        <v>89</v>
      </c>
      <c r="I473" s="1" t="s">
        <v>18</v>
      </c>
      <c r="J473" s="1">
        <v>5</v>
      </c>
      <c r="K473" s="1" t="s">
        <v>19</v>
      </c>
      <c r="L473" s="1" t="s">
        <v>33</v>
      </c>
      <c r="M473" s="1">
        <f>orders[[#This Row],[Ship Date]]-orders[[#This Row],[Order Date]]</f>
        <v>1</v>
      </c>
      <c r="N473" s="1">
        <f>WEEKNUM(orders[[#This Row],[Order Date]])</f>
        <v>4</v>
      </c>
      <c r="O473" s="1" t="str" cm="1">
        <f t="array" ref="O473">_xlfn.IFS(orders[[#This Row],[Customer Gender]]="M","Male", orders[[#This Row],[Customer Gender]]="F","Female", orders[[#This Row],[Customer Gender]]="O","Other", TRUE,"Unknown")</f>
        <v>Other</v>
      </c>
    </row>
    <row r="474" spans="1:15" x14ac:dyDescent="0.3">
      <c r="A474" t="s">
        <v>561</v>
      </c>
      <c r="B474" t="s">
        <v>37</v>
      </c>
      <c r="C474">
        <v>2</v>
      </c>
      <c r="D474">
        <v>38.5</v>
      </c>
      <c r="E474" s="1">
        <v>77</v>
      </c>
      <c r="F474" s="2">
        <v>45678</v>
      </c>
      <c r="G474" s="2">
        <v>45681</v>
      </c>
      <c r="H474" s="1" t="s">
        <v>23</v>
      </c>
      <c r="I474" s="1" t="s">
        <v>35</v>
      </c>
      <c r="J474" s="1">
        <v>5</v>
      </c>
      <c r="K474" s="1" t="s">
        <v>19</v>
      </c>
      <c r="L474" s="1" t="s">
        <v>33</v>
      </c>
      <c r="M474" s="1">
        <f>orders[[#This Row],[Ship Date]]-orders[[#This Row],[Order Date]]</f>
        <v>3</v>
      </c>
      <c r="N474" s="1">
        <f>WEEKNUM(orders[[#This Row],[Order Date]])</f>
        <v>4</v>
      </c>
      <c r="O474" s="1" t="str" cm="1">
        <f t="array" ref="O474">_xlfn.IFS(orders[[#This Row],[Customer Gender]]="M","Male", orders[[#This Row],[Customer Gender]]="F","Female", orders[[#This Row],[Customer Gender]]="O","Other", TRUE,"Unknown")</f>
        <v>Male</v>
      </c>
    </row>
    <row r="475" spans="1:15" x14ac:dyDescent="0.3">
      <c r="A475" t="s">
        <v>562</v>
      </c>
      <c r="B475" t="s">
        <v>26</v>
      </c>
      <c r="C475">
        <v>2</v>
      </c>
      <c r="D475">
        <v>57.8</v>
      </c>
      <c r="E475" s="1">
        <v>115.6</v>
      </c>
      <c r="F475" s="2">
        <v>45678</v>
      </c>
      <c r="G475" s="2">
        <v>45679</v>
      </c>
      <c r="H475" s="1" t="s">
        <v>17</v>
      </c>
      <c r="I475" s="1" t="s">
        <v>18</v>
      </c>
      <c r="J475" s="1">
        <v>4</v>
      </c>
      <c r="K475" s="1" t="s">
        <v>19</v>
      </c>
      <c r="L475" s="1" t="s">
        <v>33</v>
      </c>
      <c r="M475" s="1">
        <f>orders[[#This Row],[Ship Date]]-orders[[#This Row],[Order Date]]</f>
        <v>1</v>
      </c>
      <c r="N475" s="1">
        <f>WEEKNUM(orders[[#This Row],[Order Date]])</f>
        <v>4</v>
      </c>
      <c r="O475" s="1"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s="1">
        <v>19.2</v>
      </c>
      <c r="F476" s="2">
        <v>45678</v>
      </c>
      <c r="G476" s="2">
        <v>45679</v>
      </c>
      <c r="H476" s="1" t="s">
        <v>27</v>
      </c>
      <c r="I476" s="1" t="s">
        <v>18</v>
      </c>
      <c r="J476" s="1">
        <v>2</v>
      </c>
      <c r="K476" s="1" t="s">
        <v>19</v>
      </c>
      <c r="L476" s="1" t="s">
        <v>33</v>
      </c>
      <c r="M476" s="1">
        <f>orders[[#This Row],[Ship Date]]-orders[[#This Row],[Order Date]]</f>
        <v>1</v>
      </c>
      <c r="N476" s="1">
        <f>WEEKNUM(orders[[#This Row],[Order Date]])</f>
        <v>4</v>
      </c>
      <c r="O476" s="1"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s="1">
        <v>688.8</v>
      </c>
      <c r="F477" s="2">
        <v>45678</v>
      </c>
      <c r="G477" s="2">
        <v>45681</v>
      </c>
      <c r="H477" s="1" t="s">
        <v>23</v>
      </c>
      <c r="I477" s="1" t="s">
        <v>35</v>
      </c>
      <c r="J477" s="1">
        <v>3</v>
      </c>
      <c r="K477" s="1" t="s">
        <v>19</v>
      </c>
      <c r="L477" s="1" t="s">
        <v>33</v>
      </c>
      <c r="M477" s="1">
        <f>orders[[#This Row],[Ship Date]]-orders[[#This Row],[Order Date]]</f>
        <v>3</v>
      </c>
      <c r="N477" s="1">
        <f>WEEKNUM(orders[[#This Row],[Order Date]])</f>
        <v>4</v>
      </c>
      <c r="O477" s="1" t="str" cm="1">
        <f t="array" ref="O477">_xlfn.IFS(orders[[#This Row],[Customer Gender]]="M","Male", orders[[#This Row],[Customer Gender]]="F","Female", orders[[#This Row],[Customer Gender]]="O","Other", TRUE,"Unknown")</f>
        <v>Male</v>
      </c>
    </row>
    <row r="478" spans="1:15" x14ac:dyDescent="0.3">
      <c r="A478" t="s">
        <v>565</v>
      </c>
      <c r="B478" t="s">
        <v>54</v>
      </c>
      <c r="C478">
        <v>7</v>
      </c>
      <c r="D478">
        <v>48.4</v>
      </c>
      <c r="E478" s="1">
        <v>338.8</v>
      </c>
      <c r="F478" s="2">
        <v>45678</v>
      </c>
      <c r="G478" s="2">
        <v>45681</v>
      </c>
      <c r="H478" s="1" t="s">
        <v>27</v>
      </c>
      <c r="I478" s="1" t="s">
        <v>51</v>
      </c>
      <c r="J478" s="1">
        <v>3</v>
      </c>
      <c r="K478" s="1" t="s">
        <v>19</v>
      </c>
      <c r="L478" s="1" t="s">
        <v>33</v>
      </c>
      <c r="M478" s="1">
        <f>orders[[#This Row],[Ship Date]]-orders[[#This Row],[Order Date]]</f>
        <v>3</v>
      </c>
      <c r="N478" s="1">
        <f>WEEKNUM(orders[[#This Row],[Order Date]])</f>
        <v>4</v>
      </c>
      <c r="O478" s="1"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s="1">
        <v>366</v>
      </c>
      <c r="F479" s="2">
        <v>45678</v>
      </c>
      <c r="G479" s="2">
        <v>45679</v>
      </c>
      <c r="H479" s="1" t="s">
        <v>27</v>
      </c>
      <c r="I479" s="1" t="s">
        <v>35</v>
      </c>
      <c r="J479" s="1">
        <v>2</v>
      </c>
      <c r="K479" s="1" t="s">
        <v>19</v>
      </c>
      <c r="L479" s="1" t="s">
        <v>33</v>
      </c>
      <c r="M479" s="1">
        <f>orders[[#This Row],[Ship Date]]-orders[[#This Row],[Order Date]]</f>
        <v>1</v>
      </c>
      <c r="N479" s="1">
        <f>WEEKNUM(orders[[#This Row],[Order Date]])</f>
        <v>4</v>
      </c>
      <c r="O479" s="1"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s="1">
        <v>97.2</v>
      </c>
      <c r="F480" s="2">
        <v>45678</v>
      </c>
      <c r="G480" s="2">
        <v>45682</v>
      </c>
      <c r="H480" s="1" t="s">
        <v>27</v>
      </c>
      <c r="I480" s="1" t="s">
        <v>51</v>
      </c>
      <c r="J480" s="1">
        <v>4</v>
      </c>
      <c r="K480" s="1" t="s">
        <v>19</v>
      </c>
      <c r="L480" s="1" t="s">
        <v>33</v>
      </c>
      <c r="M480" s="1">
        <f>orders[[#This Row],[Ship Date]]-orders[[#This Row],[Order Date]]</f>
        <v>4</v>
      </c>
      <c r="N480" s="1">
        <f>WEEKNUM(orders[[#This Row],[Order Date]])</f>
        <v>4</v>
      </c>
      <c r="O480" s="1"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s="1">
        <v>292.20000000000005</v>
      </c>
      <c r="F481" s="2">
        <v>45678</v>
      </c>
      <c r="G481" s="2">
        <v>45679</v>
      </c>
      <c r="H481" s="1" t="s">
        <v>23</v>
      </c>
      <c r="I481" s="1" t="s">
        <v>18</v>
      </c>
      <c r="J481" s="1">
        <v>4</v>
      </c>
      <c r="K481" s="1" t="s">
        <v>19</v>
      </c>
      <c r="L481" s="1" t="s">
        <v>33</v>
      </c>
      <c r="M481" s="1">
        <f>orders[[#This Row],[Ship Date]]-orders[[#This Row],[Order Date]]</f>
        <v>1</v>
      </c>
      <c r="N481" s="1">
        <f>WEEKNUM(orders[[#This Row],[Order Date]])</f>
        <v>4</v>
      </c>
      <c r="O481" s="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s="1">
        <v>64.400000000000006</v>
      </c>
      <c r="F482" s="2">
        <v>45678</v>
      </c>
      <c r="G482" s="2">
        <v>45681</v>
      </c>
      <c r="H482" s="1" t="s">
        <v>23</v>
      </c>
      <c r="I482" s="1" t="s">
        <v>40</v>
      </c>
      <c r="J482" s="1">
        <v>5</v>
      </c>
      <c r="K482" s="1" t="s">
        <v>19</v>
      </c>
      <c r="L482" s="1" t="s">
        <v>33</v>
      </c>
      <c r="M482" s="1">
        <f>orders[[#This Row],[Ship Date]]-orders[[#This Row],[Order Date]]</f>
        <v>3</v>
      </c>
      <c r="N482" s="1">
        <f>WEEKNUM(orders[[#This Row],[Order Date]])</f>
        <v>4</v>
      </c>
      <c r="O482" s="1" t="str" cm="1">
        <f t="array" ref="O482">_xlfn.IFS(orders[[#This Row],[Customer Gender]]="M","Male", orders[[#This Row],[Customer Gender]]="F","Female", orders[[#This Row],[Customer Gender]]="O","Other", TRUE,"Unknown")</f>
        <v>Male</v>
      </c>
    </row>
    <row r="483" spans="1:15" x14ac:dyDescent="0.3">
      <c r="A483" t="s">
        <v>570</v>
      </c>
      <c r="B483" t="s">
        <v>123</v>
      </c>
      <c r="C483">
        <v>8</v>
      </c>
      <c r="D483">
        <v>25.8</v>
      </c>
      <c r="E483" s="1">
        <v>206.4</v>
      </c>
      <c r="F483" s="2">
        <v>45678</v>
      </c>
      <c r="G483" s="2">
        <v>45679</v>
      </c>
      <c r="H483" s="1" t="s">
        <v>23</v>
      </c>
      <c r="I483" s="1" t="s">
        <v>18</v>
      </c>
      <c r="J483" s="1">
        <v>4</v>
      </c>
      <c r="K483" s="1" t="s">
        <v>19</v>
      </c>
      <c r="L483" s="1" t="s">
        <v>364</v>
      </c>
      <c r="M483" s="1">
        <f>orders[[#This Row],[Ship Date]]-orders[[#This Row],[Order Date]]</f>
        <v>1</v>
      </c>
      <c r="N483" s="1">
        <f>WEEKNUM(orders[[#This Row],[Order Date]])</f>
        <v>4</v>
      </c>
      <c r="O483" s="1" t="str" cm="1">
        <f t="array" ref="O483">_xlfn.IFS(orders[[#This Row],[Customer Gender]]="M","Male", orders[[#This Row],[Customer Gender]]="F","Female", orders[[#This Row],[Customer Gender]]="O","Other", TRUE,"Unknown")</f>
        <v>Male</v>
      </c>
    </row>
    <row r="484" spans="1:15" x14ac:dyDescent="0.3">
      <c r="A484" t="s">
        <v>571</v>
      </c>
      <c r="B484" t="s">
        <v>39</v>
      </c>
      <c r="C484">
        <v>2</v>
      </c>
      <c r="D484">
        <v>94.8</v>
      </c>
      <c r="E484" s="1">
        <v>189.6</v>
      </c>
      <c r="F484" s="2">
        <v>45679</v>
      </c>
      <c r="G484" s="2">
        <v>45682</v>
      </c>
      <c r="H484" s="1" t="s">
        <v>27</v>
      </c>
      <c r="I484" s="1" t="s">
        <v>35</v>
      </c>
      <c r="J484" s="1">
        <v>3</v>
      </c>
      <c r="K484" s="1" t="s">
        <v>19</v>
      </c>
      <c r="L484" s="1" t="s">
        <v>188</v>
      </c>
      <c r="M484" s="1">
        <f>orders[[#This Row],[Ship Date]]-orders[[#This Row],[Order Date]]</f>
        <v>3</v>
      </c>
      <c r="N484" s="1">
        <f>WEEKNUM(orders[[#This Row],[Order Date]])</f>
        <v>4</v>
      </c>
      <c r="O484" s="1"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s="1">
        <v>1420</v>
      </c>
      <c r="F485" s="2">
        <v>45679</v>
      </c>
      <c r="G485" s="2">
        <v>45682</v>
      </c>
      <c r="H485" s="1" t="s">
        <v>23</v>
      </c>
      <c r="I485" s="1" t="s">
        <v>18</v>
      </c>
      <c r="J485" s="1">
        <v>4</v>
      </c>
      <c r="K485" s="1" t="s">
        <v>19</v>
      </c>
      <c r="L485" s="1" t="s">
        <v>188</v>
      </c>
      <c r="M485" s="1">
        <f>orders[[#This Row],[Ship Date]]-orders[[#This Row],[Order Date]]</f>
        <v>3</v>
      </c>
      <c r="N485" s="1">
        <f>WEEKNUM(orders[[#This Row],[Order Date]])</f>
        <v>4</v>
      </c>
      <c r="O485" s="1" t="str" cm="1">
        <f t="array" ref="O485">_xlfn.IFS(orders[[#This Row],[Customer Gender]]="M","Male", orders[[#This Row],[Customer Gender]]="F","Female", orders[[#This Row],[Customer Gender]]="O","Other", TRUE,"Unknown")</f>
        <v>Male</v>
      </c>
    </row>
    <row r="486" spans="1:15" x14ac:dyDescent="0.3">
      <c r="A486" t="s">
        <v>573</v>
      </c>
      <c r="B486" t="s">
        <v>44</v>
      </c>
      <c r="C486">
        <v>16</v>
      </c>
      <c r="D486">
        <v>18.3</v>
      </c>
      <c r="E486" s="1">
        <v>292.8</v>
      </c>
      <c r="F486" s="2">
        <v>45679</v>
      </c>
      <c r="G486" s="2">
        <v>45686</v>
      </c>
      <c r="H486" s="1" t="s">
        <v>27</v>
      </c>
      <c r="I486" s="1" t="s">
        <v>40</v>
      </c>
      <c r="J486" s="1">
        <v>5</v>
      </c>
      <c r="K486" s="1" t="s">
        <v>19</v>
      </c>
      <c r="L486" s="1" t="s">
        <v>158</v>
      </c>
      <c r="M486" s="1">
        <f>orders[[#This Row],[Ship Date]]-orders[[#This Row],[Order Date]]</f>
        <v>7</v>
      </c>
      <c r="N486" s="1">
        <f>WEEKNUM(orders[[#This Row],[Order Date]])</f>
        <v>4</v>
      </c>
      <c r="O486" s="1"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s="1">
        <v>50.400000000000006</v>
      </c>
      <c r="F487" s="2">
        <v>45679</v>
      </c>
      <c r="G487" s="2">
        <v>45684</v>
      </c>
      <c r="H487" s="1" t="s">
        <v>27</v>
      </c>
      <c r="I487" s="1" t="s">
        <v>40</v>
      </c>
      <c r="J487" s="1">
        <v>5</v>
      </c>
      <c r="K487" s="1" t="s">
        <v>19</v>
      </c>
      <c r="L487" s="1" t="s">
        <v>62</v>
      </c>
      <c r="M487" s="1">
        <f>orders[[#This Row],[Ship Date]]-orders[[#This Row],[Order Date]]</f>
        <v>5</v>
      </c>
      <c r="N487" s="1">
        <f>WEEKNUM(orders[[#This Row],[Order Date]])</f>
        <v>4</v>
      </c>
      <c r="O487" s="1"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s="1">
        <v>393.79999999999995</v>
      </c>
      <c r="F488" s="2">
        <v>45679</v>
      </c>
      <c r="G488" s="2">
        <v>45680</v>
      </c>
      <c r="H488" s="1" t="s">
        <v>23</v>
      </c>
      <c r="I488" s="1" t="s">
        <v>35</v>
      </c>
      <c r="J488" s="1">
        <v>4</v>
      </c>
      <c r="K488" s="1" t="s">
        <v>19</v>
      </c>
      <c r="L488" s="1" t="s">
        <v>103</v>
      </c>
      <c r="M488" s="1">
        <f>orders[[#This Row],[Ship Date]]-orders[[#This Row],[Order Date]]</f>
        <v>1</v>
      </c>
      <c r="N488" s="1">
        <f>WEEKNUM(orders[[#This Row],[Order Date]])</f>
        <v>4</v>
      </c>
      <c r="O488" s="1"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s="1">
        <v>64.900000000000006</v>
      </c>
      <c r="F489" s="2">
        <v>45679</v>
      </c>
      <c r="G489" s="2">
        <v>45680</v>
      </c>
      <c r="H489" s="1" t="s">
        <v>23</v>
      </c>
      <c r="I489" s="1" t="s">
        <v>18</v>
      </c>
      <c r="J489" s="1">
        <v>3</v>
      </c>
      <c r="K489" s="1" t="s">
        <v>19</v>
      </c>
      <c r="L489" s="1" t="s">
        <v>103</v>
      </c>
      <c r="M489" s="1">
        <f>orders[[#This Row],[Ship Date]]-orders[[#This Row],[Order Date]]</f>
        <v>1</v>
      </c>
      <c r="N489" s="1">
        <f>WEEKNUM(orders[[#This Row],[Order Date]])</f>
        <v>4</v>
      </c>
      <c r="O489" s="1" t="str" cm="1">
        <f t="array" ref="O489">_xlfn.IFS(orders[[#This Row],[Customer Gender]]="M","Male", orders[[#This Row],[Customer Gender]]="F","Female", orders[[#This Row],[Customer Gender]]="O","Other", TRUE,"Unknown")</f>
        <v>Male</v>
      </c>
    </row>
    <row r="490" spans="1:15" x14ac:dyDescent="0.3">
      <c r="A490" t="s">
        <v>577</v>
      </c>
      <c r="B490" t="s">
        <v>146</v>
      </c>
      <c r="C490">
        <v>1</v>
      </c>
      <c r="D490">
        <v>28.5</v>
      </c>
      <c r="E490" s="1">
        <v>28.5</v>
      </c>
      <c r="F490" s="2">
        <v>45679</v>
      </c>
      <c r="G490" s="2">
        <v>45681</v>
      </c>
      <c r="H490" s="1" t="s">
        <v>17</v>
      </c>
      <c r="I490" s="1" t="s">
        <v>35</v>
      </c>
      <c r="J490" s="1">
        <v>4</v>
      </c>
      <c r="K490" s="1" t="s">
        <v>19</v>
      </c>
      <c r="L490" s="1" t="s">
        <v>72</v>
      </c>
      <c r="M490" s="1">
        <f>orders[[#This Row],[Ship Date]]-orders[[#This Row],[Order Date]]</f>
        <v>2</v>
      </c>
      <c r="N490" s="1">
        <f>WEEKNUM(orders[[#This Row],[Order Date]])</f>
        <v>4</v>
      </c>
      <c r="O490" s="1"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s="1">
        <v>207</v>
      </c>
      <c r="F491" s="2">
        <v>45679</v>
      </c>
      <c r="G491" s="2">
        <v>45681</v>
      </c>
      <c r="H491" s="1" t="s">
        <v>27</v>
      </c>
      <c r="I491" s="1" t="s">
        <v>35</v>
      </c>
      <c r="J491" s="1">
        <v>4</v>
      </c>
      <c r="K491" s="1" t="s">
        <v>19</v>
      </c>
      <c r="L491" s="1" t="s">
        <v>74</v>
      </c>
      <c r="M491" s="1">
        <f>orders[[#This Row],[Ship Date]]-orders[[#This Row],[Order Date]]</f>
        <v>2</v>
      </c>
      <c r="N491" s="1">
        <f>WEEKNUM(orders[[#This Row],[Order Date]])</f>
        <v>4</v>
      </c>
      <c r="O491" s="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s="1">
        <v>82.4</v>
      </c>
      <c r="F492" s="2">
        <v>45679</v>
      </c>
      <c r="G492" s="2">
        <v>45680</v>
      </c>
      <c r="H492" s="1" t="s">
        <v>27</v>
      </c>
      <c r="I492" s="1" t="s">
        <v>35</v>
      </c>
      <c r="J492" s="1">
        <v>4</v>
      </c>
      <c r="K492" s="1" t="s">
        <v>19</v>
      </c>
      <c r="L492" s="1" t="s">
        <v>74</v>
      </c>
      <c r="M492" s="1">
        <f>orders[[#This Row],[Ship Date]]-orders[[#This Row],[Order Date]]</f>
        <v>1</v>
      </c>
      <c r="N492" s="1">
        <f>WEEKNUM(orders[[#This Row],[Order Date]])</f>
        <v>4</v>
      </c>
      <c r="O492" s="1"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s="1">
        <v>37.799999999999997</v>
      </c>
      <c r="F493" s="2">
        <v>45679</v>
      </c>
      <c r="G493" s="2">
        <v>45681</v>
      </c>
      <c r="H493" s="1" t="s">
        <v>27</v>
      </c>
      <c r="I493" s="1" t="s">
        <v>51</v>
      </c>
      <c r="J493" s="1">
        <v>1</v>
      </c>
      <c r="K493" s="1" t="s">
        <v>19</v>
      </c>
      <c r="L493" s="1" t="s">
        <v>77</v>
      </c>
      <c r="M493" s="1">
        <f>orders[[#This Row],[Ship Date]]-orders[[#This Row],[Order Date]]</f>
        <v>2</v>
      </c>
      <c r="N493" s="1">
        <f>WEEKNUM(orders[[#This Row],[Order Date]])</f>
        <v>4</v>
      </c>
      <c r="O493" s="1"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s="1">
        <v>85.2</v>
      </c>
      <c r="F494" s="2">
        <v>45679</v>
      </c>
      <c r="G494" s="2">
        <v>45681</v>
      </c>
      <c r="H494" s="1" t="s">
        <v>27</v>
      </c>
      <c r="I494" s="1" t="s">
        <v>70</v>
      </c>
      <c r="J494" s="1">
        <v>4</v>
      </c>
      <c r="K494" s="1" t="s">
        <v>19</v>
      </c>
      <c r="L494" s="1" t="s">
        <v>77</v>
      </c>
      <c r="M494" s="1">
        <f>orders[[#This Row],[Ship Date]]-orders[[#This Row],[Order Date]]</f>
        <v>2</v>
      </c>
      <c r="N494" s="1">
        <f>WEEKNUM(orders[[#This Row],[Order Date]])</f>
        <v>4</v>
      </c>
      <c r="O494" s="1"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s="1">
        <v>152</v>
      </c>
      <c r="F495" s="2">
        <v>45679</v>
      </c>
      <c r="G495" s="2">
        <v>45681</v>
      </c>
      <c r="H495" s="1" t="s">
        <v>27</v>
      </c>
      <c r="I495" s="1" t="s">
        <v>40</v>
      </c>
      <c r="J495" s="1">
        <v>4</v>
      </c>
      <c r="K495" s="1" t="s">
        <v>19</v>
      </c>
      <c r="L495" s="1" t="s">
        <v>77</v>
      </c>
      <c r="M495" s="1">
        <f>orders[[#This Row],[Ship Date]]-orders[[#This Row],[Order Date]]</f>
        <v>2</v>
      </c>
      <c r="N495" s="1">
        <f>WEEKNUM(orders[[#This Row],[Order Date]])</f>
        <v>4</v>
      </c>
      <c r="O495" s="1"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s="1">
        <v>333.6</v>
      </c>
      <c r="F496" s="2">
        <v>45679</v>
      </c>
      <c r="G496" s="2">
        <v>45680</v>
      </c>
      <c r="H496" s="1" t="s">
        <v>27</v>
      </c>
      <c r="I496" s="1" t="s">
        <v>40</v>
      </c>
      <c r="J496" s="1">
        <v>3</v>
      </c>
      <c r="K496" s="1" t="s">
        <v>19</v>
      </c>
      <c r="L496" s="1" t="s">
        <v>108</v>
      </c>
      <c r="M496" s="1">
        <f>orders[[#This Row],[Ship Date]]-orders[[#This Row],[Order Date]]</f>
        <v>1</v>
      </c>
      <c r="N496" s="1">
        <f>WEEKNUM(orders[[#This Row],[Order Date]])</f>
        <v>4</v>
      </c>
      <c r="O496" s="1"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s="1">
        <v>55.4</v>
      </c>
      <c r="F497" s="2">
        <v>45679</v>
      </c>
      <c r="G497" s="2">
        <v>45680</v>
      </c>
      <c r="H497" s="1" t="s">
        <v>27</v>
      </c>
      <c r="I497" s="1" t="s">
        <v>18</v>
      </c>
      <c r="J497" s="1">
        <v>3</v>
      </c>
      <c r="K497" s="1" t="s">
        <v>19</v>
      </c>
      <c r="L497" s="1" t="s">
        <v>82</v>
      </c>
      <c r="M497" s="1">
        <f>orders[[#This Row],[Ship Date]]-orders[[#This Row],[Order Date]]</f>
        <v>1</v>
      </c>
      <c r="N497" s="1">
        <f>WEEKNUM(orders[[#This Row],[Order Date]])</f>
        <v>4</v>
      </c>
      <c r="O497" s="1"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s="1">
        <v>249.60000000000002</v>
      </c>
      <c r="F498" s="2">
        <v>45679</v>
      </c>
      <c r="G498" s="2">
        <v>45680</v>
      </c>
      <c r="H498" s="1" t="s">
        <v>23</v>
      </c>
      <c r="I498" s="1" t="s">
        <v>51</v>
      </c>
      <c r="J498" s="1">
        <v>4</v>
      </c>
      <c r="K498" s="1" t="s">
        <v>19</v>
      </c>
      <c r="L498" s="1" t="s">
        <v>82</v>
      </c>
      <c r="M498" s="1">
        <f>orders[[#This Row],[Ship Date]]-orders[[#This Row],[Order Date]]</f>
        <v>1</v>
      </c>
      <c r="N498" s="1">
        <f>WEEKNUM(orders[[#This Row],[Order Date]])</f>
        <v>4</v>
      </c>
      <c r="O498" s="1" t="str" cm="1">
        <f t="array" ref="O498">_xlfn.IFS(orders[[#This Row],[Customer Gender]]="M","Male", orders[[#This Row],[Customer Gender]]="F","Female", orders[[#This Row],[Customer Gender]]="O","Other", TRUE,"Unknown")</f>
        <v>Male</v>
      </c>
    </row>
    <row r="499" spans="1:15" x14ac:dyDescent="0.3">
      <c r="A499" t="s">
        <v>586</v>
      </c>
      <c r="B499" t="s">
        <v>67</v>
      </c>
      <c r="C499">
        <v>2</v>
      </c>
      <c r="D499">
        <v>72.7</v>
      </c>
      <c r="E499" s="1">
        <v>145.4</v>
      </c>
      <c r="F499" s="2">
        <v>45679</v>
      </c>
      <c r="G499" s="2">
        <v>45683</v>
      </c>
      <c r="H499" s="1" t="s">
        <v>27</v>
      </c>
      <c r="I499" s="1" t="s">
        <v>70</v>
      </c>
      <c r="J499" s="1">
        <v>5</v>
      </c>
      <c r="K499" s="1" t="s">
        <v>19</v>
      </c>
      <c r="L499" s="1" t="s">
        <v>587</v>
      </c>
      <c r="M499" s="1">
        <f>orders[[#This Row],[Ship Date]]-orders[[#This Row],[Order Date]]</f>
        <v>4</v>
      </c>
      <c r="N499" s="1">
        <f>WEEKNUM(orders[[#This Row],[Order Date]])</f>
        <v>4</v>
      </c>
      <c r="O499" s="1"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s="1">
        <v>154.4</v>
      </c>
      <c r="F500" s="2">
        <v>45679</v>
      </c>
      <c r="G500" s="2">
        <v>45680</v>
      </c>
      <c r="H500" s="1" t="s">
        <v>23</v>
      </c>
      <c r="I500" s="1" t="s">
        <v>18</v>
      </c>
      <c r="J500" s="1">
        <v>5</v>
      </c>
      <c r="K500" s="1" t="s">
        <v>19</v>
      </c>
      <c r="L500" s="1" t="s">
        <v>147</v>
      </c>
      <c r="M500" s="1">
        <f>orders[[#This Row],[Ship Date]]-orders[[#This Row],[Order Date]]</f>
        <v>1</v>
      </c>
      <c r="N500" s="1">
        <f>WEEKNUM(orders[[#This Row],[Order Date]])</f>
        <v>4</v>
      </c>
      <c r="O500" s="1" t="str" cm="1">
        <f t="array" ref="O500">_xlfn.IFS(orders[[#This Row],[Customer Gender]]="M","Male", orders[[#This Row],[Customer Gender]]="F","Female", orders[[#This Row],[Customer Gender]]="O","Other", TRUE,"Unknown")</f>
        <v>Male</v>
      </c>
    </row>
    <row r="501" spans="1:15" x14ac:dyDescent="0.3">
      <c r="A501" t="s">
        <v>589</v>
      </c>
      <c r="B501" t="s">
        <v>44</v>
      </c>
      <c r="C501">
        <v>7</v>
      </c>
      <c r="D501">
        <v>33.1</v>
      </c>
      <c r="E501" s="1">
        <v>231.70000000000002</v>
      </c>
      <c r="F501" s="2">
        <v>45679</v>
      </c>
      <c r="G501" s="2">
        <v>45680</v>
      </c>
      <c r="H501" s="1" t="s">
        <v>89</v>
      </c>
      <c r="I501" s="1" t="s">
        <v>70</v>
      </c>
      <c r="J501" s="1">
        <v>1</v>
      </c>
      <c r="K501" s="1" t="s">
        <v>19</v>
      </c>
      <c r="L501" s="1" t="s">
        <v>33</v>
      </c>
      <c r="M501" s="1">
        <f>orders[[#This Row],[Ship Date]]-orders[[#This Row],[Order Date]]</f>
        <v>1</v>
      </c>
      <c r="N501" s="1">
        <f>WEEKNUM(orders[[#This Row],[Order Date]])</f>
        <v>4</v>
      </c>
      <c r="O501" s="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s="1">
        <v>61</v>
      </c>
      <c r="F502" s="2">
        <v>45679</v>
      </c>
      <c r="G502" s="2">
        <v>45679</v>
      </c>
      <c r="H502" s="1" t="s">
        <v>17</v>
      </c>
      <c r="I502" s="1" t="s">
        <v>35</v>
      </c>
      <c r="J502" s="1">
        <v>3</v>
      </c>
      <c r="K502" s="1" t="s">
        <v>19</v>
      </c>
      <c r="L502" s="1" t="s">
        <v>33</v>
      </c>
      <c r="M502" s="1">
        <f>orders[[#This Row],[Ship Date]]-orders[[#This Row],[Order Date]]</f>
        <v>0</v>
      </c>
      <c r="N502" s="1">
        <f>WEEKNUM(orders[[#This Row],[Order Date]])</f>
        <v>4</v>
      </c>
      <c r="O502" s="1"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s="1">
        <v>139.19999999999999</v>
      </c>
      <c r="F503" s="2">
        <v>45679</v>
      </c>
      <c r="G503" s="2">
        <v>45680</v>
      </c>
      <c r="H503" s="1" t="s">
        <v>23</v>
      </c>
      <c r="I503" s="1" t="s">
        <v>18</v>
      </c>
      <c r="J503" s="1">
        <v>3</v>
      </c>
      <c r="K503" s="1" t="s">
        <v>19</v>
      </c>
      <c r="L503" s="1" t="s">
        <v>33</v>
      </c>
      <c r="M503" s="1">
        <f>orders[[#This Row],[Ship Date]]-orders[[#This Row],[Order Date]]</f>
        <v>1</v>
      </c>
      <c r="N503" s="1">
        <f>WEEKNUM(orders[[#This Row],[Order Date]])</f>
        <v>4</v>
      </c>
      <c r="O503" s="1" t="str" cm="1">
        <f t="array" ref="O503">_xlfn.IFS(orders[[#This Row],[Customer Gender]]="M","Male", orders[[#This Row],[Customer Gender]]="F","Female", orders[[#This Row],[Customer Gender]]="O","Other", TRUE,"Unknown")</f>
        <v>Male</v>
      </c>
    </row>
    <row r="504" spans="1:15" x14ac:dyDescent="0.3">
      <c r="A504" t="s">
        <v>592</v>
      </c>
      <c r="B504" t="s">
        <v>67</v>
      </c>
      <c r="C504">
        <v>1</v>
      </c>
      <c r="D504">
        <v>42.4</v>
      </c>
      <c r="E504" s="1">
        <v>42.4</v>
      </c>
      <c r="F504" s="2">
        <v>45679</v>
      </c>
      <c r="G504" s="2">
        <v>45683</v>
      </c>
      <c r="H504" s="1" t="s">
        <v>27</v>
      </c>
      <c r="I504" s="1" t="s">
        <v>35</v>
      </c>
      <c r="J504" s="1">
        <v>4</v>
      </c>
      <c r="K504" s="1" t="s">
        <v>19</v>
      </c>
      <c r="L504" s="1" t="s">
        <v>33</v>
      </c>
      <c r="M504" s="1">
        <f>orders[[#This Row],[Ship Date]]-orders[[#This Row],[Order Date]]</f>
        <v>4</v>
      </c>
      <c r="N504" s="1">
        <f>WEEKNUM(orders[[#This Row],[Order Date]])</f>
        <v>4</v>
      </c>
      <c r="O504" s="1"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s="1">
        <v>32.200000000000003</v>
      </c>
      <c r="F505" s="2">
        <v>45679</v>
      </c>
      <c r="G505" s="2">
        <v>45682</v>
      </c>
      <c r="H505" s="1" t="s">
        <v>27</v>
      </c>
      <c r="I505" s="1" t="s">
        <v>40</v>
      </c>
      <c r="J505" s="1">
        <v>3</v>
      </c>
      <c r="K505" s="1" t="s">
        <v>19</v>
      </c>
      <c r="L505" s="1" t="s">
        <v>33</v>
      </c>
      <c r="M505" s="1">
        <f>orders[[#This Row],[Ship Date]]-orders[[#This Row],[Order Date]]</f>
        <v>3</v>
      </c>
      <c r="N505" s="1">
        <f>WEEKNUM(orders[[#This Row],[Order Date]])</f>
        <v>4</v>
      </c>
      <c r="O505" s="1"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s="1">
        <v>83</v>
      </c>
      <c r="F506" s="2">
        <v>45679</v>
      </c>
      <c r="G506" s="2">
        <v>45682</v>
      </c>
      <c r="H506" s="1" t="s">
        <v>27</v>
      </c>
      <c r="I506" s="1" t="s">
        <v>18</v>
      </c>
      <c r="J506" s="1">
        <v>5</v>
      </c>
      <c r="K506" s="1" t="s">
        <v>19</v>
      </c>
      <c r="L506" s="1" t="s">
        <v>33</v>
      </c>
      <c r="M506" s="1">
        <f>orders[[#This Row],[Ship Date]]-orders[[#This Row],[Order Date]]</f>
        <v>3</v>
      </c>
      <c r="N506" s="1">
        <f>WEEKNUM(orders[[#This Row],[Order Date]])</f>
        <v>4</v>
      </c>
      <c r="O506" s="1"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s="1">
        <v>530.1</v>
      </c>
      <c r="F507" s="2">
        <v>45679</v>
      </c>
      <c r="G507" s="2">
        <v>45683</v>
      </c>
      <c r="H507" s="1" t="s">
        <v>27</v>
      </c>
      <c r="I507" s="1" t="s">
        <v>51</v>
      </c>
      <c r="J507" s="1">
        <v>4</v>
      </c>
      <c r="K507" s="1" t="s">
        <v>19</v>
      </c>
      <c r="L507" s="1" t="s">
        <v>33</v>
      </c>
      <c r="M507" s="1">
        <f>orders[[#This Row],[Ship Date]]-orders[[#This Row],[Order Date]]</f>
        <v>4</v>
      </c>
      <c r="N507" s="1">
        <f>WEEKNUM(orders[[#This Row],[Order Date]])</f>
        <v>4</v>
      </c>
      <c r="O507" s="1"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s="1">
        <v>57.1</v>
      </c>
      <c r="F508" s="2">
        <v>45679</v>
      </c>
      <c r="G508" s="2">
        <v>45682</v>
      </c>
      <c r="H508" s="1" t="s">
        <v>27</v>
      </c>
      <c r="I508" s="1" t="s">
        <v>35</v>
      </c>
      <c r="J508" s="1">
        <v>4</v>
      </c>
      <c r="K508" s="1" t="s">
        <v>19</v>
      </c>
      <c r="L508" s="1" t="s">
        <v>33</v>
      </c>
      <c r="M508" s="1">
        <f>orders[[#This Row],[Ship Date]]-orders[[#This Row],[Order Date]]</f>
        <v>3</v>
      </c>
      <c r="N508" s="1">
        <f>WEEKNUM(orders[[#This Row],[Order Date]])</f>
        <v>4</v>
      </c>
      <c r="O508" s="1"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s="1">
        <v>57.2</v>
      </c>
      <c r="F509" s="2">
        <v>45679</v>
      </c>
      <c r="G509" s="2">
        <v>45681</v>
      </c>
      <c r="H509" s="1" t="s">
        <v>23</v>
      </c>
      <c r="I509" s="1" t="s">
        <v>35</v>
      </c>
      <c r="J509" s="1">
        <v>4</v>
      </c>
      <c r="K509" s="1" t="s">
        <v>19</v>
      </c>
      <c r="L509" s="1" t="s">
        <v>33</v>
      </c>
      <c r="M509" s="1">
        <f>orders[[#This Row],[Ship Date]]-orders[[#This Row],[Order Date]]</f>
        <v>2</v>
      </c>
      <c r="N509" s="1">
        <f>WEEKNUM(orders[[#This Row],[Order Date]])</f>
        <v>4</v>
      </c>
      <c r="O509" s="1" t="str" cm="1">
        <f t="array" ref="O509">_xlfn.IFS(orders[[#This Row],[Customer Gender]]="M","Male", orders[[#This Row],[Customer Gender]]="F","Female", orders[[#This Row],[Customer Gender]]="O","Other", TRUE,"Unknown")</f>
        <v>Male</v>
      </c>
    </row>
    <row r="510" spans="1:15" x14ac:dyDescent="0.3">
      <c r="A510" t="s">
        <v>598</v>
      </c>
      <c r="B510" t="s">
        <v>44</v>
      </c>
      <c r="C510">
        <v>2</v>
      </c>
      <c r="D510">
        <v>35.1</v>
      </c>
      <c r="E510" s="1">
        <v>70.2</v>
      </c>
      <c r="F510" s="2">
        <v>45679</v>
      </c>
      <c r="G510" s="2">
        <v>45680</v>
      </c>
      <c r="H510" s="1" t="s">
        <v>23</v>
      </c>
      <c r="I510" s="1" t="s">
        <v>35</v>
      </c>
      <c r="J510" s="1">
        <v>4</v>
      </c>
      <c r="K510" s="1" t="s">
        <v>19</v>
      </c>
      <c r="L510" s="1" t="s">
        <v>55</v>
      </c>
      <c r="M510" s="1">
        <f>orders[[#This Row],[Ship Date]]-orders[[#This Row],[Order Date]]</f>
        <v>1</v>
      </c>
      <c r="N510" s="1">
        <f>WEEKNUM(orders[[#This Row],[Order Date]])</f>
        <v>4</v>
      </c>
      <c r="O510" s="1" t="str" cm="1">
        <f t="array" ref="O510">_xlfn.IFS(orders[[#This Row],[Customer Gender]]="M","Male", orders[[#This Row],[Customer Gender]]="F","Female", orders[[#This Row],[Customer Gender]]="O","Other", TRUE,"Unknown")</f>
        <v>Male</v>
      </c>
    </row>
    <row r="511" spans="1:15" x14ac:dyDescent="0.3">
      <c r="A511" t="s">
        <v>599</v>
      </c>
      <c r="B511" t="s">
        <v>22</v>
      </c>
      <c r="C511">
        <v>1</v>
      </c>
      <c r="D511">
        <v>52.1</v>
      </c>
      <c r="E511" s="1">
        <v>52.1</v>
      </c>
      <c r="F511" s="2">
        <v>45679</v>
      </c>
      <c r="G511" s="2">
        <v>45681</v>
      </c>
      <c r="H511" s="1" t="s">
        <v>27</v>
      </c>
      <c r="I511" s="1" t="s">
        <v>70</v>
      </c>
      <c r="J511" s="1">
        <v>3</v>
      </c>
      <c r="K511" s="1" t="s">
        <v>19</v>
      </c>
      <c r="L511" s="1" t="s">
        <v>62</v>
      </c>
      <c r="M511" s="1">
        <f>orders[[#This Row],[Ship Date]]-orders[[#This Row],[Order Date]]</f>
        <v>2</v>
      </c>
      <c r="N511" s="1">
        <f>WEEKNUM(orders[[#This Row],[Order Date]])</f>
        <v>4</v>
      </c>
      <c r="O511" s="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s="1">
        <v>179.39999999999998</v>
      </c>
      <c r="F512" s="2">
        <v>45679</v>
      </c>
      <c r="G512" s="2">
        <v>45681</v>
      </c>
      <c r="H512" s="1" t="s">
        <v>27</v>
      </c>
      <c r="I512" s="1" t="s">
        <v>70</v>
      </c>
      <c r="J512" s="1">
        <v>3</v>
      </c>
      <c r="K512" s="1" t="s">
        <v>19</v>
      </c>
      <c r="L512" s="1" t="s">
        <v>62</v>
      </c>
      <c r="M512" s="1">
        <f>orders[[#This Row],[Ship Date]]-orders[[#This Row],[Order Date]]</f>
        <v>2</v>
      </c>
      <c r="N512" s="1">
        <f>WEEKNUM(orders[[#This Row],[Order Date]])</f>
        <v>4</v>
      </c>
      <c r="O512" s="1"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s="1">
        <v>333.2</v>
      </c>
      <c r="F513" s="2">
        <v>45679</v>
      </c>
      <c r="G513" s="2">
        <v>45679</v>
      </c>
      <c r="H513" s="1" t="s">
        <v>17</v>
      </c>
      <c r="I513" s="1" t="s">
        <v>40</v>
      </c>
      <c r="J513" s="1">
        <v>4</v>
      </c>
      <c r="K513" s="1" t="s">
        <v>19</v>
      </c>
      <c r="L513" s="1" t="s">
        <v>62</v>
      </c>
      <c r="M513" s="1">
        <f>orders[[#This Row],[Ship Date]]-orders[[#This Row],[Order Date]]</f>
        <v>0</v>
      </c>
      <c r="N513" s="1">
        <f>WEEKNUM(orders[[#This Row],[Order Date]])</f>
        <v>4</v>
      </c>
      <c r="O513" s="1"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s="1">
        <v>495.59999999999997</v>
      </c>
      <c r="F514" s="2">
        <v>45679</v>
      </c>
      <c r="G514" s="2">
        <v>45680</v>
      </c>
      <c r="H514" s="1" t="s">
        <v>27</v>
      </c>
      <c r="I514" s="1" t="s">
        <v>35</v>
      </c>
      <c r="J514" s="1">
        <v>4</v>
      </c>
      <c r="K514" s="1" t="s">
        <v>19</v>
      </c>
      <c r="L514" s="1" t="s">
        <v>62</v>
      </c>
      <c r="M514" s="1">
        <f>orders[[#This Row],[Ship Date]]-orders[[#This Row],[Order Date]]</f>
        <v>1</v>
      </c>
      <c r="N514" s="1">
        <f>WEEKNUM(orders[[#This Row],[Order Date]])</f>
        <v>4</v>
      </c>
      <c r="O514" s="1" t="str" cm="1">
        <f t="array" ref="O514">_xlfn.IFS(orders[[#This Row],[Customer Gender]]="M","Male", orders[[#This Row],[Customer Gender]]="F","Female", orders[[#This Row],[Customer Gender]]="O","Other", TRUE,"Unknown")</f>
        <v>Female</v>
      </c>
    </row>
    <row r="515" spans="1:15" x14ac:dyDescent="0.3">
      <c r="A515" t="s">
        <v>603</v>
      </c>
      <c r="B515" t="s">
        <v>44</v>
      </c>
      <c r="C515">
        <v>5</v>
      </c>
      <c r="D515">
        <v>16</v>
      </c>
      <c r="E515" s="1">
        <v>80</v>
      </c>
      <c r="F515" s="2">
        <v>45679</v>
      </c>
      <c r="G515" s="2">
        <v>45681</v>
      </c>
      <c r="H515" s="1" t="s">
        <v>23</v>
      </c>
      <c r="I515" s="1" t="s">
        <v>70</v>
      </c>
      <c r="J515" s="1">
        <v>3</v>
      </c>
      <c r="K515" s="1" t="s">
        <v>19</v>
      </c>
      <c r="L515" s="1" t="s">
        <v>72</v>
      </c>
      <c r="M515" s="1">
        <f>orders[[#This Row],[Ship Date]]-orders[[#This Row],[Order Date]]</f>
        <v>2</v>
      </c>
      <c r="N515" s="1">
        <f>WEEKNUM(orders[[#This Row],[Order Date]])</f>
        <v>4</v>
      </c>
      <c r="O515" s="1" t="str" cm="1">
        <f t="array" ref="O515">_xlfn.IFS(orders[[#This Row],[Customer Gender]]="M","Male", orders[[#This Row],[Customer Gender]]="F","Female", orders[[#This Row],[Customer Gender]]="O","Other", TRUE,"Unknown")</f>
        <v>Male</v>
      </c>
    </row>
    <row r="516" spans="1:15" x14ac:dyDescent="0.3">
      <c r="A516" t="s">
        <v>604</v>
      </c>
      <c r="B516" t="s">
        <v>54</v>
      </c>
      <c r="C516">
        <v>2</v>
      </c>
      <c r="D516">
        <v>20.8</v>
      </c>
      <c r="E516" s="1">
        <v>41.6</v>
      </c>
      <c r="F516" s="2">
        <v>45680</v>
      </c>
      <c r="G516" s="2">
        <v>45682</v>
      </c>
      <c r="H516" s="1" t="s">
        <v>23</v>
      </c>
      <c r="I516" s="1" t="s">
        <v>18</v>
      </c>
      <c r="J516" s="1">
        <v>5</v>
      </c>
      <c r="K516" s="1" t="s">
        <v>19</v>
      </c>
      <c r="L516" s="1" t="s">
        <v>77</v>
      </c>
      <c r="M516" s="1">
        <f>orders[[#This Row],[Ship Date]]-orders[[#This Row],[Order Date]]</f>
        <v>2</v>
      </c>
      <c r="N516" s="1">
        <f>WEEKNUM(orders[[#This Row],[Order Date]])</f>
        <v>4</v>
      </c>
      <c r="O516" s="1" t="str" cm="1">
        <f t="array" ref="O516">_xlfn.IFS(orders[[#This Row],[Customer Gender]]="M","Male", orders[[#This Row],[Customer Gender]]="F","Female", orders[[#This Row],[Customer Gender]]="O","Other", TRUE,"Unknown")</f>
        <v>Male</v>
      </c>
    </row>
    <row r="517" spans="1:15" x14ac:dyDescent="0.3">
      <c r="A517" t="s">
        <v>605</v>
      </c>
      <c r="B517" t="s">
        <v>44</v>
      </c>
      <c r="C517">
        <v>28</v>
      </c>
      <c r="D517">
        <v>27.1</v>
      </c>
      <c r="E517" s="1">
        <v>758.80000000000007</v>
      </c>
      <c r="F517" s="2">
        <v>45680</v>
      </c>
      <c r="G517" s="2">
        <v>45681</v>
      </c>
      <c r="H517" s="1" t="s">
        <v>17</v>
      </c>
      <c r="I517" s="1" t="s">
        <v>51</v>
      </c>
      <c r="J517" s="1">
        <v>5</v>
      </c>
      <c r="K517" s="1" t="s">
        <v>19</v>
      </c>
      <c r="L517" s="1" t="s">
        <v>77</v>
      </c>
      <c r="M517" s="1">
        <f>orders[[#This Row],[Ship Date]]-orders[[#This Row],[Order Date]]</f>
        <v>1</v>
      </c>
      <c r="N517" s="1">
        <f>WEEKNUM(orders[[#This Row],[Order Date]])</f>
        <v>4</v>
      </c>
      <c r="O517" s="1"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s="1">
        <v>77.8</v>
      </c>
      <c r="F518" s="2">
        <v>45680</v>
      </c>
      <c r="G518" s="2">
        <v>45682</v>
      </c>
      <c r="H518" s="1" t="s">
        <v>27</v>
      </c>
      <c r="I518" s="1" t="s">
        <v>18</v>
      </c>
      <c r="J518" s="1">
        <v>4</v>
      </c>
      <c r="K518" s="1" t="s">
        <v>19</v>
      </c>
      <c r="L518" s="1" t="s">
        <v>108</v>
      </c>
      <c r="M518" s="1">
        <f>orders[[#This Row],[Ship Date]]-orders[[#This Row],[Order Date]]</f>
        <v>2</v>
      </c>
      <c r="N518" s="1">
        <f>WEEKNUM(orders[[#This Row],[Order Date]])</f>
        <v>4</v>
      </c>
      <c r="O518" s="1"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s="1">
        <v>21.6</v>
      </c>
      <c r="F519" s="2">
        <v>45680</v>
      </c>
      <c r="G519" s="2">
        <v>45683</v>
      </c>
      <c r="H519" s="1" t="s">
        <v>27</v>
      </c>
      <c r="I519" s="1" t="s">
        <v>35</v>
      </c>
      <c r="J519" s="1">
        <v>5</v>
      </c>
      <c r="K519" s="1" t="s">
        <v>19</v>
      </c>
      <c r="L519" s="1" t="s">
        <v>608</v>
      </c>
      <c r="M519" s="1">
        <f>orders[[#This Row],[Ship Date]]-orders[[#This Row],[Order Date]]</f>
        <v>3</v>
      </c>
      <c r="N519" s="1">
        <f>WEEKNUM(orders[[#This Row],[Order Date]])</f>
        <v>4</v>
      </c>
      <c r="O519" s="1"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s="1">
        <v>629.19999999999993</v>
      </c>
      <c r="F520" s="2">
        <v>45680</v>
      </c>
      <c r="G520" s="2">
        <v>45684</v>
      </c>
      <c r="H520" s="1" t="s">
        <v>27</v>
      </c>
      <c r="I520" s="1" t="s">
        <v>18</v>
      </c>
      <c r="J520" s="1">
        <v>4</v>
      </c>
      <c r="K520" s="1" t="s">
        <v>19</v>
      </c>
      <c r="L520" s="1" t="s">
        <v>115</v>
      </c>
      <c r="M520" s="1">
        <f>orders[[#This Row],[Ship Date]]-orders[[#This Row],[Order Date]]</f>
        <v>4</v>
      </c>
      <c r="N520" s="1">
        <f>WEEKNUM(orders[[#This Row],[Order Date]])</f>
        <v>4</v>
      </c>
      <c r="O520" s="1"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s="1">
        <v>87.6</v>
      </c>
      <c r="F521" s="2">
        <v>45680</v>
      </c>
      <c r="G521" s="2">
        <v>45683</v>
      </c>
      <c r="H521" s="1" t="s">
        <v>27</v>
      </c>
      <c r="I521" s="1" t="s">
        <v>35</v>
      </c>
      <c r="J521" s="1">
        <v>3</v>
      </c>
      <c r="K521" s="1" t="s">
        <v>19</v>
      </c>
      <c r="L521" s="1" t="s">
        <v>28</v>
      </c>
      <c r="M521" s="1">
        <f>orders[[#This Row],[Ship Date]]-orders[[#This Row],[Order Date]]</f>
        <v>3</v>
      </c>
      <c r="N521" s="1">
        <f>WEEKNUM(orders[[#This Row],[Order Date]])</f>
        <v>4</v>
      </c>
      <c r="O521" s="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s="1">
        <v>50.2</v>
      </c>
      <c r="F522" s="2">
        <v>45680</v>
      </c>
      <c r="G522" s="2">
        <v>45681</v>
      </c>
      <c r="H522" s="1" t="s">
        <v>23</v>
      </c>
      <c r="I522" s="1" t="s">
        <v>18</v>
      </c>
      <c r="J522" s="1">
        <v>3</v>
      </c>
      <c r="K522" s="1" t="s">
        <v>19</v>
      </c>
      <c r="L522" s="1" t="s">
        <v>28</v>
      </c>
      <c r="M522" s="1">
        <f>orders[[#This Row],[Ship Date]]-orders[[#This Row],[Order Date]]</f>
        <v>1</v>
      </c>
      <c r="N522" s="1">
        <f>WEEKNUM(orders[[#This Row],[Order Date]])</f>
        <v>4</v>
      </c>
      <c r="O522" s="1"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s="1">
        <v>196.79999999999998</v>
      </c>
      <c r="F523" s="2">
        <v>45680</v>
      </c>
      <c r="G523" s="2">
        <v>45680</v>
      </c>
      <c r="H523" s="1" t="s">
        <v>27</v>
      </c>
      <c r="I523" s="1" t="s">
        <v>40</v>
      </c>
      <c r="J523" s="1">
        <v>3</v>
      </c>
      <c r="K523" s="1" t="s">
        <v>19</v>
      </c>
      <c r="L523" s="1" t="s">
        <v>33</v>
      </c>
      <c r="M523" s="1">
        <f>orders[[#This Row],[Ship Date]]-orders[[#This Row],[Order Date]]</f>
        <v>0</v>
      </c>
      <c r="N523" s="1">
        <f>WEEKNUM(orders[[#This Row],[Order Date]])</f>
        <v>4</v>
      </c>
      <c r="O523" s="1"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s="1">
        <v>114.6</v>
      </c>
      <c r="F524" s="2">
        <v>45680</v>
      </c>
      <c r="G524" s="2">
        <v>45680</v>
      </c>
      <c r="H524" s="1" t="s">
        <v>17</v>
      </c>
      <c r="I524" s="1" t="s">
        <v>18</v>
      </c>
      <c r="J524" s="1">
        <v>4</v>
      </c>
      <c r="K524" s="1" t="s">
        <v>19</v>
      </c>
      <c r="L524" s="1" t="s">
        <v>33</v>
      </c>
      <c r="M524" s="1">
        <f>orders[[#This Row],[Ship Date]]-orders[[#This Row],[Order Date]]</f>
        <v>0</v>
      </c>
      <c r="N524" s="1">
        <f>WEEKNUM(orders[[#This Row],[Order Date]])</f>
        <v>4</v>
      </c>
      <c r="O524" s="1"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s="1">
        <v>89.6</v>
      </c>
      <c r="F525" s="2">
        <v>45680</v>
      </c>
      <c r="G525" s="2">
        <v>45681</v>
      </c>
      <c r="H525" s="1" t="s">
        <v>27</v>
      </c>
      <c r="I525" s="1" t="s">
        <v>40</v>
      </c>
      <c r="J525" s="1">
        <v>5</v>
      </c>
      <c r="K525" s="1" t="s">
        <v>19</v>
      </c>
      <c r="L525" s="1" t="s">
        <v>33</v>
      </c>
      <c r="M525" s="1">
        <f>orders[[#This Row],[Ship Date]]-orders[[#This Row],[Order Date]]</f>
        <v>1</v>
      </c>
      <c r="N525" s="1">
        <f>WEEKNUM(orders[[#This Row],[Order Date]])</f>
        <v>4</v>
      </c>
      <c r="O525" s="1"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s="1">
        <v>411.3</v>
      </c>
      <c r="F526" s="2">
        <v>45680</v>
      </c>
      <c r="G526" s="2">
        <v>45681</v>
      </c>
      <c r="H526" s="1" t="s">
        <v>27</v>
      </c>
      <c r="I526" s="1" t="s">
        <v>18</v>
      </c>
      <c r="J526" s="1">
        <v>4</v>
      </c>
      <c r="K526" s="1" t="s">
        <v>19</v>
      </c>
      <c r="L526" s="1" t="s">
        <v>33</v>
      </c>
      <c r="M526" s="1">
        <f>orders[[#This Row],[Ship Date]]-orders[[#This Row],[Order Date]]</f>
        <v>1</v>
      </c>
      <c r="N526" s="1">
        <f>WEEKNUM(orders[[#This Row],[Order Date]])</f>
        <v>4</v>
      </c>
      <c r="O526" s="1"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s="1">
        <v>58.6</v>
      </c>
      <c r="F527" s="2">
        <v>45680</v>
      </c>
      <c r="G527" s="2">
        <v>45681</v>
      </c>
      <c r="H527" s="1" t="s">
        <v>23</v>
      </c>
      <c r="I527" s="1" t="s">
        <v>35</v>
      </c>
      <c r="J527" s="1">
        <v>4</v>
      </c>
      <c r="K527" s="1" t="s">
        <v>19</v>
      </c>
      <c r="L527" s="1" t="s">
        <v>33</v>
      </c>
      <c r="M527" s="1">
        <f>orders[[#This Row],[Ship Date]]-orders[[#This Row],[Order Date]]</f>
        <v>1</v>
      </c>
      <c r="N527" s="1">
        <f>WEEKNUM(orders[[#This Row],[Order Date]])</f>
        <v>4</v>
      </c>
      <c r="O527" s="1" t="str" cm="1">
        <f t="array" ref="O527">_xlfn.IFS(orders[[#This Row],[Customer Gender]]="M","Male", orders[[#This Row],[Customer Gender]]="F","Female", orders[[#This Row],[Customer Gender]]="O","Other", TRUE,"Unknown")</f>
        <v>Male</v>
      </c>
    </row>
    <row r="528" spans="1:15" x14ac:dyDescent="0.3">
      <c r="A528" t="s">
        <v>617</v>
      </c>
      <c r="B528" t="s">
        <v>146</v>
      </c>
      <c r="C528">
        <v>22</v>
      </c>
      <c r="D528">
        <v>74</v>
      </c>
      <c r="E528" s="1">
        <v>1628</v>
      </c>
      <c r="F528" s="2">
        <v>45680</v>
      </c>
      <c r="G528" s="2">
        <v>45681</v>
      </c>
      <c r="H528" s="1" t="s">
        <v>23</v>
      </c>
      <c r="I528" s="1" t="s">
        <v>18</v>
      </c>
      <c r="J528" s="1">
        <v>5</v>
      </c>
      <c r="K528" s="1" t="s">
        <v>19</v>
      </c>
      <c r="L528" s="1" t="s">
        <v>33</v>
      </c>
      <c r="M528" s="1">
        <f>orders[[#This Row],[Ship Date]]-orders[[#This Row],[Order Date]]</f>
        <v>1</v>
      </c>
      <c r="N528" s="1">
        <f>WEEKNUM(orders[[#This Row],[Order Date]])</f>
        <v>4</v>
      </c>
      <c r="O528" s="1"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s="1">
        <v>78.400000000000006</v>
      </c>
      <c r="F529" s="2">
        <v>45680</v>
      </c>
      <c r="G529" s="2">
        <v>45682</v>
      </c>
      <c r="H529" s="1" t="s">
        <v>27</v>
      </c>
      <c r="I529" s="1" t="s">
        <v>35</v>
      </c>
      <c r="J529" s="1">
        <v>4</v>
      </c>
      <c r="K529" s="1" t="s">
        <v>19</v>
      </c>
      <c r="L529" s="1" t="s">
        <v>33</v>
      </c>
      <c r="M529" s="1">
        <f>orders[[#This Row],[Ship Date]]-orders[[#This Row],[Order Date]]</f>
        <v>2</v>
      </c>
      <c r="N529" s="1">
        <f>WEEKNUM(orders[[#This Row],[Order Date]])</f>
        <v>4</v>
      </c>
      <c r="O529" s="1"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s="1">
        <v>1065.9000000000001</v>
      </c>
      <c r="F530" s="2">
        <v>45680</v>
      </c>
      <c r="G530" s="2">
        <v>45681</v>
      </c>
      <c r="H530" s="1" t="s">
        <v>27</v>
      </c>
      <c r="I530" s="1" t="s">
        <v>40</v>
      </c>
      <c r="J530" s="1">
        <v>3</v>
      </c>
      <c r="K530" s="1" t="s">
        <v>19</v>
      </c>
      <c r="L530" s="1" t="s">
        <v>33</v>
      </c>
      <c r="M530" s="1">
        <f>orders[[#This Row],[Ship Date]]-orders[[#This Row],[Order Date]]</f>
        <v>1</v>
      </c>
      <c r="N530" s="1">
        <f>WEEKNUM(orders[[#This Row],[Order Date]])</f>
        <v>4</v>
      </c>
      <c r="O530" s="1"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s="1">
        <v>120.2</v>
      </c>
      <c r="F531" s="2">
        <v>45680</v>
      </c>
      <c r="G531" s="2">
        <v>45681</v>
      </c>
      <c r="H531" s="1" t="s">
        <v>27</v>
      </c>
      <c r="I531" s="1" t="s">
        <v>51</v>
      </c>
      <c r="J531" s="1">
        <v>4</v>
      </c>
      <c r="K531" s="1" t="s">
        <v>19</v>
      </c>
      <c r="L531" s="1" t="s">
        <v>33</v>
      </c>
      <c r="M531" s="1">
        <f>orders[[#This Row],[Ship Date]]-orders[[#This Row],[Order Date]]</f>
        <v>1</v>
      </c>
      <c r="N531" s="1">
        <f>WEEKNUM(orders[[#This Row],[Order Date]])</f>
        <v>4</v>
      </c>
      <c r="O531" s="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s="1">
        <v>44.8</v>
      </c>
      <c r="F532" s="2">
        <v>45680</v>
      </c>
      <c r="G532" s="2">
        <v>45681</v>
      </c>
      <c r="H532" s="1" t="s">
        <v>27</v>
      </c>
      <c r="I532" s="1" t="s">
        <v>51</v>
      </c>
      <c r="J532" s="1">
        <v>3</v>
      </c>
      <c r="K532" s="1" t="s">
        <v>19</v>
      </c>
      <c r="L532" s="1" t="s">
        <v>33</v>
      </c>
      <c r="M532" s="1">
        <f>orders[[#This Row],[Ship Date]]-orders[[#This Row],[Order Date]]</f>
        <v>1</v>
      </c>
      <c r="N532" s="1">
        <f>WEEKNUM(orders[[#This Row],[Order Date]])</f>
        <v>4</v>
      </c>
      <c r="O532" s="1"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s="1">
        <v>45.8</v>
      </c>
      <c r="F533" s="2">
        <v>45680</v>
      </c>
      <c r="G533" s="2">
        <v>45681</v>
      </c>
      <c r="H533" s="1" t="s">
        <v>27</v>
      </c>
      <c r="I533" s="1" t="s">
        <v>18</v>
      </c>
      <c r="J533" s="1">
        <v>4</v>
      </c>
      <c r="K533" s="1" t="s">
        <v>19</v>
      </c>
      <c r="L533" s="1" t="s">
        <v>55</v>
      </c>
      <c r="M533" s="1">
        <f>orders[[#This Row],[Ship Date]]-orders[[#This Row],[Order Date]]</f>
        <v>1</v>
      </c>
      <c r="N533" s="1">
        <f>WEEKNUM(orders[[#This Row],[Order Date]])</f>
        <v>4</v>
      </c>
      <c r="O533" s="1"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s="1">
        <v>75.2</v>
      </c>
      <c r="F534" s="2">
        <v>45680</v>
      </c>
      <c r="G534" s="2">
        <v>45683</v>
      </c>
      <c r="H534" s="1" t="s">
        <v>27</v>
      </c>
      <c r="I534" s="1" t="s">
        <v>18</v>
      </c>
      <c r="J534" s="1">
        <v>4</v>
      </c>
      <c r="K534" s="1" t="s">
        <v>19</v>
      </c>
      <c r="L534" s="1" t="s">
        <v>55</v>
      </c>
      <c r="M534" s="1">
        <f>orders[[#This Row],[Ship Date]]-orders[[#This Row],[Order Date]]</f>
        <v>3</v>
      </c>
      <c r="N534" s="1">
        <f>WEEKNUM(orders[[#This Row],[Order Date]])</f>
        <v>4</v>
      </c>
      <c r="O534" s="1"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s="1">
        <v>42.4</v>
      </c>
      <c r="F535" s="2">
        <v>45680</v>
      </c>
      <c r="G535" s="2">
        <v>45681</v>
      </c>
      <c r="H535" s="1" t="s">
        <v>27</v>
      </c>
      <c r="I535" s="1" t="s">
        <v>51</v>
      </c>
      <c r="J535" s="1">
        <v>5</v>
      </c>
      <c r="K535" s="1" t="s">
        <v>19</v>
      </c>
      <c r="L535" s="1" t="s">
        <v>55</v>
      </c>
      <c r="M535" s="1">
        <f>orders[[#This Row],[Ship Date]]-orders[[#This Row],[Order Date]]</f>
        <v>1</v>
      </c>
      <c r="N535" s="1">
        <f>WEEKNUM(orders[[#This Row],[Order Date]])</f>
        <v>4</v>
      </c>
      <c r="O535" s="1"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s="1">
        <v>39.200000000000003</v>
      </c>
      <c r="F536" s="2">
        <v>45680</v>
      </c>
      <c r="G536" s="2">
        <v>45684</v>
      </c>
      <c r="H536" s="1" t="s">
        <v>27</v>
      </c>
      <c r="I536" s="1" t="s">
        <v>40</v>
      </c>
      <c r="J536" s="1">
        <v>4</v>
      </c>
      <c r="K536" s="1" t="s">
        <v>19</v>
      </c>
      <c r="L536" s="1" t="s">
        <v>59</v>
      </c>
      <c r="M536" s="1">
        <f>orders[[#This Row],[Ship Date]]-orders[[#This Row],[Order Date]]</f>
        <v>4</v>
      </c>
      <c r="N536" s="1">
        <f>WEEKNUM(orders[[#This Row],[Order Date]])</f>
        <v>4</v>
      </c>
      <c r="O536" s="1"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s="1">
        <v>90.5</v>
      </c>
      <c r="F537" s="2">
        <v>45680</v>
      </c>
      <c r="G537" s="2">
        <v>45683</v>
      </c>
      <c r="H537" s="1" t="s">
        <v>27</v>
      </c>
      <c r="I537" s="1" t="s">
        <v>40</v>
      </c>
      <c r="J537" s="1">
        <v>4</v>
      </c>
      <c r="K537" s="1" t="s">
        <v>19</v>
      </c>
      <c r="L537" s="1" t="s">
        <v>59</v>
      </c>
      <c r="M537" s="1">
        <f>orders[[#This Row],[Ship Date]]-orders[[#This Row],[Order Date]]</f>
        <v>3</v>
      </c>
      <c r="N537" s="1">
        <f>WEEKNUM(orders[[#This Row],[Order Date]])</f>
        <v>4</v>
      </c>
      <c r="O537" s="1"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s="1">
        <v>372.9</v>
      </c>
      <c r="F538" s="2">
        <v>45680</v>
      </c>
      <c r="G538" s="2">
        <v>45681</v>
      </c>
      <c r="H538" s="1" t="s">
        <v>23</v>
      </c>
      <c r="I538" s="1" t="s">
        <v>40</v>
      </c>
      <c r="J538" s="1">
        <v>3</v>
      </c>
      <c r="K538" s="1" t="s">
        <v>19</v>
      </c>
      <c r="L538" s="1" t="s">
        <v>59</v>
      </c>
      <c r="M538" s="1">
        <f>orders[[#This Row],[Ship Date]]-orders[[#This Row],[Order Date]]</f>
        <v>1</v>
      </c>
      <c r="N538" s="1">
        <f>WEEKNUM(orders[[#This Row],[Order Date]])</f>
        <v>4</v>
      </c>
      <c r="O538" s="1"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s="1">
        <v>65.599999999999994</v>
      </c>
      <c r="F539" s="2">
        <v>45680</v>
      </c>
      <c r="G539" s="2">
        <v>45682</v>
      </c>
      <c r="H539" s="1" t="s">
        <v>27</v>
      </c>
      <c r="I539" s="1" t="s">
        <v>70</v>
      </c>
      <c r="J539" s="1">
        <v>2</v>
      </c>
      <c r="K539" s="1" t="s">
        <v>19</v>
      </c>
      <c r="L539" s="1" t="s">
        <v>62</v>
      </c>
      <c r="M539" s="1">
        <f>orders[[#This Row],[Ship Date]]-orders[[#This Row],[Order Date]]</f>
        <v>2</v>
      </c>
      <c r="N539" s="1">
        <f>WEEKNUM(orders[[#This Row],[Order Date]])</f>
        <v>4</v>
      </c>
      <c r="O539" s="1"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s="1">
        <v>49.9</v>
      </c>
      <c r="F540" s="2">
        <v>45680</v>
      </c>
      <c r="G540" s="2">
        <v>45681</v>
      </c>
      <c r="H540" s="1" t="s">
        <v>23</v>
      </c>
      <c r="I540" s="1" t="s">
        <v>51</v>
      </c>
      <c r="J540" s="1">
        <v>3</v>
      </c>
      <c r="K540" s="1" t="s">
        <v>19</v>
      </c>
      <c r="L540" s="1" t="s">
        <v>62</v>
      </c>
      <c r="M540" s="1">
        <f>orders[[#This Row],[Ship Date]]-orders[[#This Row],[Order Date]]</f>
        <v>1</v>
      </c>
      <c r="N540" s="1">
        <f>WEEKNUM(orders[[#This Row],[Order Date]])</f>
        <v>4</v>
      </c>
      <c r="O540" s="1" t="str" cm="1">
        <f t="array" ref="O540">_xlfn.IFS(orders[[#This Row],[Customer Gender]]="M","Male", orders[[#This Row],[Customer Gender]]="F","Female", orders[[#This Row],[Customer Gender]]="O","Other", TRUE,"Unknown")</f>
        <v>Male</v>
      </c>
    </row>
    <row r="541" spans="1:15" x14ac:dyDescent="0.3">
      <c r="A541" t="s">
        <v>630</v>
      </c>
      <c r="B541" t="s">
        <v>42</v>
      </c>
      <c r="C541">
        <v>5</v>
      </c>
      <c r="D541">
        <v>79.2</v>
      </c>
      <c r="E541" s="1">
        <v>396</v>
      </c>
      <c r="F541" s="2">
        <v>45680</v>
      </c>
      <c r="G541" s="2">
        <v>45681</v>
      </c>
      <c r="H541" s="1" t="s">
        <v>27</v>
      </c>
      <c r="I541" s="1" t="s">
        <v>70</v>
      </c>
      <c r="J541" s="1">
        <v>4</v>
      </c>
      <c r="K541" s="1" t="s">
        <v>19</v>
      </c>
      <c r="L541" s="1" t="s">
        <v>62</v>
      </c>
      <c r="M541" s="1">
        <f>orders[[#This Row],[Ship Date]]-orders[[#This Row],[Order Date]]</f>
        <v>1</v>
      </c>
      <c r="N541" s="1">
        <f>WEEKNUM(orders[[#This Row],[Order Date]])</f>
        <v>4</v>
      </c>
      <c r="O541" s="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s="1">
        <v>312</v>
      </c>
      <c r="F542" s="2">
        <v>45680</v>
      </c>
      <c r="G542" s="2">
        <v>45682</v>
      </c>
      <c r="H542" s="1" t="s">
        <v>23</v>
      </c>
      <c r="I542" s="1" t="s">
        <v>51</v>
      </c>
      <c r="J542" s="1">
        <v>5</v>
      </c>
      <c r="K542" s="1" t="s">
        <v>19</v>
      </c>
      <c r="L542" s="1" t="s">
        <v>62</v>
      </c>
      <c r="M542" s="1">
        <f>orders[[#This Row],[Ship Date]]-orders[[#This Row],[Order Date]]</f>
        <v>2</v>
      </c>
      <c r="N542" s="1">
        <f>WEEKNUM(orders[[#This Row],[Order Date]])</f>
        <v>4</v>
      </c>
      <c r="O542" s="1" t="str" cm="1">
        <f t="array" ref="O542">_xlfn.IFS(orders[[#This Row],[Customer Gender]]="M","Male", orders[[#This Row],[Customer Gender]]="F","Female", orders[[#This Row],[Customer Gender]]="O","Other", TRUE,"Unknown")</f>
        <v>Male</v>
      </c>
    </row>
    <row r="543" spans="1:15" x14ac:dyDescent="0.3">
      <c r="A543" t="s">
        <v>632</v>
      </c>
      <c r="B543" t="s">
        <v>44</v>
      </c>
      <c r="C543">
        <v>4</v>
      </c>
      <c r="D543">
        <v>18</v>
      </c>
      <c r="E543" s="1">
        <v>72</v>
      </c>
      <c r="F543" s="2">
        <v>45680</v>
      </c>
      <c r="G543" s="2">
        <v>45681</v>
      </c>
      <c r="H543" s="1" t="s">
        <v>23</v>
      </c>
      <c r="I543" s="1" t="s">
        <v>35</v>
      </c>
      <c r="J543" s="1">
        <v>4</v>
      </c>
      <c r="K543" s="1" t="s">
        <v>19</v>
      </c>
      <c r="L543" s="1" t="s">
        <v>74</v>
      </c>
      <c r="M543" s="1">
        <f>orders[[#This Row],[Ship Date]]-orders[[#This Row],[Order Date]]</f>
        <v>1</v>
      </c>
      <c r="N543" s="1">
        <f>WEEKNUM(orders[[#This Row],[Order Date]])</f>
        <v>4</v>
      </c>
      <c r="O543" s="1" t="str" cm="1">
        <f t="array" ref="O543">_xlfn.IFS(orders[[#This Row],[Customer Gender]]="M","Male", orders[[#This Row],[Customer Gender]]="F","Female", orders[[#This Row],[Customer Gender]]="O","Other", TRUE,"Unknown")</f>
        <v>Male</v>
      </c>
    </row>
    <row r="544" spans="1:15" x14ac:dyDescent="0.3">
      <c r="A544" t="s">
        <v>633</v>
      </c>
      <c r="B544" t="s">
        <v>46</v>
      </c>
      <c r="C544">
        <v>3</v>
      </c>
      <c r="D544">
        <v>45.9</v>
      </c>
      <c r="E544" s="1">
        <v>137.69999999999999</v>
      </c>
      <c r="F544" s="2">
        <v>45680</v>
      </c>
      <c r="G544" s="2">
        <v>45682</v>
      </c>
      <c r="H544" s="1" t="s">
        <v>27</v>
      </c>
      <c r="I544" s="1" t="s">
        <v>35</v>
      </c>
      <c r="J544" s="1">
        <v>3</v>
      </c>
      <c r="K544" s="1" t="s">
        <v>19</v>
      </c>
      <c r="L544" s="1" t="s">
        <v>74</v>
      </c>
      <c r="M544" s="1">
        <f>orders[[#This Row],[Ship Date]]-orders[[#This Row],[Order Date]]</f>
        <v>2</v>
      </c>
      <c r="N544" s="1">
        <f>WEEKNUM(orders[[#This Row],[Order Date]])</f>
        <v>4</v>
      </c>
      <c r="O544" s="1"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s="1">
        <v>41.2</v>
      </c>
      <c r="F545" s="2">
        <v>45680</v>
      </c>
      <c r="G545" s="2">
        <v>45682</v>
      </c>
      <c r="H545" s="1" t="s">
        <v>27</v>
      </c>
      <c r="I545" s="1" t="s">
        <v>35</v>
      </c>
      <c r="J545" s="1">
        <v>5</v>
      </c>
      <c r="K545" s="1" t="s">
        <v>19</v>
      </c>
      <c r="L545" s="1" t="s">
        <v>77</v>
      </c>
      <c r="M545" s="1">
        <f>orders[[#This Row],[Ship Date]]-orders[[#This Row],[Order Date]]</f>
        <v>2</v>
      </c>
      <c r="N545" s="1">
        <f>WEEKNUM(orders[[#This Row],[Order Date]])</f>
        <v>4</v>
      </c>
      <c r="O545" s="1"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s="1">
        <v>1672</v>
      </c>
      <c r="F546" s="2">
        <v>45680</v>
      </c>
      <c r="G546" s="2">
        <v>45682</v>
      </c>
      <c r="H546" s="1" t="s">
        <v>27</v>
      </c>
      <c r="I546" s="1" t="s">
        <v>40</v>
      </c>
      <c r="J546" s="1">
        <v>5</v>
      </c>
      <c r="K546" s="1" t="s">
        <v>19</v>
      </c>
      <c r="L546" s="1" t="s">
        <v>309</v>
      </c>
      <c r="M546" s="1">
        <f>orders[[#This Row],[Ship Date]]-orders[[#This Row],[Order Date]]</f>
        <v>2</v>
      </c>
      <c r="N546" s="1">
        <f>WEEKNUM(orders[[#This Row],[Order Date]])</f>
        <v>4</v>
      </c>
      <c r="O546" s="1"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s="1">
        <v>2235</v>
      </c>
      <c r="F547" s="2">
        <v>45681</v>
      </c>
      <c r="G547" s="2">
        <v>45684</v>
      </c>
      <c r="H547" s="1" t="s">
        <v>27</v>
      </c>
      <c r="I547" s="1" t="s">
        <v>35</v>
      </c>
      <c r="J547" s="1">
        <v>5</v>
      </c>
      <c r="K547" s="1" t="s">
        <v>19</v>
      </c>
      <c r="L547" s="1" t="s">
        <v>377</v>
      </c>
      <c r="M547" s="1">
        <f>orders[[#This Row],[Ship Date]]-orders[[#This Row],[Order Date]]</f>
        <v>3</v>
      </c>
      <c r="N547" s="1">
        <f>WEEKNUM(orders[[#This Row],[Order Date]])</f>
        <v>4</v>
      </c>
      <c r="O547" s="1"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s="1">
        <v>157.19999999999999</v>
      </c>
      <c r="F548" s="2">
        <v>45681</v>
      </c>
      <c r="G548" s="2">
        <v>45682</v>
      </c>
      <c r="H548" s="1" t="s">
        <v>17</v>
      </c>
      <c r="I548" s="1" t="s">
        <v>40</v>
      </c>
      <c r="J548" s="1">
        <v>4</v>
      </c>
      <c r="K548" s="1" t="s">
        <v>19</v>
      </c>
      <c r="L548" s="1" t="s">
        <v>110</v>
      </c>
      <c r="M548" s="1">
        <f>orders[[#This Row],[Ship Date]]-orders[[#This Row],[Order Date]]</f>
        <v>1</v>
      </c>
      <c r="N548" s="1">
        <f>WEEKNUM(orders[[#This Row],[Order Date]])</f>
        <v>4</v>
      </c>
      <c r="O548" s="1"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s="1">
        <v>68.5</v>
      </c>
      <c r="F549" s="2">
        <v>45681</v>
      </c>
      <c r="G549" s="2">
        <v>45684</v>
      </c>
      <c r="H549" s="1" t="s">
        <v>23</v>
      </c>
      <c r="I549" s="1" t="s">
        <v>35</v>
      </c>
      <c r="J549" s="1">
        <v>5</v>
      </c>
      <c r="K549" s="1" t="s">
        <v>19</v>
      </c>
      <c r="L549" s="1" t="s">
        <v>79</v>
      </c>
      <c r="M549" s="1">
        <f>orders[[#This Row],[Ship Date]]-orders[[#This Row],[Order Date]]</f>
        <v>3</v>
      </c>
      <c r="N549" s="1">
        <f>WEEKNUM(orders[[#This Row],[Order Date]])</f>
        <v>4</v>
      </c>
      <c r="O549" s="1" t="str" cm="1">
        <f t="array" ref="O549">_xlfn.IFS(orders[[#This Row],[Customer Gender]]="M","Male", orders[[#This Row],[Customer Gender]]="F","Female", orders[[#This Row],[Customer Gender]]="O","Other", TRUE,"Unknown")</f>
        <v>Male</v>
      </c>
    </row>
    <row r="550" spans="1:15" x14ac:dyDescent="0.3">
      <c r="A550" t="s">
        <v>639</v>
      </c>
      <c r="B550" t="s">
        <v>16</v>
      </c>
      <c r="C550">
        <v>3</v>
      </c>
      <c r="D550">
        <v>22.5</v>
      </c>
      <c r="E550" s="1">
        <v>67.5</v>
      </c>
      <c r="F550" s="2">
        <v>45681</v>
      </c>
      <c r="G550" s="2">
        <v>45681</v>
      </c>
      <c r="H550" s="1" t="s">
        <v>27</v>
      </c>
      <c r="I550" s="1" t="s">
        <v>70</v>
      </c>
      <c r="J550" s="1">
        <v>4</v>
      </c>
      <c r="K550" s="1" t="s">
        <v>19</v>
      </c>
      <c r="L550" s="1" t="s">
        <v>82</v>
      </c>
      <c r="M550" s="1">
        <f>orders[[#This Row],[Ship Date]]-orders[[#This Row],[Order Date]]</f>
        <v>0</v>
      </c>
      <c r="N550" s="1">
        <f>WEEKNUM(orders[[#This Row],[Order Date]])</f>
        <v>4</v>
      </c>
      <c r="O550" s="1" t="str" cm="1">
        <f t="array" ref="O550">_xlfn.IFS(orders[[#This Row],[Customer Gender]]="M","Male", orders[[#This Row],[Customer Gender]]="F","Female", orders[[#This Row],[Customer Gender]]="O","Other", TRUE,"Unknown")</f>
        <v>Female</v>
      </c>
    </row>
    <row r="551" spans="1:15" x14ac:dyDescent="0.3">
      <c r="A551" t="s">
        <v>640</v>
      </c>
      <c r="B551" t="s">
        <v>22</v>
      </c>
      <c r="C551">
        <v>1</v>
      </c>
      <c r="D551">
        <v>48</v>
      </c>
      <c r="E551" s="1">
        <v>48</v>
      </c>
      <c r="F551" s="2">
        <v>45681</v>
      </c>
      <c r="G551" s="2">
        <v>45682</v>
      </c>
      <c r="H551" s="1" t="s">
        <v>89</v>
      </c>
      <c r="I551" s="1" t="s">
        <v>70</v>
      </c>
      <c r="J551" s="1">
        <v>3</v>
      </c>
      <c r="K551" s="1" t="s">
        <v>19</v>
      </c>
      <c r="L551" s="1" t="s">
        <v>641</v>
      </c>
      <c r="M551" s="1">
        <f>orders[[#This Row],[Ship Date]]-orders[[#This Row],[Order Date]]</f>
        <v>1</v>
      </c>
      <c r="N551" s="1">
        <f>WEEKNUM(orders[[#This Row],[Order Date]])</f>
        <v>4</v>
      </c>
      <c r="O551" s="1" t="str" cm="1">
        <f t="array" ref="O551">_xlfn.IFS(orders[[#This Row],[Customer Gender]]="M","Male", orders[[#This Row],[Customer Gender]]="F","Female", orders[[#This Row],[Customer Gender]]="O","Other", TRUE,"Unknown")</f>
        <v>Other</v>
      </c>
    </row>
    <row r="552" spans="1:15" x14ac:dyDescent="0.3">
      <c r="A552" t="s">
        <v>642</v>
      </c>
      <c r="B552" t="s">
        <v>39</v>
      </c>
      <c r="C552">
        <v>1</v>
      </c>
      <c r="D552">
        <v>94</v>
      </c>
      <c r="E552" s="1">
        <v>94</v>
      </c>
      <c r="F552" s="2">
        <v>45681</v>
      </c>
      <c r="G552" s="2">
        <v>45682</v>
      </c>
      <c r="H552" s="1" t="s">
        <v>23</v>
      </c>
      <c r="I552" s="1" t="s">
        <v>51</v>
      </c>
      <c r="J552" s="1">
        <v>3</v>
      </c>
      <c r="K552" s="1" t="s">
        <v>19</v>
      </c>
      <c r="L552" s="1" t="s">
        <v>24</v>
      </c>
      <c r="M552" s="1">
        <f>orders[[#This Row],[Ship Date]]-orders[[#This Row],[Order Date]]</f>
        <v>1</v>
      </c>
      <c r="N552" s="1">
        <f>WEEKNUM(orders[[#This Row],[Order Date]])</f>
        <v>4</v>
      </c>
      <c r="O552" s="1" t="str" cm="1">
        <f t="array" ref="O552">_xlfn.IFS(orders[[#This Row],[Customer Gender]]="M","Male", orders[[#This Row],[Customer Gender]]="F","Female", orders[[#This Row],[Customer Gender]]="O","Other", TRUE,"Unknown")</f>
        <v>Male</v>
      </c>
    </row>
    <row r="553" spans="1:15" x14ac:dyDescent="0.3">
      <c r="A553" t="s">
        <v>643</v>
      </c>
      <c r="B553" t="s">
        <v>44</v>
      </c>
      <c r="C553">
        <v>3</v>
      </c>
      <c r="D553">
        <v>21.9</v>
      </c>
      <c r="E553" s="1">
        <v>65.699999999999989</v>
      </c>
      <c r="F553" s="2">
        <v>45681</v>
      </c>
      <c r="G553" s="2">
        <v>45682</v>
      </c>
      <c r="H553" s="1" t="s">
        <v>27</v>
      </c>
      <c r="I553" s="1" t="s">
        <v>18</v>
      </c>
      <c r="J553" s="1">
        <v>4</v>
      </c>
      <c r="K553" s="1" t="s">
        <v>19</v>
      </c>
      <c r="L553" s="1" t="s">
        <v>587</v>
      </c>
      <c r="M553" s="1">
        <f>orders[[#This Row],[Ship Date]]-orders[[#This Row],[Order Date]]</f>
        <v>1</v>
      </c>
      <c r="N553" s="1">
        <f>WEEKNUM(orders[[#This Row],[Order Date]])</f>
        <v>4</v>
      </c>
      <c r="O553" s="1"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s="1">
        <v>454.30000000000007</v>
      </c>
      <c r="F554" s="2">
        <v>45681</v>
      </c>
      <c r="G554" s="2">
        <v>45682</v>
      </c>
      <c r="H554" s="1" t="s">
        <v>27</v>
      </c>
      <c r="I554" s="1" t="s">
        <v>18</v>
      </c>
      <c r="J554" s="1">
        <v>4</v>
      </c>
      <c r="K554" s="1" t="s">
        <v>19</v>
      </c>
      <c r="L554" s="1" t="s">
        <v>33</v>
      </c>
      <c r="M554" s="1">
        <f>orders[[#This Row],[Ship Date]]-orders[[#This Row],[Order Date]]</f>
        <v>1</v>
      </c>
      <c r="N554" s="1">
        <f>WEEKNUM(orders[[#This Row],[Order Date]])</f>
        <v>4</v>
      </c>
      <c r="O554" s="1"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s="1">
        <v>52.9</v>
      </c>
      <c r="F555" s="2">
        <v>45681</v>
      </c>
      <c r="G555" s="2">
        <v>45681</v>
      </c>
      <c r="H555" s="1" t="s">
        <v>27</v>
      </c>
      <c r="I555" s="1" t="s">
        <v>35</v>
      </c>
      <c r="J555" s="1">
        <v>3</v>
      </c>
      <c r="K555" s="1" t="s">
        <v>19</v>
      </c>
      <c r="L555" s="1" t="s">
        <v>33</v>
      </c>
      <c r="M555" s="1">
        <f>orders[[#This Row],[Ship Date]]-orders[[#This Row],[Order Date]]</f>
        <v>0</v>
      </c>
      <c r="N555" s="1">
        <f>WEEKNUM(orders[[#This Row],[Order Date]])</f>
        <v>4</v>
      </c>
      <c r="O555" s="1"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s="1">
        <v>76.5</v>
      </c>
      <c r="F556" s="2">
        <v>45681</v>
      </c>
      <c r="G556" s="2">
        <v>45682</v>
      </c>
      <c r="H556" s="1" t="s">
        <v>27</v>
      </c>
      <c r="I556" s="1" t="s">
        <v>35</v>
      </c>
      <c r="J556" s="1">
        <v>5</v>
      </c>
      <c r="K556" s="1" t="s">
        <v>19</v>
      </c>
      <c r="L556" s="1" t="s">
        <v>33</v>
      </c>
      <c r="M556" s="1">
        <f>orders[[#This Row],[Ship Date]]-orders[[#This Row],[Order Date]]</f>
        <v>1</v>
      </c>
      <c r="N556" s="1">
        <f>WEEKNUM(orders[[#This Row],[Order Date]])</f>
        <v>4</v>
      </c>
      <c r="O556" s="1"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s="1">
        <v>155.69999999999999</v>
      </c>
      <c r="F557" s="2">
        <v>45681</v>
      </c>
      <c r="G557" s="2">
        <v>45682</v>
      </c>
      <c r="H557" s="1" t="s">
        <v>27</v>
      </c>
      <c r="I557" s="1" t="s">
        <v>51</v>
      </c>
      <c r="J557" s="1">
        <v>4</v>
      </c>
      <c r="K557" s="1" t="s">
        <v>19</v>
      </c>
      <c r="L557" s="1" t="s">
        <v>33</v>
      </c>
      <c r="M557" s="1">
        <f>orders[[#This Row],[Ship Date]]-orders[[#This Row],[Order Date]]</f>
        <v>1</v>
      </c>
      <c r="N557" s="1">
        <f>WEEKNUM(orders[[#This Row],[Order Date]])</f>
        <v>4</v>
      </c>
      <c r="O557" s="1"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s="1">
        <v>46.3</v>
      </c>
      <c r="F558" s="2">
        <v>45681</v>
      </c>
      <c r="G558" s="2">
        <v>45684</v>
      </c>
      <c r="H558" s="1" t="s">
        <v>27</v>
      </c>
      <c r="I558" s="1" t="s">
        <v>70</v>
      </c>
      <c r="J558" s="1">
        <v>4</v>
      </c>
      <c r="K558" s="1" t="s">
        <v>19</v>
      </c>
      <c r="L558" s="1" t="s">
        <v>33</v>
      </c>
      <c r="M558" s="1">
        <f>orders[[#This Row],[Ship Date]]-orders[[#This Row],[Order Date]]</f>
        <v>3</v>
      </c>
      <c r="N558" s="1">
        <f>WEEKNUM(orders[[#This Row],[Order Date]])</f>
        <v>4</v>
      </c>
      <c r="O558" s="1"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s="1">
        <v>136.4</v>
      </c>
      <c r="F559" s="2">
        <v>45681</v>
      </c>
      <c r="G559" s="2">
        <v>45683</v>
      </c>
      <c r="H559" s="1" t="s">
        <v>27</v>
      </c>
      <c r="I559" s="1" t="s">
        <v>51</v>
      </c>
      <c r="J559" s="1">
        <v>4</v>
      </c>
      <c r="K559" s="1" t="s">
        <v>19</v>
      </c>
      <c r="L559" s="1" t="s">
        <v>33</v>
      </c>
      <c r="M559" s="1">
        <f>orders[[#This Row],[Ship Date]]-orders[[#This Row],[Order Date]]</f>
        <v>2</v>
      </c>
      <c r="N559" s="1">
        <f>WEEKNUM(orders[[#This Row],[Order Date]])</f>
        <v>4</v>
      </c>
      <c r="O559" s="1"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s="1">
        <v>40.299999999999997</v>
      </c>
      <c r="F560" s="2">
        <v>45681</v>
      </c>
      <c r="G560" s="2">
        <v>45682</v>
      </c>
      <c r="H560" s="1" t="s">
        <v>23</v>
      </c>
      <c r="I560" s="1" t="s">
        <v>18</v>
      </c>
      <c r="J560" s="1">
        <v>3</v>
      </c>
      <c r="K560" s="1" t="s">
        <v>19</v>
      </c>
      <c r="L560" s="1" t="s">
        <v>33</v>
      </c>
      <c r="M560" s="1">
        <f>orders[[#This Row],[Ship Date]]-orders[[#This Row],[Order Date]]</f>
        <v>1</v>
      </c>
      <c r="N560" s="1">
        <f>WEEKNUM(orders[[#This Row],[Order Date]])</f>
        <v>4</v>
      </c>
      <c r="O560" s="1" t="str" cm="1">
        <f t="array" ref="O560">_xlfn.IFS(orders[[#This Row],[Customer Gender]]="M","Male", orders[[#This Row],[Customer Gender]]="F","Female", orders[[#This Row],[Customer Gender]]="O","Other", TRUE,"Unknown")</f>
        <v>Male</v>
      </c>
    </row>
    <row r="561" spans="1:15" x14ac:dyDescent="0.3">
      <c r="A561" t="s">
        <v>651</v>
      </c>
      <c r="B561" t="s">
        <v>26</v>
      </c>
      <c r="C561">
        <v>3</v>
      </c>
      <c r="D561">
        <v>91.3</v>
      </c>
      <c r="E561" s="1">
        <v>273.89999999999998</v>
      </c>
      <c r="F561" s="2">
        <v>45681</v>
      </c>
      <c r="G561" s="2">
        <v>45686</v>
      </c>
      <c r="H561" s="1" t="s">
        <v>23</v>
      </c>
      <c r="I561" s="1" t="s">
        <v>18</v>
      </c>
      <c r="J561" s="1">
        <v>5</v>
      </c>
      <c r="K561" s="1" t="s">
        <v>19</v>
      </c>
      <c r="L561" s="1" t="s">
        <v>55</v>
      </c>
      <c r="M561" s="1">
        <f>orders[[#This Row],[Ship Date]]-orders[[#This Row],[Order Date]]</f>
        <v>5</v>
      </c>
      <c r="N561" s="1">
        <f>WEEKNUM(orders[[#This Row],[Order Date]])</f>
        <v>4</v>
      </c>
      <c r="O561" s="1" t="str" cm="1">
        <f t="array" ref="O561">_xlfn.IFS(orders[[#This Row],[Customer Gender]]="M","Male", orders[[#This Row],[Customer Gender]]="F","Female", orders[[#This Row],[Customer Gender]]="O","Other", TRUE,"Unknown")</f>
        <v>Male</v>
      </c>
    </row>
    <row r="562" spans="1:15" x14ac:dyDescent="0.3">
      <c r="A562" t="s">
        <v>652</v>
      </c>
      <c r="B562" t="s">
        <v>16</v>
      </c>
      <c r="C562">
        <v>3</v>
      </c>
      <c r="D562">
        <v>11.9</v>
      </c>
      <c r="E562" s="1">
        <v>35.700000000000003</v>
      </c>
      <c r="F562" s="2">
        <v>45681</v>
      </c>
      <c r="G562" s="2">
        <v>45682</v>
      </c>
      <c r="H562" s="1" t="s">
        <v>27</v>
      </c>
      <c r="I562" s="1" t="s">
        <v>18</v>
      </c>
      <c r="J562" s="1">
        <v>3</v>
      </c>
      <c r="K562" s="1" t="s">
        <v>19</v>
      </c>
      <c r="L562" s="1" t="s">
        <v>55</v>
      </c>
      <c r="M562" s="1">
        <f>orders[[#This Row],[Ship Date]]-orders[[#This Row],[Order Date]]</f>
        <v>1</v>
      </c>
      <c r="N562" s="1">
        <f>WEEKNUM(orders[[#This Row],[Order Date]])</f>
        <v>4</v>
      </c>
      <c r="O562" s="1"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s="1">
        <v>127</v>
      </c>
      <c r="F563" s="2">
        <v>45681</v>
      </c>
      <c r="G563" s="2">
        <v>45683</v>
      </c>
      <c r="H563" s="1" t="s">
        <v>23</v>
      </c>
      <c r="I563" s="1" t="s">
        <v>35</v>
      </c>
      <c r="J563" s="1">
        <v>4</v>
      </c>
      <c r="K563" s="1" t="s">
        <v>19</v>
      </c>
      <c r="L563" s="1" t="s">
        <v>55</v>
      </c>
      <c r="M563" s="1">
        <f>orders[[#This Row],[Ship Date]]-orders[[#This Row],[Order Date]]</f>
        <v>2</v>
      </c>
      <c r="N563" s="1">
        <f>WEEKNUM(orders[[#This Row],[Order Date]])</f>
        <v>4</v>
      </c>
      <c r="O563" s="1" t="str" cm="1">
        <f t="array" ref="O563">_xlfn.IFS(orders[[#This Row],[Customer Gender]]="M","Male", orders[[#This Row],[Customer Gender]]="F","Female", orders[[#This Row],[Customer Gender]]="O","Other", TRUE,"Unknown")</f>
        <v>Male</v>
      </c>
    </row>
    <row r="564" spans="1:15" x14ac:dyDescent="0.3">
      <c r="A564" t="s">
        <v>654</v>
      </c>
      <c r="B564" t="s">
        <v>32</v>
      </c>
      <c r="C564">
        <v>2</v>
      </c>
      <c r="D564">
        <v>27.1</v>
      </c>
      <c r="E564" s="1">
        <v>54.2</v>
      </c>
      <c r="F564" s="2">
        <v>45681</v>
      </c>
      <c r="G564" s="2">
        <v>45684</v>
      </c>
      <c r="H564" s="1" t="s">
        <v>23</v>
      </c>
      <c r="I564" s="1" t="s">
        <v>40</v>
      </c>
      <c r="J564" s="1">
        <v>5</v>
      </c>
      <c r="K564" s="1" t="s">
        <v>19</v>
      </c>
      <c r="L564" s="1" t="s">
        <v>55</v>
      </c>
      <c r="M564" s="1">
        <f>orders[[#This Row],[Ship Date]]-orders[[#This Row],[Order Date]]</f>
        <v>3</v>
      </c>
      <c r="N564" s="1">
        <f>WEEKNUM(orders[[#This Row],[Order Date]])</f>
        <v>4</v>
      </c>
      <c r="O564" s="1" t="str" cm="1">
        <f t="array" ref="O564">_xlfn.IFS(orders[[#This Row],[Customer Gender]]="M","Male", orders[[#This Row],[Customer Gender]]="F","Female", orders[[#This Row],[Customer Gender]]="O","Other", TRUE,"Unknown")</f>
        <v>Male</v>
      </c>
    </row>
    <row r="565" spans="1:15" x14ac:dyDescent="0.3">
      <c r="A565" t="s">
        <v>655</v>
      </c>
      <c r="B565" t="s">
        <v>22</v>
      </c>
      <c r="C565">
        <v>2</v>
      </c>
      <c r="D565">
        <v>82.1</v>
      </c>
      <c r="E565" s="1">
        <v>164.2</v>
      </c>
      <c r="F565" s="2">
        <v>45682</v>
      </c>
      <c r="G565" s="2">
        <v>45685</v>
      </c>
      <c r="H565" s="1" t="s">
        <v>23</v>
      </c>
      <c r="I565" s="1" t="s">
        <v>35</v>
      </c>
      <c r="J565" s="1">
        <v>3</v>
      </c>
      <c r="K565" s="1" t="s">
        <v>19</v>
      </c>
      <c r="L565" s="1" t="s">
        <v>59</v>
      </c>
      <c r="M565" s="1">
        <f>orders[[#This Row],[Ship Date]]-orders[[#This Row],[Order Date]]</f>
        <v>3</v>
      </c>
      <c r="N565" s="1">
        <f>WEEKNUM(orders[[#This Row],[Order Date]])</f>
        <v>4</v>
      </c>
      <c r="O565" s="1" t="str" cm="1">
        <f t="array" ref="O565">_xlfn.IFS(orders[[#This Row],[Customer Gender]]="M","Male", orders[[#This Row],[Customer Gender]]="F","Female", orders[[#This Row],[Customer Gender]]="O","Other", TRUE,"Unknown")</f>
        <v>Male</v>
      </c>
    </row>
    <row r="566" spans="1:15" x14ac:dyDescent="0.3">
      <c r="A566" t="s">
        <v>656</v>
      </c>
      <c r="B566" t="s">
        <v>30</v>
      </c>
      <c r="C566">
        <v>5</v>
      </c>
      <c r="D566">
        <v>42.9</v>
      </c>
      <c r="E566" s="1">
        <v>214.5</v>
      </c>
      <c r="F566" s="2">
        <v>45682</v>
      </c>
      <c r="G566" s="2">
        <v>45684</v>
      </c>
      <c r="H566" s="1" t="s">
        <v>27</v>
      </c>
      <c r="I566" s="1" t="s">
        <v>35</v>
      </c>
      <c r="J566" s="1">
        <v>4</v>
      </c>
      <c r="K566" s="1" t="s">
        <v>19</v>
      </c>
      <c r="L566" s="1" t="s">
        <v>62</v>
      </c>
      <c r="M566" s="1">
        <f>orders[[#This Row],[Ship Date]]-orders[[#This Row],[Order Date]]</f>
        <v>2</v>
      </c>
      <c r="N566" s="1">
        <f>WEEKNUM(orders[[#This Row],[Order Date]])</f>
        <v>4</v>
      </c>
      <c r="O566" s="1"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s="1">
        <v>416.9</v>
      </c>
      <c r="F567" s="2">
        <v>45682</v>
      </c>
      <c r="G567" s="2">
        <v>45689</v>
      </c>
      <c r="H567" s="1" t="s">
        <v>23</v>
      </c>
      <c r="I567" s="1" t="s">
        <v>18</v>
      </c>
      <c r="J567" s="1">
        <v>4</v>
      </c>
      <c r="K567" s="1" t="s">
        <v>19</v>
      </c>
      <c r="L567" s="1" t="s">
        <v>62</v>
      </c>
      <c r="M567" s="1">
        <f>orders[[#This Row],[Ship Date]]-orders[[#This Row],[Order Date]]</f>
        <v>7</v>
      </c>
      <c r="N567" s="1">
        <f>WEEKNUM(orders[[#This Row],[Order Date]])</f>
        <v>4</v>
      </c>
      <c r="O567" s="1" t="str" cm="1">
        <f t="array" ref="O567">_xlfn.IFS(orders[[#This Row],[Customer Gender]]="M","Male", orders[[#This Row],[Customer Gender]]="F","Female", orders[[#This Row],[Customer Gender]]="O","Other", TRUE,"Unknown")</f>
        <v>Male</v>
      </c>
    </row>
    <row r="568" spans="1:15" x14ac:dyDescent="0.3">
      <c r="A568" t="s">
        <v>658</v>
      </c>
      <c r="B568" t="s">
        <v>16</v>
      </c>
      <c r="C568">
        <v>1</v>
      </c>
      <c r="D568">
        <v>22.4</v>
      </c>
      <c r="E568" s="1">
        <v>22.4</v>
      </c>
      <c r="F568" s="2">
        <v>45682</v>
      </c>
      <c r="G568" s="2">
        <v>45683</v>
      </c>
      <c r="H568" s="1" t="s">
        <v>27</v>
      </c>
      <c r="I568" s="1" t="s">
        <v>18</v>
      </c>
      <c r="J568" s="1">
        <v>3</v>
      </c>
      <c r="K568" s="1" t="s">
        <v>19</v>
      </c>
      <c r="L568" s="1" t="s">
        <v>103</v>
      </c>
      <c r="M568" s="1">
        <f>orders[[#This Row],[Ship Date]]-orders[[#This Row],[Order Date]]</f>
        <v>1</v>
      </c>
      <c r="N568" s="1">
        <f>WEEKNUM(orders[[#This Row],[Order Date]])</f>
        <v>4</v>
      </c>
      <c r="O568" s="1"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s="1">
        <v>1038.7</v>
      </c>
      <c r="F569" s="2">
        <v>45682</v>
      </c>
      <c r="G569" s="2">
        <v>45695</v>
      </c>
      <c r="H569" s="1" t="s">
        <v>27</v>
      </c>
      <c r="I569" s="1" t="s">
        <v>51</v>
      </c>
      <c r="J569" s="1">
        <v>3</v>
      </c>
      <c r="K569" s="1" t="s">
        <v>19</v>
      </c>
      <c r="L569" s="1" t="s">
        <v>77</v>
      </c>
      <c r="M569" s="1">
        <f>orders[[#This Row],[Ship Date]]-orders[[#This Row],[Order Date]]</f>
        <v>13</v>
      </c>
      <c r="N569" s="1">
        <f>WEEKNUM(orders[[#This Row],[Order Date]])</f>
        <v>4</v>
      </c>
      <c r="O569" s="1"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s="1">
        <v>70.599999999999994</v>
      </c>
      <c r="F570" s="2">
        <v>45682</v>
      </c>
      <c r="G570" s="2">
        <v>45685</v>
      </c>
      <c r="H570" s="1" t="s">
        <v>27</v>
      </c>
      <c r="I570" s="1" t="s">
        <v>18</v>
      </c>
      <c r="J570" s="1">
        <v>3</v>
      </c>
      <c r="K570" s="1" t="s">
        <v>19</v>
      </c>
      <c r="L570" s="1" t="s">
        <v>77</v>
      </c>
      <c r="M570" s="1">
        <f>orders[[#This Row],[Ship Date]]-orders[[#This Row],[Order Date]]</f>
        <v>3</v>
      </c>
      <c r="N570" s="1">
        <f>WEEKNUM(orders[[#This Row],[Order Date]])</f>
        <v>4</v>
      </c>
      <c r="O570" s="1"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s="1">
        <v>49.5</v>
      </c>
      <c r="F571" s="2">
        <v>45682</v>
      </c>
      <c r="G571" s="2">
        <v>45684</v>
      </c>
      <c r="H571" s="1" t="s">
        <v>23</v>
      </c>
      <c r="I571" s="1" t="s">
        <v>18</v>
      </c>
      <c r="J571" s="1">
        <v>4</v>
      </c>
      <c r="K571" s="1" t="s">
        <v>19</v>
      </c>
      <c r="L571" s="1" t="s">
        <v>82</v>
      </c>
      <c r="M571" s="1">
        <f>orders[[#This Row],[Ship Date]]-orders[[#This Row],[Order Date]]</f>
        <v>2</v>
      </c>
      <c r="N571" s="1">
        <f>WEEKNUM(orders[[#This Row],[Order Date]])</f>
        <v>4</v>
      </c>
      <c r="O571" s="1" t="str" cm="1">
        <f t="array" ref="O571">_xlfn.IFS(orders[[#This Row],[Customer Gender]]="M","Male", orders[[#This Row],[Customer Gender]]="F","Female", orders[[#This Row],[Customer Gender]]="O","Other", TRUE,"Unknown")</f>
        <v>Male</v>
      </c>
    </row>
    <row r="572" spans="1:15" x14ac:dyDescent="0.3">
      <c r="A572" t="s">
        <v>662</v>
      </c>
      <c r="B572" t="s">
        <v>26</v>
      </c>
      <c r="C572">
        <v>2</v>
      </c>
      <c r="D572">
        <v>96.6</v>
      </c>
      <c r="E572" s="1">
        <v>193.2</v>
      </c>
      <c r="F572" s="2">
        <v>45682</v>
      </c>
      <c r="G572" s="2">
        <v>45684</v>
      </c>
      <c r="H572" s="1" t="s">
        <v>23</v>
      </c>
      <c r="I572" s="1" t="s">
        <v>18</v>
      </c>
      <c r="J572" s="1">
        <v>4</v>
      </c>
      <c r="K572" s="1" t="s">
        <v>19</v>
      </c>
      <c r="L572" s="1" t="s">
        <v>115</v>
      </c>
      <c r="M572" s="1">
        <f>orders[[#This Row],[Ship Date]]-orders[[#This Row],[Order Date]]</f>
        <v>2</v>
      </c>
      <c r="N572" s="1">
        <f>WEEKNUM(orders[[#This Row],[Order Date]])</f>
        <v>4</v>
      </c>
      <c r="O572" s="1" t="str" cm="1">
        <f t="array" ref="O572">_xlfn.IFS(orders[[#This Row],[Customer Gender]]="M","Male", orders[[#This Row],[Customer Gender]]="F","Female", orders[[#This Row],[Customer Gender]]="O","Other", TRUE,"Unknown")</f>
        <v>Male</v>
      </c>
    </row>
    <row r="573" spans="1:15" x14ac:dyDescent="0.3">
      <c r="A573" t="s">
        <v>663</v>
      </c>
      <c r="B573" t="s">
        <v>39</v>
      </c>
      <c r="C573">
        <v>2</v>
      </c>
      <c r="D573">
        <v>52.8</v>
      </c>
      <c r="E573" s="1">
        <v>105.6</v>
      </c>
      <c r="F573" s="2">
        <v>45682</v>
      </c>
      <c r="G573" s="2">
        <v>45683</v>
      </c>
      <c r="H573" s="1" t="s">
        <v>27</v>
      </c>
      <c r="I573" s="1" t="s">
        <v>35</v>
      </c>
      <c r="J573" s="1">
        <v>3</v>
      </c>
      <c r="K573" s="1" t="s">
        <v>19</v>
      </c>
      <c r="L573" s="1" t="s">
        <v>115</v>
      </c>
      <c r="M573" s="1">
        <f>orders[[#This Row],[Ship Date]]-orders[[#This Row],[Order Date]]</f>
        <v>1</v>
      </c>
      <c r="N573" s="1">
        <f>WEEKNUM(orders[[#This Row],[Order Date]])</f>
        <v>4</v>
      </c>
      <c r="O573" s="1"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s="1">
        <v>101.7</v>
      </c>
      <c r="F574" s="2">
        <v>45682</v>
      </c>
      <c r="G574" s="2">
        <v>45683</v>
      </c>
      <c r="H574" s="1" t="s">
        <v>23</v>
      </c>
      <c r="I574" s="1" t="s">
        <v>18</v>
      </c>
      <c r="J574" s="1">
        <v>4</v>
      </c>
      <c r="K574" s="1" t="s">
        <v>19</v>
      </c>
      <c r="L574" s="1" t="s">
        <v>24</v>
      </c>
      <c r="M574" s="1">
        <f>orders[[#This Row],[Ship Date]]-orders[[#This Row],[Order Date]]</f>
        <v>1</v>
      </c>
      <c r="N574" s="1">
        <f>WEEKNUM(orders[[#This Row],[Order Date]])</f>
        <v>4</v>
      </c>
      <c r="O574" s="1" t="str" cm="1">
        <f t="array" ref="O574">_xlfn.IFS(orders[[#This Row],[Customer Gender]]="M","Male", orders[[#This Row],[Customer Gender]]="F","Female", orders[[#This Row],[Customer Gender]]="O","Other", TRUE,"Unknown")</f>
        <v>Male</v>
      </c>
    </row>
    <row r="575" spans="1:15" x14ac:dyDescent="0.3">
      <c r="A575" t="s">
        <v>665</v>
      </c>
      <c r="B575" t="s">
        <v>32</v>
      </c>
      <c r="C575">
        <v>5</v>
      </c>
      <c r="D575">
        <v>26.9</v>
      </c>
      <c r="E575" s="1">
        <v>134.5</v>
      </c>
      <c r="F575" s="2">
        <v>45682</v>
      </c>
      <c r="G575" s="2">
        <v>45687</v>
      </c>
      <c r="H575" s="1" t="s">
        <v>27</v>
      </c>
      <c r="I575" s="1" t="s">
        <v>35</v>
      </c>
      <c r="J575" s="1">
        <v>3</v>
      </c>
      <c r="K575" s="1" t="s">
        <v>19</v>
      </c>
      <c r="L575" s="1" t="s">
        <v>147</v>
      </c>
      <c r="M575" s="1">
        <f>orders[[#This Row],[Ship Date]]-orders[[#This Row],[Order Date]]</f>
        <v>5</v>
      </c>
      <c r="N575" s="1">
        <f>WEEKNUM(orders[[#This Row],[Order Date]])</f>
        <v>4</v>
      </c>
      <c r="O575" s="1"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s="1">
        <v>844</v>
      </c>
      <c r="F576" s="2">
        <v>45682</v>
      </c>
      <c r="G576" s="2">
        <v>45682</v>
      </c>
      <c r="H576" s="1" t="s">
        <v>27</v>
      </c>
      <c r="I576" s="1" t="s">
        <v>35</v>
      </c>
      <c r="J576" s="1">
        <v>3</v>
      </c>
      <c r="K576" s="1" t="s">
        <v>19</v>
      </c>
      <c r="L576" s="1" t="s">
        <v>33</v>
      </c>
      <c r="M576" s="1">
        <f>orders[[#This Row],[Ship Date]]-orders[[#This Row],[Order Date]]</f>
        <v>0</v>
      </c>
      <c r="N576" s="1">
        <f>WEEKNUM(orders[[#This Row],[Order Date]])</f>
        <v>4</v>
      </c>
      <c r="O576" s="1"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s="1">
        <v>84.4</v>
      </c>
      <c r="F577" s="2">
        <v>45682</v>
      </c>
      <c r="G577" s="2">
        <v>45685</v>
      </c>
      <c r="H577" s="1" t="s">
        <v>23</v>
      </c>
      <c r="I577" s="1" t="s">
        <v>70</v>
      </c>
      <c r="J577" s="1">
        <v>4</v>
      </c>
      <c r="K577" s="1" t="s">
        <v>19</v>
      </c>
      <c r="L577" s="1" t="s">
        <v>33</v>
      </c>
      <c r="M577" s="1">
        <f>orders[[#This Row],[Ship Date]]-orders[[#This Row],[Order Date]]</f>
        <v>3</v>
      </c>
      <c r="N577" s="1">
        <f>WEEKNUM(orders[[#This Row],[Order Date]])</f>
        <v>4</v>
      </c>
      <c r="O577" s="1" t="str" cm="1">
        <f t="array" ref="O577">_xlfn.IFS(orders[[#This Row],[Customer Gender]]="M","Male", orders[[#This Row],[Customer Gender]]="F","Female", orders[[#This Row],[Customer Gender]]="O","Other", TRUE,"Unknown")</f>
        <v>Male</v>
      </c>
    </row>
    <row r="578" spans="1:15" x14ac:dyDescent="0.3">
      <c r="A578" t="s">
        <v>668</v>
      </c>
      <c r="B578" t="s">
        <v>54</v>
      </c>
      <c r="C578">
        <v>1</v>
      </c>
      <c r="D578">
        <v>26.6</v>
      </c>
      <c r="E578" s="1">
        <v>26.6</v>
      </c>
      <c r="F578" s="2">
        <v>45682</v>
      </c>
      <c r="G578" s="2">
        <v>45684</v>
      </c>
      <c r="H578" s="1" t="s">
        <v>23</v>
      </c>
      <c r="I578" s="1" t="s">
        <v>18</v>
      </c>
      <c r="J578" s="1">
        <v>2</v>
      </c>
      <c r="K578" s="1" t="s">
        <v>19</v>
      </c>
      <c r="L578" s="1" t="s">
        <v>33</v>
      </c>
      <c r="M578" s="1">
        <f>orders[[#This Row],[Ship Date]]-orders[[#This Row],[Order Date]]</f>
        <v>2</v>
      </c>
      <c r="N578" s="1">
        <f>WEEKNUM(orders[[#This Row],[Order Date]])</f>
        <v>4</v>
      </c>
      <c r="O578" s="1" t="str" cm="1">
        <f t="array" ref="O578">_xlfn.IFS(orders[[#This Row],[Customer Gender]]="M","Male", orders[[#This Row],[Customer Gender]]="F","Female", orders[[#This Row],[Customer Gender]]="O","Other", TRUE,"Unknown")</f>
        <v>Male</v>
      </c>
    </row>
    <row r="579" spans="1:15" x14ac:dyDescent="0.3">
      <c r="A579" t="s">
        <v>669</v>
      </c>
      <c r="B579" t="s">
        <v>69</v>
      </c>
      <c r="C579">
        <v>4</v>
      </c>
      <c r="D579">
        <v>51.2</v>
      </c>
      <c r="E579" s="1">
        <v>204.8</v>
      </c>
      <c r="F579" s="2">
        <v>45682</v>
      </c>
      <c r="G579" s="2">
        <v>45683</v>
      </c>
      <c r="H579" s="1" t="s">
        <v>27</v>
      </c>
      <c r="I579" s="1" t="s">
        <v>51</v>
      </c>
      <c r="J579" s="1">
        <v>4</v>
      </c>
      <c r="K579" s="1" t="s">
        <v>19</v>
      </c>
      <c r="L579" s="1" t="s">
        <v>670</v>
      </c>
      <c r="M579" s="1">
        <f>orders[[#This Row],[Ship Date]]-orders[[#This Row],[Order Date]]</f>
        <v>1</v>
      </c>
      <c r="N579" s="1">
        <f>WEEKNUM(orders[[#This Row],[Order Date]])</f>
        <v>4</v>
      </c>
      <c r="O579" s="1"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s="1">
        <v>53</v>
      </c>
      <c r="F580" s="2">
        <v>45682</v>
      </c>
      <c r="G580" s="2">
        <v>45686</v>
      </c>
      <c r="H580" s="1" t="s">
        <v>27</v>
      </c>
      <c r="I580" s="1" t="s">
        <v>18</v>
      </c>
      <c r="J580" s="1">
        <v>4</v>
      </c>
      <c r="K580" s="1" t="s">
        <v>19</v>
      </c>
      <c r="L580" s="1" t="s">
        <v>62</v>
      </c>
      <c r="M580" s="1">
        <f>orders[[#This Row],[Ship Date]]-orders[[#This Row],[Order Date]]</f>
        <v>4</v>
      </c>
      <c r="N580" s="1">
        <f>WEEKNUM(orders[[#This Row],[Order Date]])</f>
        <v>4</v>
      </c>
      <c r="O580" s="1"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s="1">
        <v>130.19999999999999</v>
      </c>
      <c r="F581" s="2">
        <v>45682</v>
      </c>
      <c r="G581" s="2">
        <v>45685</v>
      </c>
      <c r="H581" s="1" t="s">
        <v>27</v>
      </c>
      <c r="I581" s="1" t="s">
        <v>70</v>
      </c>
      <c r="J581" s="1">
        <v>4</v>
      </c>
      <c r="K581" s="1" t="s">
        <v>19</v>
      </c>
      <c r="L581" s="1" t="s">
        <v>62</v>
      </c>
      <c r="M581" s="1">
        <f>orders[[#This Row],[Ship Date]]-orders[[#This Row],[Order Date]]</f>
        <v>3</v>
      </c>
      <c r="N581" s="1">
        <f>WEEKNUM(orders[[#This Row],[Order Date]])</f>
        <v>4</v>
      </c>
      <c r="O581" s="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s="1">
        <v>80</v>
      </c>
      <c r="F582" s="2">
        <v>45682</v>
      </c>
      <c r="G582" s="2">
        <v>45682</v>
      </c>
      <c r="H582" s="1" t="s">
        <v>27</v>
      </c>
      <c r="I582" s="1" t="s">
        <v>18</v>
      </c>
      <c r="J582" s="1">
        <v>5</v>
      </c>
      <c r="K582" s="1" t="s">
        <v>19</v>
      </c>
      <c r="L582" s="1" t="s">
        <v>62</v>
      </c>
      <c r="M582" s="1">
        <f>orders[[#This Row],[Ship Date]]-orders[[#This Row],[Order Date]]</f>
        <v>0</v>
      </c>
      <c r="N582" s="1">
        <f>WEEKNUM(orders[[#This Row],[Order Date]])</f>
        <v>4</v>
      </c>
      <c r="O582" s="1"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s="1">
        <v>258.8</v>
      </c>
      <c r="F583" s="2">
        <v>45682</v>
      </c>
      <c r="G583" s="2">
        <v>45684</v>
      </c>
      <c r="H583" s="1" t="s">
        <v>27</v>
      </c>
      <c r="I583" s="1" t="s">
        <v>35</v>
      </c>
      <c r="J583" s="1">
        <v>2</v>
      </c>
      <c r="K583" s="1" t="s">
        <v>19</v>
      </c>
      <c r="L583" s="1" t="s">
        <v>62</v>
      </c>
      <c r="M583" s="1">
        <f>orders[[#This Row],[Ship Date]]-orders[[#This Row],[Order Date]]</f>
        <v>2</v>
      </c>
      <c r="N583" s="1">
        <f>WEEKNUM(orders[[#This Row],[Order Date]])</f>
        <v>4</v>
      </c>
      <c r="O583" s="1"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s="1">
        <v>289.3</v>
      </c>
      <c r="F584" s="2">
        <v>45683</v>
      </c>
      <c r="G584" s="2">
        <v>45683</v>
      </c>
      <c r="H584" s="1" t="s">
        <v>27</v>
      </c>
      <c r="I584" s="1" t="s">
        <v>70</v>
      </c>
      <c r="J584" s="1">
        <v>3</v>
      </c>
      <c r="K584" s="1" t="s">
        <v>19</v>
      </c>
      <c r="L584" s="1" t="s">
        <v>201</v>
      </c>
      <c r="M584" s="1">
        <f>orders[[#This Row],[Ship Date]]-orders[[#This Row],[Order Date]]</f>
        <v>0</v>
      </c>
      <c r="N584" s="1">
        <f>WEEKNUM(orders[[#This Row],[Order Date]])</f>
        <v>5</v>
      </c>
      <c r="O584" s="1"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s="1">
        <v>28.5</v>
      </c>
      <c r="F585" s="2">
        <v>45683</v>
      </c>
      <c r="G585" s="2">
        <v>45683</v>
      </c>
      <c r="H585" s="1" t="s">
        <v>23</v>
      </c>
      <c r="I585" s="1" t="s">
        <v>18</v>
      </c>
      <c r="J585" s="1">
        <v>3</v>
      </c>
      <c r="K585" s="1" t="s">
        <v>19</v>
      </c>
      <c r="L585" s="1" t="s">
        <v>72</v>
      </c>
      <c r="M585" s="1">
        <f>orders[[#This Row],[Ship Date]]-orders[[#This Row],[Order Date]]</f>
        <v>0</v>
      </c>
      <c r="N585" s="1">
        <f>WEEKNUM(orders[[#This Row],[Order Date]])</f>
        <v>5</v>
      </c>
      <c r="O585" s="1" t="str" cm="1">
        <f t="array" ref="O585">_xlfn.IFS(orders[[#This Row],[Customer Gender]]="M","Male", orders[[#This Row],[Customer Gender]]="F","Female", orders[[#This Row],[Customer Gender]]="O","Other", TRUE,"Unknown")</f>
        <v>Male</v>
      </c>
    </row>
    <row r="586" spans="1:15" x14ac:dyDescent="0.3">
      <c r="A586" t="s">
        <v>677</v>
      </c>
      <c r="B586" t="s">
        <v>135</v>
      </c>
      <c r="C586">
        <v>1</v>
      </c>
      <c r="D586">
        <v>47.8</v>
      </c>
      <c r="E586" s="1">
        <v>47.8</v>
      </c>
      <c r="F586" s="2">
        <v>45683</v>
      </c>
      <c r="G586" s="2">
        <v>45685</v>
      </c>
      <c r="H586" s="1" t="s">
        <v>27</v>
      </c>
      <c r="I586" s="1" t="s">
        <v>18</v>
      </c>
      <c r="J586" s="1">
        <v>3</v>
      </c>
      <c r="K586" s="1" t="s">
        <v>19</v>
      </c>
      <c r="L586" s="1" t="s">
        <v>72</v>
      </c>
      <c r="M586" s="1">
        <f>orders[[#This Row],[Ship Date]]-orders[[#This Row],[Order Date]]</f>
        <v>2</v>
      </c>
      <c r="N586" s="1">
        <f>WEEKNUM(orders[[#This Row],[Order Date]])</f>
        <v>5</v>
      </c>
      <c r="O586" s="1"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s="1">
        <v>128.39999999999998</v>
      </c>
      <c r="F587" s="2">
        <v>45683</v>
      </c>
      <c r="G587" s="2">
        <v>45686</v>
      </c>
      <c r="H587" s="1" t="s">
        <v>27</v>
      </c>
      <c r="I587" s="1" t="s">
        <v>70</v>
      </c>
      <c r="J587" s="1">
        <v>3</v>
      </c>
      <c r="K587" s="1" t="s">
        <v>19</v>
      </c>
      <c r="L587" s="1" t="s">
        <v>77</v>
      </c>
      <c r="M587" s="1">
        <f>orders[[#This Row],[Ship Date]]-orders[[#This Row],[Order Date]]</f>
        <v>3</v>
      </c>
      <c r="N587" s="1">
        <f>WEEKNUM(orders[[#This Row],[Order Date]])</f>
        <v>5</v>
      </c>
      <c r="O587" s="1"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s="1">
        <v>234</v>
      </c>
      <c r="F588" s="2">
        <v>45683</v>
      </c>
      <c r="G588" s="2">
        <v>45688</v>
      </c>
      <c r="H588" s="1" t="s">
        <v>27</v>
      </c>
      <c r="I588" s="1" t="s">
        <v>35</v>
      </c>
      <c r="J588" s="1">
        <v>5</v>
      </c>
      <c r="K588" s="1" t="s">
        <v>19</v>
      </c>
      <c r="L588" s="1" t="s">
        <v>77</v>
      </c>
      <c r="M588" s="1">
        <f>orders[[#This Row],[Ship Date]]-orders[[#This Row],[Order Date]]</f>
        <v>5</v>
      </c>
      <c r="N588" s="1">
        <f>WEEKNUM(orders[[#This Row],[Order Date]])</f>
        <v>5</v>
      </c>
      <c r="O588" s="1"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s="1">
        <v>641</v>
      </c>
      <c r="F589" s="2">
        <v>45683</v>
      </c>
      <c r="G589" s="2">
        <v>45684</v>
      </c>
      <c r="H589" s="1" t="s">
        <v>23</v>
      </c>
      <c r="I589" s="1" t="s">
        <v>35</v>
      </c>
      <c r="J589" s="1">
        <v>4</v>
      </c>
      <c r="K589" s="1" t="s">
        <v>19</v>
      </c>
      <c r="L589" s="1" t="s">
        <v>77</v>
      </c>
      <c r="M589" s="1">
        <f>orders[[#This Row],[Ship Date]]-orders[[#This Row],[Order Date]]</f>
        <v>1</v>
      </c>
      <c r="N589" s="1">
        <f>WEEKNUM(orders[[#This Row],[Order Date]])</f>
        <v>5</v>
      </c>
      <c r="O589" s="1" t="str" cm="1">
        <f t="array" ref="O589">_xlfn.IFS(orders[[#This Row],[Customer Gender]]="M","Male", orders[[#This Row],[Customer Gender]]="F","Female", orders[[#This Row],[Customer Gender]]="O","Other", TRUE,"Unknown")</f>
        <v>Male</v>
      </c>
    </row>
    <row r="590" spans="1:15" x14ac:dyDescent="0.3">
      <c r="A590" t="s">
        <v>681</v>
      </c>
      <c r="B590" t="s">
        <v>26</v>
      </c>
      <c r="C590">
        <v>1</v>
      </c>
      <c r="D590">
        <v>89.1</v>
      </c>
      <c r="E590" s="1">
        <v>89.1</v>
      </c>
      <c r="F590" s="2">
        <v>45683</v>
      </c>
      <c r="G590" s="2">
        <v>45684</v>
      </c>
      <c r="H590" s="1" t="s">
        <v>27</v>
      </c>
      <c r="I590" s="1" t="s">
        <v>18</v>
      </c>
      <c r="J590" s="1">
        <v>3</v>
      </c>
      <c r="K590" s="1" t="s">
        <v>19</v>
      </c>
      <c r="L590" s="1" t="s">
        <v>113</v>
      </c>
      <c r="M590" s="1">
        <f>orders[[#This Row],[Ship Date]]-orders[[#This Row],[Order Date]]</f>
        <v>1</v>
      </c>
      <c r="N590" s="1">
        <f>WEEKNUM(orders[[#This Row],[Order Date]])</f>
        <v>5</v>
      </c>
      <c r="O590" s="1"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s="1">
        <v>249.29999999999998</v>
      </c>
      <c r="F591" s="2">
        <v>45683</v>
      </c>
      <c r="G591" s="2">
        <v>45684</v>
      </c>
      <c r="H591" s="1" t="s">
        <v>27</v>
      </c>
      <c r="I591" s="1" t="s">
        <v>40</v>
      </c>
      <c r="J591" s="1">
        <v>3</v>
      </c>
      <c r="K591" s="1" t="s">
        <v>19</v>
      </c>
      <c r="L591" s="1" t="s">
        <v>82</v>
      </c>
      <c r="M591" s="1">
        <f>orders[[#This Row],[Ship Date]]-orders[[#This Row],[Order Date]]</f>
        <v>1</v>
      </c>
      <c r="N591" s="1">
        <f>WEEKNUM(orders[[#This Row],[Order Date]])</f>
        <v>5</v>
      </c>
      <c r="O591" s="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s="1">
        <v>122.69999999999999</v>
      </c>
      <c r="F592" s="2">
        <v>45683</v>
      </c>
      <c r="G592" s="2">
        <v>45684</v>
      </c>
      <c r="H592" s="1" t="s">
        <v>23</v>
      </c>
      <c r="I592" s="1" t="s">
        <v>18</v>
      </c>
      <c r="J592" s="1">
        <v>4</v>
      </c>
      <c r="K592" s="1" t="s">
        <v>19</v>
      </c>
      <c r="L592" s="1" t="s">
        <v>24</v>
      </c>
      <c r="M592" s="1">
        <f>orders[[#This Row],[Ship Date]]-orders[[#This Row],[Order Date]]</f>
        <v>1</v>
      </c>
      <c r="N592" s="1">
        <f>WEEKNUM(orders[[#This Row],[Order Date]])</f>
        <v>5</v>
      </c>
      <c r="O592" s="1" t="str" cm="1">
        <f t="array" ref="O592">_xlfn.IFS(orders[[#This Row],[Customer Gender]]="M","Male", orders[[#This Row],[Customer Gender]]="F","Female", orders[[#This Row],[Customer Gender]]="O","Other", TRUE,"Unknown")</f>
        <v>Male</v>
      </c>
    </row>
    <row r="593" spans="1:15" x14ac:dyDescent="0.3">
      <c r="A593" t="s">
        <v>684</v>
      </c>
      <c r="B593" t="s">
        <v>26</v>
      </c>
      <c r="C593">
        <v>2</v>
      </c>
      <c r="D593">
        <v>125.7</v>
      </c>
      <c r="E593" s="1">
        <v>251.4</v>
      </c>
      <c r="F593" s="2">
        <v>45683</v>
      </c>
      <c r="G593" s="2">
        <v>45684</v>
      </c>
      <c r="H593" s="1" t="s">
        <v>27</v>
      </c>
      <c r="I593" s="1" t="s">
        <v>51</v>
      </c>
      <c r="J593" s="1">
        <v>4</v>
      </c>
      <c r="K593" s="1" t="s">
        <v>19</v>
      </c>
      <c r="L593" s="1" t="s">
        <v>28</v>
      </c>
      <c r="M593" s="1">
        <f>orders[[#This Row],[Ship Date]]-orders[[#This Row],[Order Date]]</f>
        <v>1</v>
      </c>
      <c r="N593" s="1">
        <f>WEEKNUM(orders[[#This Row],[Order Date]])</f>
        <v>5</v>
      </c>
      <c r="O593" s="1"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s="1">
        <v>61.8</v>
      </c>
      <c r="F594" s="2">
        <v>45683</v>
      </c>
      <c r="G594" s="2">
        <v>45683</v>
      </c>
      <c r="H594" s="1" t="s">
        <v>27</v>
      </c>
      <c r="I594" s="1" t="s">
        <v>40</v>
      </c>
      <c r="J594" s="1">
        <v>5</v>
      </c>
      <c r="K594" s="1" t="s">
        <v>19</v>
      </c>
      <c r="L594" s="1" t="s">
        <v>147</v>
      </c>
      <c r="M594" s="1">
        <f>orders[[#This Row],[Ship Date]]-orders[[#This Row],[Order Date]]</f>
        <v>0</v>
      </c>
      <c r="N594" s="1">
        <f>WEEKNUM(orders[[#This Row],[Order Date]])</f>
        <v>5</v>
      </c>
      <c r="O594" s="1"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s="1">
        <v>36.6</v>
      </c>
      <c r="F595" s="2">
        <v>45683</v>
      </c>
      <c r="G595" s="2">
        <v>45684</v>
      </c>
      <c r="H595" s="1" t="s">
        <v>27</v>
      </c>
      <c r="I595" s="1" t="s">
        <v>35</v>
      </c>
      <c r="J595" s="1">
        <v>4</v>
      </c>
      <c r="K595" s="1" t="s">
        <v>19</v>
      </c>
      <c r="L595" s="1" t="s">
        <v>33</v>
      </c>
      <c r="M595" s="1">
        <f>orders[[#This Row],[Ship Date]]-orders[[#This Row],[Order Date]]</f>
        <v>1</v>
      </c>
      <c r="N595" s="1">
        <f>WEEKNUM(orders[[#This Row],[Order Date]])</f>
        <v>5</v>
      </c>
      <c r="O595" s="1"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s="1">
        <v>113</v>
      </c>
      <c r="F596" s="2">
        <v>45683</v>
      </c>
      <c r="G596" s="2">
        <v>45687</v>
      </c>
      <c r="H596" s="1" t="s">
        <v>23</v>
      </c>
      <c r="I596" s="1" t="s">
        <v>40</v>
      </c>
      <c r="J596" s="1">
        <v>5</v>
      </c>
      <c r="K596" s="1" t="s">
        <v>19</v>
      </c>
      <c r="L596" s="1" t="s">
        <v>33</v>
      </c>
      <c r="M596" s="1">
        <f>orders[[#This Row],[Ship Date]]-orders[[#This Row],[Order Date]]</f>
        <v>4</v>
      </c>
      <c r="N596" s="1">
        <f>WEEKNUM(orders[[#This Row],[Order Date]])</f>
        <v>5</v>
      </c>
      <c r="O596" s="1" t="str" cm="1">
        <f t="array" ref="O596">_xlfn.IFS(orders[[#This Row],[Customer Gender]]="M","Male", orders[[#This Row],[Customer Gender]]="F","Female", orders[[#This Row],[Customer Gender]]="O","Other", TRUE,"Unknown")</f>
        <v>Male</v>
      </c>
    </row>
    <row r="597" spans="1:15" x14ac:dyDescent="0.3">
      <c r="A597" t="s">
        <v>688</v>
      </c>
      <c r="B597" t="s">
        <v>54</v>
      </c>
      <c r="C597">
        <v>7</v>
      </c>
      <c r="D597">
        <v>29.9</v>
      </c>
      <c r="E597" s="1">
        <v>209.29999999999998</v>
      </c>
      <c r="F597" s="2">
        <v>45683</v>
      </c>
      <c r="G597" s="2">
        <v>45685</v>
      </c>
      <c r="H597" s="1" t="s">
        <v>23</v>
      </c>
      <c r="I597" s="1" t="s">
        <v>70</v>
      </c>
      <c r="J597" s="1">
        <v>5</v>
      </c>
      <c r="K597" s="1" t="s">
        <v>19</v>
      </c>
      <c r="L597" s="1" t="s">
        <v>33</v>
      </c>
      <c r="M597" s="1">
        <f>orders[[#This Row],[Ship Date]]-orders[[#This Row],[Order Date]]</f>
        <v>2</v>
      </c>
      <c r="N597" s="1">
        <f>WEEKNUM(orders[[#This Row],[Order Date]])</f>
        <v>5</v>
      </c>
      <c r="O597" s="1" t="str" cm="1">
        <f t="array" ref="O597">_xlfn.IFS(orders[[#This Row],[Customer Gender]]="M","Male", orders[[#This Row],[Customer Gender]]="F","Female", orders[[#This Row],[Customer Gender]]="O","Other", TRUE,"Unknown")</f>
        <v>Male</v>
      </c>
    </row>
    <row r="598" spans="1:15" x14ac:dyDescent="0.3">
      <c r="A598" t="s">
        <v>689</v>
      </c>
      <c r="B598" t="s">
        <v>37</v>
      </c>
      <c r="C598">
        <v>2</v>
      </c>
      <c r="D598">
        <v>50.4</v>
      </c>
      <c r="E598" s="1">
        <v>100.8</v>
      </c>
      <c r="F598" s="2">
        <v>45683</v>
      </c>
      <c r="G598" s="2">
        <v>45684</v>
      </c>
      <c r="H598" s="1" t="s">
        <v>27</v>
      </c>
      <c r="I598" s="1" t="s">
        <v>40</v>
      </c>
      <c r="J598" s="1">
        <v>4</v>
      </c>
      <c r="K598" s="1" t="s">
        <v>19</v>
      </c>
      <c r="L598" s="1" t="s">
        <v>33</v>
      </c>
      <c r="M598" s="1">
        <f>orders[[#This Row],[Ship Date]]-orders[[#This Row],[Order Date]]</f>
        <v>1</v>
      </c>
      <c r="N598" s="1">
        <f>WEEKNUM(orders[[#This Row],[Order Date]])</f>
        <v>5</v>
      </c>
      <c r="O598" s="1"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s="1">
        <v>85.8</v>
      </c>
      <c r="F599" s="2">
        <v>45683</v>
      </c>
      <c r="G599" s="2">
        <v>45683</v>
      </c>
      <c r="H599" s="1" t="s">
        <v>27</v>
      </c>
      <c r="I599" s="1" t="s">
        <v>40</v>
      </c>
      <c r="J599" s="1">
        <v>5</v>
      </c>
      <c r="K599" s="1" t="s">
        <v>19</v>
      </c>
      <c r="L599" s="1" t="s">
        <v>33</v>
      </c>
      <c r="M599" s="1">
        <f>orders[[#This Row],[Ship Date]]-orders[[#This Row],[Order Date]]</f>
        <v>0</v>
      </c>
      <c r="N599" s="1">
        <f>WEEKNUM(orders[[#This Row],[Order Date]])</f>
        <v>5</v>
      </c>
      <c r="O599" s="1"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s="1">
        <v>1065.5999999999999</v>
      </c>
      <c r="F600" s="2">
        <v>45683</v>
      </c>
      <c r="G600" s="2">
        <v>45685</v>
      </c>
      <c r="H600" s="1" t="s">
        <v>23</v>
      </c>
      <c r="I600" s="1" t="s">
        <v>35</v>
      </c>
      <c r="J600" s="1">
        <v>4</v>
      </c>
      <c r="K600" s="1" t="s">
        <v>19</v>
      </c>
      <c r="L600" s="1" t="s">
        <v>33</v>
      </c>
      <c r="M600" s="1">
        <f>orders[[#This Row],[Ship Date]]-orders[[#This Row],[Order Date]]</f>
        <v>2</v>
      </c>
      <c r="N600" s="1">
        <f>WEEKNUM(orders[[#This Row],[Order Date]])</f>
        <v>5</v>
      </c>
      <c r="O600" s="1" t="str" cm="1">
        <f t="array" ref="O600">_xlfn.IFS(orders[[#This Row],[Customer Gender]]="M","Male", orders[[#This Row],[Customer Gender]]="F","Female", orders[[#This Row],[Customer Gender]]="O","Other", TRUE,"Unknown")</f>
        <v>Male</v>
      </c>
    </row>
    <row r="601" spans="1:15" x14ac:dyDescent="0.3">
      <c r="A601" t="s">
        <v>692</v>
      </c>
      <c r="B601" t="s">
        <v>39</v>
      </c>
      <c r="C601">
        <v>4</v>
      </c>
      <c r="D601">
        <v>70.3</v>
      </c>
      <c r="E601" s="1">
        <v>281.2</v>
      </c>
      <c r="F601" s="2">
        <v>45683</v>
      </c>
      <c r="G601" s="2">
        <v>45684</v>
      </c>
      <c r="H601" s="1" t="s">
        <v>27</v>
      </c>
      <c r="I601" s="1" t="s">
        <v>18</v>
      </c>
      <c r="J601" s="1">
        <v>3</v>
      </c>
      <c r="K601" s="1" t="s">
        <v>19</v>
      </c>
      <c r="L601" s="1" t="s">
        <v>33</v>
      </c>
      <c r="M601" s="1">
        <f>orders[[#This Row],[Ship Date]]-orders[[#This Row],[Order Date]]</f>
        <v>1</v>
      </c>
      <c r="N601" s="1">
        <f>WEEKNUM(orders[[#This Row],[Order Date]])</f>
        <v>5</v>
      </c>
      <c r="O601" s="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s="1">
        <v>124</v>
      </c>
      <c r="F602" s="2">
        <v>45683</v>
      </c>
      <c r="G602" s="2">
        <v>45686</v>
      </c>
      <c r="H602" s="1" t="s">
        <v>23</v>
      </c>
      <c r="I602" s="1" t="s">
        <v>18</v>
      </c>
      <c r="J602" s="1">
        <v>5</v>
      </c>
      <c r="K602" s="1" t="s">
        <v>19</v>
      </c>
      <c r="L602" s="1" t="s">
        <v>33</v>
      </c>
      <c r="M602" s="1">
        <f>orders[[#This Row],[Ship Date]]-orders[[#This Row],[Order Date]]</f>
        <v>3</v>
      </c>
      <c r="N602" s="1">
        <f>WEEKNUM(orders[[#This Row],[Order Date]])</f>
        <v>5</v>
      </c>
      <c r="O602" s="1"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s="1">
        <v>489.59999999999997</v>
      </c>
      <c r="F603" s="2">
        <v>45683</v>
      </c>
      <c r="G603" s="2">
        <v>45684</v>
      </c>
      <c r="H603" s="1" t="s">
        <v>27</v>
      </c>
      <c r="I603" s="1" t="s">
        <v>35</v>
      </c>
      <c r="J603" s="1">
        <v>3</v>
      </c>
      <c r="K603" s="1" t="s">
        <v>19</v>
      </c>
      <c r="L603" s="1" t="s">
        <v>364</v>
      </c>
      <c r="M603" s="1">
        <f>orders[[#This Row],[Ship Date]]-orders[[#This Row],[Order Date]]</f>
        <v>1</v>
      </c>
      <c r="N603" s="1">
        <f>WEEKNUM(orders[[#This Row],[Order Date]])</f>
        <v>5</v>
      </c>
      <c r="O603" s="1"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s="1">
        <v>1457.5</v>
      </c>
      <c r="F604" s="2">
        <v>45683</v>
      </c>
      <c r="G604" s="2">
        <v>45684</v>
      </c>
      <c r="H604" s="1" t="s">
        <v>27</v>
      </c>
      <c r="I604" s="1" t="s">
        <v>18</v>
      </c>
      <c r="J604" s="1">
        <v>4</v>
      </c>
      <c r="K604" s="1" t="s">
        <v>19</v>
      </c>
      <c r="L604" s="1" t="s">
        <v>98</v>
      </c>
      <c r="M604" s="1">
        <f>orders[[#This Row],[Ship Date]]-orders[[#This Row],[Order Date]]</f>
        <v>1</v>
      </c>
      <c r="N604" s="1">
        <f>WEEKNUM(orders[[#This Row],[Order Date]])</f>
        <v>5</v>
      </c>
      <c r="O604" s="1"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s="1">
        <v>140.4</v>
      </c>
      <c r="F605" s="2">
        <v>45683</v>
      </c>
      <c r="G605" s="2">
        <v>45685</v>
      </c>
      <c r="H605" s="1" t="s">
        <v>23</v>
      </c>
      <c r="I605" s="1" t="s">
        <v>18</v>
      </c>
      <c r="J605" s="1">
        <v>5</v>
      </c>
      <c r="K605" s="1" t="s">
        <v>19</v>
      </c>
      <c r="L605" s="1" t="s">
        <v>62</v>
      </c>
      <c r="M605" s="1">
        <f>orders[[#This Row],[Ship Date]]-orders[[#This Row],[Order Date]]</f>
        <v>2</v>
      </c>
      <c r="N605" s="1">
        <f>WEEKNUM(orders[[#This Row],[Order Date]])</f>
        <v>5</v>
      </c>
      <c r="O605" s="1" t="str" cm="1">
        <f t="array" ref="O605">_xlfn.IFS(orders[[#This Row],[Customer Gender]]="M","Male", orders[[#This Row],[Customer Gender]]="F","Female", orders[[#This Row],[Customer Gender]]="O","Other", TRUE,"Unknown")</f>
        <v>Male</v>
      </c>
    </row>
    <row r="606" spans="1:15" x14ac:dyDescent="0.3">
      <c r="A606" t="s">
        <v>697</v>
      </c>
      <c r="B606" t="s">
        <v>26</v>
      </c>
      <c r="C606">
        <v>1</v>
      </c>
      <c r="D606">
        <v>80.2</v>
      </c>
      <c r="E606" s="1">
        <v>80.2</v>
      </c>
      <c r="F606" s="2">
        <v>45683</v>
      </c>
      <c r="G606" s="2">
        <v>45684</v>
      </c>
      <c r="H606" s="1" t="s">
        <v>23</v>
      </c>
      <c r="I606" s="1" t="s">
        <v>51</v>
      </c>
      <c r="J606" s="1">
        <v>5</v>
      </c>
      <c r="K606" s="1" t="s">
        <v>19</v>
      </c>
      <c r="L606" s="1" t="s">
        <v>62</v>
      </c>
      <c r="M606" s="1">
        <f>orders[[#This Row],[Ship Date]]-orders[[#This Row],[Order Date]]</f>
        <v>1</v>
      </c>
      <c r="N606" s="1">
        <f>WEEKNUM(orders[[#This Row],[Order Date]])</f>
        <v>5</v>
      </c>
      <c r="O606" s="1"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s="1">
        <v>117.60000000000001</v>
      </c>
      <c r="F607" s="2">
        <v>45683</v>
      </c>
      <c r="G607" s="2">
        <v>45685</v>
      </c>
      <c r="H607" s="1" t="s">
        <v>27</v>
      </c>
      <c r="I607" s="1" t="s">
        <v>35</v>
      </c>
      <c r="J607" s="1">
        <v>4</v>
      </c>
      <c r="K607" s="1" t="s">
        <v>19</v>
      </c>
      <c r="L607" s="1" t="s">
        <v>72</v>
      </c>
      <c r="M607" s="1">
        <f>orders[[#This Row],[Ship Date]]-orders[[#This Row],[Order Date]]</f>
        <v>2</v>
      </c>
      <c r="N607" s="1">
        <f>WEEKNUM(orders[[#This Row],[Order Date]])</f>
        <v>5</v>
      </c>
      <c r="O607" s="1"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s="1">
        <v>30.8</v>
      </c>
      <c r="F608" s="2">
        <v>45683</v>
      </c>
      <c r="G608" s="2">
        <v>45683</v>
      </c>
      <c r="H608" s="1" t="s">
        <v>27</v>
      </c>
      <c r="I608" s="1" t="s">
        <v>51</v>
      </c>
      <c r="J608" s="1">
        <v>4</v>
      </c>
      <c r="K608" s="1" t="s">
        <v>19</v>
      </c>
      <c r="L608" s="1" t="s">
        <v>700</v>
      </c>
      <c r="M608" s="1">
        <f>orders[[#This Row],[Ship Date]]-orders[[#This Row],[Order Date]]</f>
        <v>0</v>
      </c>
      <c r="N608" s="1">
        <f>WEEKNUM(orders[[#This Row],[Order Date]])</f>
        <v>5</v>
      </c>
      <c r="O608" s="1"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s="1">
        <v>196.20000000000002</v>
      </c>
      <c r="F609" s="2">
        <v>45683</v>
      </c>
      <c r="G609" s="2">
        <v>45686</v>
      </c>
      <c r="H609" s="1" t="s">
        <v>23</v>
      </c>
      <c r="I609" s="1" t="s">
        <v>51</v>
      </c>
      <c r="J609" s="1">
        <v>4</v>
      </c>
      <c r="K609" s="1" t="s">
        <v>19</v>
      </c>
      <c r="L609" s="1" t="s">
        <v>108</v>
      </c>
      <c r="M609" s="1">
        <f>orders[[#This Row],[Ship Date]]-orders[[#This Row],[Order Date]]</f>
        <v>3</v>
      </c>
      <c r="N609" s="1">
        <f>WEEKNUM(orders[[#This Row],[Order Date]])</f>
        <v>5</v>
      </c>
      <c r="O609" s="1" t="str" cm="1">
        <f t="array" ref="O609">_xlfn.IFS(orders[[#This Row],[Customer Gender]]="M","Male", orders[[#This Row],[Customer Gender]]="F","Female", orders[[#This Row],[Customer Gender]]="O","Other", TRUE,"Unknown")</f>
        <v>Male</v>
      </c>
    </row>
    <row r="610" spans="1:15" x14ac:dyDescent="0.3">
      <c r="A610" t="s">
        <v>702</v>
      </c>
      <c r="B610" t="s">
        <v>22</v>
      </c>
      <c r="C610">
        <v>8</v>
      </c>
      <c r="D610">
        <v>63.2</v>
      </c>
      <c r="E610" s="1">
        <v>505.6</v>
      </c>
      <c r="F610" s="2">
        <v>45683</v>
      </c>
      <c r="G610" s="2">
        <v>45685</v>
      </c>
      <c r="H610" s="1" t="s">
        <v>27</v>
      </c>
      <c r="I610" s="1" t="s">
        <v>35</v>
      </c>
      <c r="J610" s="1">
        <v>4</v>
      </c>
      <c r="K610" s="1" t="s">
        <v>19</v>
      </c>
      <c r="L610" s="1" t="s">
        <v>110</v>
      </c>
      <c r="M610" s="1">
        <f>orders[[#This Row],[Ship Date]]-orders[[#This Row],[Order Date]]</f>
        <v>2</v>
      </c>
      <c r="N610" s="1">
        <f>WEEKNUM(orders[[#This Row],[Order Date]])</f>
        <v>5</v>
      </c>
      <c r="O610" s="1"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s="1">
        <v>214.20000000000002</v>
      </c>
      <c r="F611" s="2">
        <v>45683</v>
      </c>
      <c r="G611" s="2">
        <v>45687</v>
      </c>
      <c r="H611" s="1" t="s">
        <v>27</v>
      </c>
      <c r="I611" s="1" t="s">
        <v>70</v>
      </c>
      <c r="J611" s="1">
        <v>3</v>
      </c>
      <c r="K611" s="1" t="s">
        <v>19</v>
      </c>
      <c r="L611" s="1" t="s">
        <v>110</v>
      </c>
      <c r="M611" s="1">
        <f>orders[[#This Row],[Ship Date]]-orders[[#This Row],[Order Date]]</f>
        <v>4</v>
      </c>
      <c r="N611" s="1">
        <f>WEEKNUM(orders[[#This Row],[Order Date]])</f>
        <v>5</v>
      </c>
      <c r="O611" s="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s="1">
        <v>524</v>
      </c>
      <c r="F612" s="2">
        <v>45683</v>
      </c>
      <c r="G612" s="2">
        <v>45684</v>
      </c>
      <c r="H612" s="1" t="s">
        <v>27</v>
      </c>
      <c r="I612" s="1" t="s">
        <v>51</v>
      </c>
      <c r="J612" s="1">
        <v>4</v>
      </c>
      <c r="K612" s="1" t="s">
        <v>19</v>
      </c>
      <c r="L612" s="1" t="s">
        <v>115</v>
      </c>
      <c r="M612" s="1">
        <f>orders[[#This Row],[Ship Date]]-orders[[#This Row],[Order Date]]</f>
        <v>1</v>
      </c>
      <c r="N612" s="1">
        <f>WEEKNUM(orders[[#This Row],[Order Date]])</f>
        <v>5</v>
      </c>
      <c r="O612" s="1" t="str" cm="1">
        <f t="array" ref="O612">_xlfn.IFS(orders[[#This Row],[Customer Gender]]="M","Male", orders[[#This Row],[Customer Gender]]="F","Female", orders[[#This Row],[Customer Gender]]="O","Other", TRUE,"Unknown")</f>
        <v>Female</v>
      </c>
    </row>
    <row r="613" spans="1:15" x14ac:dyDescent="0.3">
      <c r="A613" t="s">
        <v>705</v>
      </c>
      <c r="B613" t="s">
        <v>42</v>
      </c>
      <c r="C613">
        <v>2</v>
      </c>
      <c r="D613">
        <v>31</v>
      </c>
      <c r="E613" s="1">
        <v>62</v>
      </c>
      <c r="F613" s="2">
        <v>45683</v>
      </c>
      <c r="G613" s="2">
        <v>45684</v>
      </c>
      <c r="H613" s="1" t="s">
        <v>27</v>
      </c>
      <c r="I613" s="1" t="s">
        <v>18</v>
      </c>
      <c r="J613" s="1">
        <v>5</v>
      </c>
      <c r="K613" s="1" t="s">
        <v>19</v>
      </c>
      <c r="L613" s="1" t="s">
        <v>24</v>
      </c>
      <c r="M613" s="1">
        <f>orders[[#This Row],[Ship Date]]-orders[[#This Row],[Order Date]]</f>
        <v>1</v>
      </c>
      <c r="N613" s="1">
        <f>WEEKNUM(orders[[#This Row],[Order Date]])</f>
        <v>5</v>
      </c>
      <c r="O613" s="1"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s="1">
        <v>150.80000000000001</v>
      </c>
      <c r="F614" s="2">
        <v>45683</v>
      </c>
      <c r="G614" s="2">
        <v>45684</v>
      </c>
      <c r="H614" s="1" t="s">
        <v>27</v>
      </c>
      <c r="I614" s="1" t="s">
        <v>35</v>
      </c>
      <c r="J614" s="1">
        <v>4</v>
      </c>
      <c r="K614" s="1" t="s">
        <v>19</v>
      </c>
      <c r="L614" s="1" t="s">
        <v>147</v>
      </c>
      <c r="M614" s="1">
        <f>orders[[#This Row],[Ship Date]]-orders[[#This Row],[Order Date]]</f>
        <v>1</v>
      </c>
      <c r="N614" s="1">
        <f>WEEKNUM(orders[[#This Row],[Order Date]])</f>
        <v>5</v>
      </c>
      <c r="O614" s="1"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s="1">
        <v>1482.4</v>
      </c>
      <c r="F615" s="2">
        <v>45683</v>
      </c>
      <c r="G615" s="2">
        <v>45685</v>
      </c>
      <c r="H615" s="1" t="s">
        <v>27</v>
      </c>
      <c r="I615" s="1" t="s">
        <v>70</v>
      </c>
      <c r="J615" s="1">
        <v>3</v>
      </c>
      <c r="K615" s="1" t="s">
        <v>19</v>
      </c>
      <c r="L615" s="1" t="s">
        <v>33</v>
      </c>
      <c r="M615" s="1">
        <f>orders[[#This Row],[Ship Date]]-orders[[#This Row],[Order Date]]</f>
        <v>2</v>
      </c>
      <c r="N615" s="1">
        <f>WEEKNUM(orders[[#This Row],[Order Date]])</f>
        <v>5</v>
      </c>
      <c r="O615" s="1"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s="1">
        <v>106</v>
      </c>
      <c r="F616" s="2">
        <v>45683</v>
      </c>
      <c r="G616" s="2">
        <v>45685</v>
      </c>
      <c r="H616" s="1" t="s">
        <v>23</v>
      </c>
      <c r="I616" s="1" t="s">
        <v>18</v>
      </c>
      <c r="J616" s="1">
        <v>2</v>
      </c>
      <c r="K616" s="1" t="s">
        <v>19</v>
      </c>
      <c r="L616" s="1" t="s">
        <v>33</v>
      </c>
      <c r="M616" s="1">
        <f>orders[[#This Row],[Ship Date]]-orders[[#This Row],[Order Date]]</f>
        <v>2</v>
      </c>
      <c r="N616" s="1">
        <f>WEEKNUM(orders[[#This Row],[Order Date]])</f>
        <v>5</v>
      </c>
      <c r="O616" s="1" t="str" cm="1">
        <f t="array" ref="O616">_xlfn.IFS(orders[[#This Row],[Customer Gender]]="M","Male", orders[[#This Row],[Customer Gender]]="F","Female", orders[[#This Row],[Customer Gender]]="O","Other", TRUE,"Unknown")</f>
        <v>Male</v>
      </c>
    </row>
    <row r="617" spans="1:15" x14ac:dyDescent="0.3">
      <c r="A617" t="s">
        <v>709</v>
      </c>
      <c r="B617" t="s">
        <v>16</v>
      </c>
      <c r="C617">
        <v>2</v>
      </c>
      <c r="D617">
        <v>34.6</v>
      </c>
      <c r="E617" s="1">
        <v>69.2</v>
      </c>
      <c r="F617" s="2">
        <v>45683</v>
      </c>
      <c r="G617" s="2">
        <v>45684</v>
      </c>
      <c r="H617" s="1" t="s">
        <v>23</v>
      </c>
      <c r="I617" s="1" t="s">
        <v>70</v>
      </c>
      <c r="J617" s="1">
        <v>3</v>
      </c>
      <c r="K617" s="1" t="s">
        <v>19</v>
      </c>
      <c r="L617" s="1" t="s">
        <v>33</v>
      </c>
      <c r="M617" s="1">
        <f>orders[[#This Row],[Ship Date]]-orders[[#This Row],[Order Date]]</f>
        <v>1</v>
      </c>
      <c r="N617" s="1">
        <f>WEEKNUM(orders[[#This Row],[Order Date]])</f>
        <v>5</v>
      </c>
      <c r="O617" s="1" t="str" cm="1">
        <f t="array" ref="O617">_xlfn.IFS(orders[[#This Row],[Customer Gender]]="M","Male", orders[[#This Row],[Customer Gender]]="F","Female", orders[[#This Row],[Customer Gender]]="O","Other", TRUE,"Unknown")</f>
        <v>Male</v>
      </c>
    </row>
    <row r="618" spans="1:15" x14ac:dyDescent="0.3">
      <c r="A618" t="s">
        <v>710</v>
      </c>
      <c r="B618" t="s">
        <v>44</v>
      </c>
      <c r="C618">
        <v>2</v>
      </c>
      <c r="D618">
        <v>58.2</v>
      </c>
      <c r="E618" s="1">
        <v>116.4</v>
      </c>
      <c r="F618" s="2">
        <v>45683</v>
      </c>
      <c r="G618" s="2">
        <v>45684</v>
      </c>
      <c r="H618" s="1" t="s">
        <v>23</v>
      </c>
      <c r="I618" s="1" t="s">
        <v>40</v>
      </c>
      <c r="J618" s="1">
        <v>5</v>
      </c>
      <c r="K618" s="1" t="s">
        <v>19</v>
      </c>
      <c r="L618" s="1" t="s">
        <v>33</v>
      </c>
      <c r="M618" s="1">
        <f>orders[[#This Row],[Ship Date]]-orders[[#This Row],[Order Date]]</f>
        <v>1</v>
      </c>
      <c r="N618" s="1">
        <f>WEEKNUM(orders[[#This Row],[Order Date]])</f>
        <v>5</v>
      </c>
      <c r="O618" s="1" t="str" cm="1">
        <f t="array" ref="O618">_xlfn.IFS(orders[[#This Row],[Customer Gender]]="M","Male", orders[[#This Row],[Customer Gender]]="F","Female", orders[[#This Row],[Customer Gender]]="O","Other", TRUE,"Unknown")</f>
        <v>Male</v>
      </c>
    </row>
    <row r="619" spans="1:15" x14ac:dyDescent="0.3">
      <c r="A619" t="s">
        <v>711</v>
      </c>
      <c r="B619" t="s">
        <v>42</v>
      </c>
      <c r="C619">
        <v>1</v>
      </c>
      <c r="D619">
        <v>30.2</v>
      </c>
      <c r="E619" s="1">
        <v>30.2</v>
      </c>
      <c r="F619" s="2">
        <v>45684</v>
      </c>
      <c r="G619" s="2">
        <v>45685</v>
      </c>
      <c r="H619" s="1" t="s">
        <v>27</v>
      </c>
      <c r="I619" s="1" t="s">
        <v>40</v>
      </c>
      <c r="J619" s="1">
        <v>3</v>
      </c>
      <c r="K619" s="1" t="s">
        <v>19</v>
      </c>
      <c r="L619" s="1" t="s">
        <v>33</v>
      </c>
      <c r="M619" s="1">
        <f>orders[[#This Row],[Ship Date]]-orders[[#This Row],[Order Date]]</f>
        <v>1</v>
      </c>
      <c r="N619" s="1">
        <f>WEEKNUM(orders[[#This Row],[Order Date]])</f>
        <v>5</v>
      </c>
      <c r="O619" s="1"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s="1">
        <v>532</v>
      </c>
      <c r="F620" s="2">
        <v>45684</v>
      </c>
      <c r="G620" s="2">
        <v>45685</v>
      </c>
      <c r="H620" s="1" t="s">
        <v>23</v>
      </c>
      <c r="I620" s="1" t="s">
        <v>18</v>
      </c>
      <c r="J620" s="1">
        <v>5</v>
      </c>
      <c r="K620" s="1" t="s">
        <v>19</v>
      </c>
      <c r="L620" s="1" t="s">
        <v>52</v>
      </c>
      <c r="M620" s="1">
        <f>orders[[#This Row],[Ship Date]]-orders[[#This Row],[Order Date]]</f>
        <v>1</v>
      </c>
      <c r="N620" s="1">
        <f>WEEKNUM(orders[[#This Row],[Order Date]])</f>
        <v>5</v>
      </c>
      <c r="O620" s="1" t="str" cm="1">
        <f t="array" ref="O620">_xlfn.IFS(orders[[#This Row],[Customer Gender]]="M","Male", orders[[#This Row],[Customer Gender]]="F","Female", orders[[#This Row],[Customer Gender]]="O","Other", TRUE,"Unknown")</f>
        <v>Male</v>
      </c>
    </row>
    <row r="621" spans="1:15" x14ac:dyDescent="0.3">
      <c r="A621" t="s">
        <v>713</v>
      </c>
      <c r="B621" t="s">
        <v>69</v>
      </c>
      <c r="C621">
        <v>6</v>
      </c>
      <c r="D621">
        <v>51.1</v>
      </c>
      <c r="E621" s="1">
        <v>306.60000000000002</v>
      </c>
      <c r="F621" s="2">
        <v>45684</v>
      </c>
      <c r="G621" s="2">
        <v>45684</v>
      </c>
      <c r="H621" s="1" t="s">
        <v>23</v>
      </c>
      <c r="I621" s="1" t="s">
        <v>35</v>
      </c>
      <c r="J621" s="1">
        <v>5</v>
      </c>
      <c r="K621" s="1" t="s">
        <v>19</v>
      </c>
      <c r="L621" s="1" t="s">
        <v>52</v>
      </c>
      <c r="M621" s="1">
        <f>orders[[#This Row],[Ship Date]]-orders[[#This Row],[Order Date]]</f>
        <v>0</v>
      </c>
      <c r="N621" s="1">
        <f>WEEKNUM(orders[[#This Row],[Order Date]])</f>
        <v>5</v>
      </c>
      <c r="O621" s="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s="1">
        <v>105.4</v>
      </c>
      <c r="F622" s="2">
        <v>45684</v>
      </c>
      <c r="G622" s="2">
        <v>45688</v>
      </c>
      <c r="H622" s="1" t="s">
        <v>27</v>
      </c>
      <c r="I622" s="1" t="s">
        <v>35</v>
      </c>
      <c r="J622" s="1">
        <v>5</v>
      </c>
      <c r="K622" s="1" t="s">
        <v>19</v>
      </c>
      <c r="L622" s="1" t="s">
        <v>158</v>
      </c>
      <c r="M622" s="1">
        <f>orders[[#This Row],[Ship Date]]-orders[[#This Row],[Order Date]]</f>
        <v>4</v>
      </c>
      <c r="N622" s="1">
        <f>WEEKNUM(orders[[#This Row],[Order Date]])</f>
        <v>5</v>
      </c>
      <c r="O622" s="1"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s="1">
        <v>57.7</v>
      </c>
      <c r="F623" s="2">
        <v>45684</v>
      </c>
      <c r="G623" s="2">
        <v>45684</v>
      </c>
      <c r="H623" s="1" t="s">
        <v>23</v>
      </c>
      <c r="I623" s="1" t="s">
        <v>18</v>
      </c>
      <c r="J623" s="1">
        <v>2</v>
      </c>
      <c r="K623" s="1" t="s">
        <v>19</v>
      </c>
      <c r="L623" s="1" t="s">
        <v>62</v>
      </c>
      <c r="M623" s="1">
        <f>orders[[#This Row],[Ship Date]]-orders[[#This Row],[Order Date]]</f>
        <v>0</v>
      </c>
      <c r="N623" s="1">
        <f>WEEKNUM(orders[[#This Row],[Order Date]])</f>
        <v>5</v>
      </c>
      <c r="O623" s="1"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s="1">
        <v>144.80000000000001</v>
      </c>
      <c r="F624" s="2">
        <v>45684</v>
      </c>
      <c r="G624" s="2">
        <v>45689</v>
      </c>
      <c r="H624" s="1" t="s">
        <v>27</v>
      </c>
      <c r="I624" s="1" t="s">
        <v>18</v>
      </c>
      <c r="J624" s="1">
        <v>4</v>
      </c>
      <c r="K624" s="1" t="s">
        <v>19</v>
      </c>
      <c r="L624" s="1" t="s">
        <v>103</v>
      </c>
      <c r="M624" s="1">
        <f>orders[[#This Row],[Ship Date]]-orders[[#This Row],[Order Date]]</f>
        <v>5</v>
      </c>
      <c r="N624" s="1">
        <f>WEEKNUM(orders[[#This Row],[Order Date]])</f>
        <v>5</v>
      </c>
      <c r="O624" s="1"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s="1">
        <v>125</v>
      </c>
      <c r="F625" s="2">
        <v>45684</v>
      </c>
      <c r="G625" s="2">
        <v>45685</v>
      </c>
      <c r="H625" s="1" t="s">
        <v>17</v>
      </c>
      <c r="I625" s="1" t="s">
        <v>18</v>
      </c>
      <c r="J625" s="1">
        <v>5</v>
      </c>
      <c r="K625" s="1" t="s">
        <v>19</v>
      </c>
      <c r="L625" s="1" t="s">
        <v>77</v>
      </c>
      <c r="M625" s="1">
        <f>orders[[#This Row],[Ship Date]]-orders[[#This Row],[Order Date]]</f>
        <v>1</v>
      </c>
      <c r="N625" s="1">
        <f>WEEKNUM(orders[[#This Row],[Order Date]])</f>
        <v>5</v>
      </c>
      <c r="O625" s="1"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s="1">
        <v>255.2</v>
      </c>
      <c r="F626" s="2">
        <v>45684</v>
      </c>
      <c r="G626" s="2">
        <v>45686</v>
      </c>
      <c r="H626" s="1" t="s">
        <v>27</v>
      </c>
      <c r="I626" s="1" t="s">
        <v>51</v>
      </c>
      <c r="J626" s="1">
        <v>5</v>
      </c>
      <c r="K626" s="1" t="s">
        <v>19</v>
      </c>
      <c r="L626" s="1" t="s">
        <v>108</v>
      </c>
      <c r="M626" s="1">
        <f>orders[[#This Row],[Ship Date]]-orders[[#This Row],[Order Date]]</f>
        <v>2</v>
      </c>
      <c r="N626" s="1">
        <f>WEEKNUM(orders[[#This Row],[Order Date]])</f>
        <v>5</v>
      </c>
      <c r="O626" s="1"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s="1">
        <v>396</v>
      </c>
      <c r="F627" s="2">
        <v>45684</v>
      </c>
      <c r="G627" s="2">
        <v>45686</v>
      </c>
      <c r="H627" s="1" t="s">
        <v>27</v>
      </c>
      <c r="I627" s="1" t="s">
        <v>40</v>
      </c>
      <c r="J627" s="1">
        <v>5</v>
      </c>
      <c r="K627" s="1" t="s">
        <v>19</v>
      </c>
      <c r="L627" s="1" t="s">
        <v>108</v>
      </c>
      <c r="M627" s="1">
        <f>orders[[#This Row],[Ship Date]]-orders[[#This Row],[Order Date]]</f>
        <v>2</v>
      </c>
      <c r="N627" s="1">
        <f>WEEKNUM(orders[[#This Row],[Order Date]])</f>
        <v>5</v>
      </c>
      <c r="O627" s="1"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s="1">
        <v>80.2</v>
      </c>
      <c r="F628" s="2">
        <v>45684</v>
      </c>
      <c r="G628" s="2">
        <v>45685</v>
      </c>
      <c r="H628" s="1" t="s">
        <v>27</v>
      </c>
      <c r="I628" s="1" t="s">
        <v>40</v>
      </c>
      <c r="J628" s="1">
        <v>4</v>
      </c>
      <c r="K628" s="1" t="s">
        <v>19</v>
      </c>
      <c r="L628" s="1" t="s">
        <v>108</v>
      </c>
      <c r="M628" s="1">
        <f>orders[[#This Row],[Ship Date]]-orders[[#This Row],[Order Date]]</f>
        <v>1</v>
      </c>
      <c r="N628" s="1">
        <f>WEEKNUM(orders[[#This Row],[Order Date]])</f>
        <v>5</v>
      </c>
      <c r="O628" s="1"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s="1">
        <v>55.800000000000004</v>
      </c>
      <c r="F629" s="2">
        <v>45684</v>
      </c>
      <c r="G629" s="2">
        <v>45685</v>
      </c>
      <c r="H629" s="1" t="s">
        <v>27</v>
      </c>
      <c r="I629" s="1" t="s">
        <v>40</v>
      </c>
      <c r="J629" s="1">
        <v>4</v>
      </c>
      <c r="K629" s="1" t="s">
        <v>19</v>
      </c>
      <c r="L629" s="1" t="s">
        <v>115</v>
      </c>
      <c r="M629" s="1">
        <f>orders[[#This Row],[Ship Date]]-orders[[#This Row],[Order Date]]</f>
        <v>1</v>
      </c>
      <c r="N629" s="1">
        <f>WEEKNUM(orders[[#This Row],[Order Date]])</f>
        <v>5</v>
      </c>
      <c r="O629" s="1"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s="1">
        <v>58.8</v>
      </c>
      <c r="F630" s="2">
        <v>45684</v>
      </c>
      <c r="G630" s="2">
        <v>45686</v>
      </c>
      <c r="H630" s="1" t="s">
        <v>27</v>
      </c>
      <c r="I630" s="1" t="s">
        <v>18</v>
      </c>
      <c r="J630" s="1">
        <v>3</v>
      </c>
      <c r="K630" s="1" t="s">
        <v>19</v>
      </c>
      <c r="L630" s="1" t="s">
        <v>115</v>
      </c>
      <c r="M630" s="1">
        <f>orders[[#This Row],[Ship Date]]-orders[[#This Row],[Order Date]]</f>
        <v>2</v>
      </c>
      <c r="N630" s="1">
        <f>WEEKNUM(orders[[#This Row],[Order Date]])</f>
        <v>5</v>
      </c>
      <c r="O630" s="1"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s="1">
        <v>44.2</v>
      </c>
      <c r="F631" s="2">
        <v>45684</v>
      </c>
      <c r="G631" s="2">
        <v>45687</v>
      </c>
      <c r="H631" s="1" t="s">
        <v>23</v>
      </c>
      <c r="I631" s="1" t="s">
        <v>35</v>
      </c>
      <c r="J631" s="1">
        <v>5</v>
      </c>
      <c r="K631" s="1" t="s">
        <v>19</v>
      </c>
      <c r="L631" s="1" t="s">
        <v>115</v>
      </c>
      <c r="M631" s="1">
        <f>orders[[#This Row],[Ship Date]]-orders[[#This Row],[Order Date]]</f>
        <v>3</v>
      </c>
      <c r="N631" s="1">
        <f>WEEKNUM(orders[[#This Row],[Order Date]])</f>
        <v>5</v>
      </c>
      <c r="O631" s="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s="1">
        <v>114.9</v>
      </c>
      <c r="F632" s="2">
        <v>45685</v>
      </c>
      <c r="G632" s="2">
        <v>45686</v>
      </c>
      <c r="H632" s="1" t="s">
        <v>27</v>
      </c>
      <c r="I632" s="1" t="s">
        <v>35</v>
      </c>
      <c r="J632" s="1">
        <v>3</v>
      </c>
      <c r="K632" s="1" t="s">
        <v>19</v>
      </c>
      <c r="L632" s="1" t="s">
        <v>147</v>
      </c>
      <c r="M632" s="1">
        <f>orders[[#This Row],[Ship Date]]-orders[[#This Row],[Order Date]]</f>
        <v>1</v>
      </c>
      <c r="N632" s="1">
        <f>WEEKNUM(orders[[#This Row],[Order Date]])</f>
        <v>5</v>
      </c>
      <c r="O632" s="1"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s="1">
        <v>379</v>
      </c>
      <c r="F633" s="2">
        <v>45685</v>
      </c>
      <c r="G633" s="2">
        <v>45686</v>
      </c>
      <c r="H633" s="1" t="s">
        <v>23</v>
      </c>
      <c r="I633" s="1" t="s">
        <v>18</v>
      </c>
      <c r="J633" s="1">
        <v>5</v>
      </c>
      <c r="K633" s="1" t="s">
        <v>19</v>
      </c>
      <c r="L633" s="1" t="s">
        <v>33</v>
      </c>
      <c r="M633" s="1">
        <f>orders[[#This Row],[Ship Date]]-orders[[#This Row],[Order Date]]</f>
        <v>1</v>
      </c>
      <c r="N633" s="1">
        <f>WEEKNUM(orders[[#This Row],[Order Date]])</f>
        <v>5</v>
      </c>
      <c r="O633" s="1" t="str" cm="1">
        <f t="array" ref="O633">_xlfn.IFS(orders[[#This Row],[Customer Gender]]="M","Male", orders[[#This Row],[Customer Gender]]="F","Female", orders[[#This Row],[Customer Gender]]="O","Other", TRUE,"Unknown")</f>
        <v>Male</v>
      </c>
    </row>
    <row r="634" spans="1:15" x14ac:dyDescent="0.3">
      <c r="A634" t="s">
        <v>726</v>
      </c>
      <c r="B634" t="s">
        <v>81</v>
      </c>
      <c r="C634">
        <v>5</v>
      </c>
      <c r="D634">
        <v>20.6</v>
      </c>
      <c r="E634" s="1">
        <v>103</v>
      </c>
      <c r="F634" s="2">
        <v>45685</v>
      </c>
      <c r="G634" s="2">
        <v>45686</v>
      </c>
      <c r="H634" s="1" t="s">
        <v>23</v>
      </c>
      <c r="I634" s="1" t="s">
        <v>40</v>
      </c>
      <c r="J634" s="1">
        <v>5</v>
      </c>
      <c r="K634" s="1" t="s">
        <v>19</v>
      </c>
      <c r="L634" s="1" t="s">
        <v>33</v>
      </c>
      <c r="M634" s="1">
        <f>orders[[#This Row],[Ship Date]]-orders[[#This Row],[Order Date]]</f>
        <v>1</v>
      </c>
      <c r="N634" s="1">
        <f>WEEKNUM(orders[[#This Row],[Order Date]])</f>
        <v>5</v>
      </c>
      <c r="O634" s="1"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s="1">
        <v>203.70000000000002</v>
      </c>
      <c r="F635" s="2">
        <v>45685</v>
      </c>
      <c r="G635" s="2">
        <v>45686</v>
      </c>
      <c r="H635" s="1" t="s">
        <v>27</v>
      </c>
      <c r="I635" s="1" t="s">
        <v>35</v>
      </c>
      <c r="J635" s="1">
        <v>3</v>
      </c>
      <c r="K635" s="1" t="s">
        <v>19</v>
      </c>
      <c r="L635" s="1" t="s">
        <v>33</v>
      </c>
      <c r="M635" s="1">
        <f>orders[[#This Row],[Ship Date]]-orders[[#This Row],[Order Date]]</f>
        <v>1</v>
      </c>
      <c r="N635" s="1">
        <f>WEEKNUM(orders[[#This Row],[Order Date]])</f>
        <v>5</v>
      </c>
      <c r="O635" s="1" t="str" cm="1">
        <f t="array" ref="O635">_xlfn.IFS(orders[[#This Row],[Customer Gender]]="M","Male", orders[[#This Row],[Customer Gender]]="F","Female", orders[[#This Row],[Customer Gender]]="O","Other", TRUE,"Unknown")</f>
        <v>Female</v>
      </c>
    </row>
    <row r="636" spans="1:15" x14ac:dyDescent="0.3">
      <c r="A636" t="s">
        <v>728</v>
      </c>
      <c r="B636" t="s">
        <v>16</v>
      </c>
      <c r="C636">
        <v>5</v>
      </c>
      <c r="D636">
        <v>27</v>
      </c>
      <c r="E636" s="1">
        <v>135</v>
      </c>
      <c r="F636" s="2">
        <v>45685</v>
      </c>
      <c r="G636" s="2">
        <v>45692</v>
      </c>
      <c r="H636" s="1" t="s">
        <v>27</v>
      </c>
      <c r="I636" s="1" t="s">
        <v>18</v>
      </c>
      <c r="J636" s="1">
        <v>5</v>
      </c>
      <c r="K636" s="1" t="s">
        <v>19</v>
      </c>
      <c r="L636" s="1" t="s">
        <v>33</v>
      </c>
      <c r="M636" s="1">
        <f>orders[[#This Row],[Ship Date]]-orders[[#This Row],[Order Date]]</f>
        <v>7</v>
      </c>
      <c r="N636" s="1">
        <f>WEEKNUM(orders[[#This Row],[Order Date]])</f>
        <v>5</v>
      </c>
      <c r="O636" s="1"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s="1">
        <v>50.6</v>
      </c>
      <c r="F637" s="2">
        <v>45685</v>
      </c>
      <c r="G637" s="2">
        <v>45685</v>
      </c>
      <c r="H637" s="1" t="s">
        <v>23</v>
      </c>
      <c r="I637" s="1" t="s">
        <v>18</v>
      </c>
      <c r="J637" s="1">
        <v>3</v>
      </c>
      <c r="K637" s="1" t="s">
        <v>19</v>
      </c>
      <c r="L637" s="1" t="s">
        <v>33</v>
      </c>
      <c r="M637" s="1">
        <f>orders[[#This Row],[Ship Date]]-orders[[#This Row],[Order Date]]</f>
        <v>0</v>
      </c>
      <c r="N637" s="1">
        <f>WEEKNUM(orders[[#This Row],[Order Date]])</f>
        <v>5</v>
      </c>
      <c r="O637" s="1" t="str" cm="1">
        <f t="array" ref="O637">_xlfn.IFS(orders[[#This Row],[Customer Gender]]="M","Male", orders[[#This Row],[Customer Gender]]="F","Female", orders[[#This Row],[Customer Gender]]="O","Other", TRUE,"Unknown")</f>
        <v>Male</v>
      </c>
    </row>
    <row r="638" spans="1:15" x14ac:dyDescent="0.3">
      <c r="A638" t="s">
        <v>730</v>
      </c>
      <c r="B638" t="s">
        <v>32</v>
      </c>
      <c r="C638">
        <v>5</v>
      </c>
      <c r="D638">
        <v>22.1</v>
      </c>
      <c r="E638" s="1">
        <v>110.5</v>
      </c>
      <c r="F638" s="2">
        <v>45685</v>
      </c>
      <c r="G638" s="2">
        <v>45690</v>
      </c>
      <c r="H638" s="1" t="s">
        <v>23</v>
      </c>
      <c r="I638" s="1" t="s">
        <v>18</v>
      </c>
      <c r="J638" s="1">
        <v>4</v>
      </c>
      <c r="K638" s="1" t="s">
        <v>19</v>
      </c>
      <c r="L638" s="1" t="s">
        <v>33</v>
      </c>
      <c r="M638" s="1">
        <f>orders[[#This Row],[Ship Date]]-orders[[#This Row],[Order Date]]</f>
        <v>5</v>
      </c>
      <c r="N638" s="1">
        <f>WEEKNUM(orders[[#This Row],[Order Date]])</f>
        <v>5</v>
      </c>
      <c r="O638" s="1" t="str" cm="1">
        <f t="array" ref="O638">_xlfn.IFS(orders[[#This Row],[Customer Gender]]="M","Male", orders[[#This Row],[Customer Gender]]="F","Female", orders[[#This Row],[Customer Gender]]="O","Other", TRUE,"Unknown")</f>
        <v>Male</v>
      </c>
    </row>
    <row r="639" spans="1:15" x14ac:dyDescent="0.3">
      <c r="A639" t="s">
        <v>731</v>
      </c>
      <c r="B639" t="s">
        <v>44</v>
      </c>
      <c r="C639">
        <v>3</v>
      </c>
      <c r="D639">
        <v>42.9</v>
      </c>
      <c r="E639" s="1">
        <v>128.69999999999999</v>
      </c>
      <c r="F639" s="2">
        <v>45685</v>
      </c>
      <c r="G639" s="2">
        <v>45687</v>
      </c>
      <c r="H639" s="1" t="s">
        <v>27</v>
      </c>
      <c r="I639" s="1" t="s">
        <v>18</v>
      </c>
      <c r="J639" s="1">
        <v>4</v>
      </c>
      <c r="K639" s="1" t="s">
        <v>19</v>
      </c>
      <c r="L639" s="1" t="s">
        <v>33</v>
      </c>
      <c r="M639" s="1">
        <f>orders[[#This Row],[Ship Date]]-orders[[#This Row],[Order Date]]</f>
        <v>2</v>
      </c>
      <c r="N639" s="1">
        <f>WEEKNUM(orders[[#This Row],[Order Date]])</f>
        <v>5</v>
      </c>
      <c r="O639" s="1"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s="1">
        <v>686.4</v>
      </c>
      <c r="F640" s="2">
        <v>45685</v>
      </c>
      <c r="G640" s="2">
        <v>45687</v>
      </c>
      <c r="H640" s="1" t="s">
        <v>27</v>
      </c>
      <c r="I640" s="1" t="s">
        <v>40</v>
      </c>
      <c r="J640" s="1">
        <v>4</v>
      </c>
      <c r="K640" s="1" t="s">
        <v>19</v>
      </c>
      <c r="L640" s="1" t="s">
        <v>33</v>
      </c>
      <c r="M640" s="1">
        <f>orders[[#This Row],[Ship Date]]-orders[[#This Row],[Order Date]]</f>
        <v>2</v>
      </c>
      <c r="N640" s="1">
        <f>WEEKNUM(orders[[#This Row],[Order Date]])</f>
        <v>5</v>
      </c>
      <c r="O640" s="1"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s="1">
        <v>327.59999999999997</v>
      </c>
      <c r="F641" s="2">
        <v>45685</v>
      </c>
      <c r="G641" s="2">
        <v>45687</v>
      </c>
      <c r="H641" s="1" t="s">
        <v>27</v>
      </c>
      <c r="I641" s="1" t="s">
        <v>18</v>
      </c>
      <c r="J641" s="1">
        <v>5</v>
      </c>
      <c r="K641" s="1" t="s">
        <v>19</v>
      </c>
      <c r="L641" s="1" t="s">
        <v>33</v>
      </c>
      <c r="M641" s="1">
        <f>orders[[#This Row],[Ship Date]]-orders[[#This Row],[Order Date]]</f>
        <v>2</v>
      </c>
      <c r="N641" s="1">
        <f>WEEKNUM(orders[[#This Row],[Order Date]])</f>
        <v>5</v>
      </c>
      <c r="O641" s="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s="1">
        <v>45</v>
      </c>
      <c r="F642" s="2">
        <v>45685</v>
      </c>
      <c r="G642" s="2">
        <v>45688</v>
      </c>
      <c r="H642" s="1" t="s">
        <v>23</v>
      </c>
      <c r="I642" s="1" t="s">
        <v>18</v>
      </c>
      <c r="J642" s="1">
        <v>4</v>
      </c>
      <c r="K642" s="1" t="s">
        <v>19</v>
      </c>
      <c r="L642" s="1" t="s">
        <v>33</v>
      </c>
      <c r="M642" s="1">
        <f>orders[[#This Row],[Ship Date]]-orders[[#This Row],[Order Date]]</f>
        <v>3</v>
      </c>
      <c r="N642" s="1">
        <f>WEEKNUM(orders[[#This Row],[Order Date]])</f>
        <v>5</v>
      </c>
      <c r="O642" s="1" t="str" cm="1">
        <f t="array" ref="O642">_xlfn.IFS(orders[[#This Row],[Customer Gender]]="M","Male", orders[[#This Row],[Customer Gender]]="F","Female", orders[[#This Row],[Customer Gender]]="O","Other", TRUE,"Unknown")</f>
        <v>Male</v>
      </c>
    </row>
    <row r="643" spans="1:15" x14ac:dyDescent="0.3">
      <c r="A643" t="s">
        <v>735</v>
      </c>
      <c r="B643" t="s">
        <v>39</v>
      </c>
      <c r="C643">
        <v>4</v>
      </c>
      <c r="D643">
        <v>70.8</v>
      </c>
      <c r="E643" s="1">
        <v>283.2</v>
      </c>
      <c r="F643" s="2">
        <v>45685</v>
      </c>
      <c r="G643" s="2">
        <v>45687</v>
      </c>
      <c r="H643" s="1" t="s">
        <v>27</v>
      </c>
      <c r="I643" s="1" t="s">
        <v>70</v>
      </c>
      <c r="J643" s="1">
        <v>4</v>
      </c>
      <c r="K643" s="1" t="s">
        <v>19</v>
      </c>
      <c r="L643" s="1" t="s">
        <v>33</v>
      </c>
      <c r="M643" s="1">
        <f>orders[[#This Row],[Ship Date]]-orders[[#This Row],[Order Date]]</f>
        <v>2</v>
      </c>
      <c r="N643" s="1">
        <f>WEEKNUM(orders[[#This Row],[Order Date]])</f>
        <v>5</v>
      </c>
      <c r="O643" s="1"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s="1">
        <v>283</v>
      </c>
      <c r="F644" s="2">
        <v>45685</v>
      </c>
      <c r="G644" s="2">
        <v>45687</v>
      </c>
      <c r="H644" s="1" t="s">
        <v>23</v>
      </c>
      <c r="I644" s="1" t="s">
        <v>18</v>
      </c>
      <c r="J644" s="1">
        <v>3</v>
      </c>
      <c r="K644" s="1" t="s">
        <v>19</v>
      </c>
      <c r="L644" s="1" t="s">
        <v>49</v>
      </c>
      <c r="M644" s="1">
        <f>orders[[#This Row],[Ship Date]]-orders[[#This Row],[Order Date]]</f>
        <v>2</v>
      </c>
      <c r="N644" s="1">
        <f>WEEKNUM(orders[[#This Row],[Order Date]])</f>
        <v>5</v>
      </c>
      <c r="O644" s="1" t="str" cm="1">
        <f t="array" ref="O644">_xlfn.IFS(orders[[#This Row],[Customer Gender]]="M","Male", orders[[#This Row],[Customer Gender]]="F","Female", orders[[#This Row],[Customer Gender]]="O","Other", TRUE,"Unknown")</f>
        <v>Male</v>
      </c>
    </row>
    <row r="645" spans="1:15" x14ac:dyDescent="0.3">
      <c r="A645" t="s">
        <v>737</v>
      </c>
      <c r="B645" t="s">
        <v>39</v>
      </c>
      <c r="C645">
        <v>2</v>
      </c>
      <c r="D645">
        <v>47.9</v>
      </c>
      <c r="E645" s="1">
        <v>95.8</v>
      </c>
      <c r="F645" s="2">
        <v>45685</v>
      </c>
      <c r="G645" s="2">
        <v>45686</v>
      </c>
      <c r="H645" s="1" t="s">
        <v>27</v>
      </c>
      <c r="I645" s="1" t="s">
        <v>18</v>
      </c>
      <c r="J645" s="1">
        <v>4</v>
      </c>
      <c r="K645" s="1" t="s">
        <v>19</v>
      </c>
      <c r="L645" s="1" t="s">
        <v>55</v>
      </c>
      <c r="M645" s="1">
        <f>orders[[#This Row],[Ship Date]]-orders[[#This Row],[Order Date]]</f>
        <v>1</v>
      </c>
      <c r="N645" s="1">
        <f>WEEKNUM(orders[[#This Row],[Order Date]])</f>
        <v>5</v>
      </c>
      <c r="O645" s="1"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s="1">
        <v>627.20000000000005</v>
      </c>
      <c r="F646" s="2">
        <v>45685</v>
      </c>
      <c r="G646" s="2">
        <v>45687</v>
      </c>
      <c r="H646" s="1" t="s">
        <v>27</v>
      </c>
      <c r="I646" s="1" t="s">
        <v>35</v>
      </c>
      <c r="J646" s="1">
        <v>4</v>
      </c>
      <c r="K646" s="1" t="s">
        <v>19</v>
      </c>
      <c r="L646" s="1" t="s">
        <v>55</v>
      </c>
      <c r="M646" s="1">
        <f>orders[[#This Row],[Ship Date]]-orders[[#This Row],[Order Date]]</f>
        <v>2</v>
      </c>
      <c r="N646" s="1">
        <f>WEEKNUM(orders[[#This Row],[Order Date]])</f>
        <v>5</v>
      </c>
      <c r="O646" s="1"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s="1">
        <v>1709.3999999999999</v>
      </c>
      <c r="F647" s="2">
        <v>45685</v>
      </c>
      <c r="G647" s="2">
        <v>45690</v>
      </c>
      <c r="H647" s="1" t="s">
        <v>27</v>
      </c>
      <c r="I647" s="1" t="s">
        <v>18</v>
      </c>
      <c r="J647" s="1">
        <v>5</v>
      </c>
      <c r="K647" s="1" t="s">
        <v>19</v>
      </c>
      <c r="L647" s="1" t="s">
        <v>55</v>
      </c>
      <c r="M647" s="1">
        <f>orders[[#This Row],[Ship Date]]-orders[[#This Row],[Order Date]]</f>
        <v>5</v>
      </c>
      <c r="N647" s="1">
        <f>WEEKNUM(orders[[#This Row],[Order Date]])</f>
        <v>5</v>
      </c>
      <c r="O647" s="1"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s="1">
        <v>167.4</v>
      </c>
      <c r="F648" s="2">
        <v>45686</v>
      </c>
      <c r="G648" s="2">
        <v>45686</v>
      </c>
      <c r="H648" s="1" t="s">
        <v>17</v>
      </c>
      <c r="I648" s="1" t="s">
        <v>35</v>
      </c>
      <c r="J648" s="1">
        <v>5</v>
      </c>
      <c r="K648" s="1" t="s">
        <v>19</v>
      </c>
      <c r="L648" s="1" t="s">
        <v>59</v>
      </c>
      <c r="M648" s="1">
        <f>orders[[#This Row],[Ship Date]]-orders[[#This Row],[Order Date]]</f>
        <v>0</v>
      </c>
      <c r="N648" s="1">
        <f>WEEKNUM(orders[[#This Row],[Order Date]])</f>
        <v>5</v>
      </c>
      <c r="O648" s="1"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s="1">
        <v>391.6</v>
      </c>
      <c r="F649" s="2">
        <v>45686</v>
      </c>
      <c r="G649" s="2">
        <v>45690</v>
      </c>
      <c r="H649" s="1" t="s">
        <v>27</v>
      </c>
      <c r="I649" s="1" t="s">
        <v>51</v>
      </c>
      <c r="J649" s="1">
        <v>5</v>
      </c>
      <c r="K649" s="1" t="s">
        <v>19</v>
      </c>
      <c r="L649" s="1" t="s">
        <v>59</v>
      </c>
      <c r="M649" s="1">
        <f>orders[[#This Row],[Ship Date]]-orders[[#This Row],[Order Date]]</f>
        <v>4</v>
      </c>
      <c r="N649" s="1">
        <f>WEEKNUM(orders[[#This Row],[Order Date]])</f>
        <v>5</v>
      </c>
      <c r="O649" s="1" t="str" cm="1">
        <f t="array" ref="O649">_xlfn.IFS(orders[[#This Row],[Customer Gender]]="M","Male", orders[[#This Row],[Customer Gender]]="F","Female", orders[[#This Row],[Customer Gender]]="O","Other", TRUE,"Unknown")</f>
        <v>Female</v>
      </c>
    </row>
    <row r="650" spans="1:15" x14ac:dyDescent="0.3">
      <c r="A650" t="s">
        <v>742</v>
      </c>
      <c r="B650" t="s">
        <v>81</v>
      </c>
      <c r="C650">
        <v>1</v>
      </c>
      <c r="D650">
        <v>15</v>
      </c>
      <c r="E650" s="1">
        <v>15</v>
      </c>
      <c r="F650" s="2">
        <v>45686</v>
      </c>
      <c r="G650" s="2">
        <v>45691</v>
      </c>
      <c r="H650" s="1" t="s">
        <v>27</v>
      </c>
      <c r="I650" s="1" t="s">
        <v>51</v>
      </c>
      <c r="J650" s="1">
        <v>4</v>
      </c>
      <c r="K650" s="1" t="s">
        <v>19</v>
      </c>
      <c r="L650" s="1" t="s">
        <v>62</v>
      </c>
      <c r="M650" s="1">
        <f>orders[[#This Row],[Ship Date]]-orders[[#This Row],[Order Date]]</f>
        <v>5</v>
      </c>
      <c r="N650" s="1">
        <f>WEEKNUM(orders[[#This Row],[Order Date]])</f>
        <v>5</v>
      </c>
      <c r="O650" s="1"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s="1">
        <v>283.79999999999995</v>
      </c>
      <c r="F651" s="2">
        <v>45686</v>
      </c>
      <c r="G651" s="2">
        <v>45687</v>
      </c>
      <c r="H651" s="1" t="s">
        <v>23</v>
      </c>
      <c r="I651" s="1" t="s">
        <v>40</v>
      </c>
      <c r="J651" s="1">
        <v>3</v>
      </c>
      <c r="K651" s="1" t="s">
        <v>19</v>
      </c>
      <c r="L651" s="1" t="s">
        <v>62</v>
      </c>
      <c r="M651" s="1">
        <f>orders[[#This Row],[Ship Date]]-orders[[#This Row],[Order Date]]</f>
        <v>1</v>
      </c>
      <c r="N651" s="1">
        <f>WEEKNUM(orders[[#This Row],[Order Date]])</f>
        <v>5</v>
      </c>
      <c r="O651" s="1" t="str" cm="1">
        <f t="array" ref="O651">_xlfn.IFS(orders[[#This Row],[Customer Gender]]="M","Male", orders[[#This Row],[Customer Gender]]="F","Female", orders[[#This Row],[Customer Gender]]="O","Other", TRUE,"Unknown")</f>
        <v>Male</v>
      </c>
    </row>
    <row r="652" spans="1:15" x14ac:dyDescent="0.3">
      <c r="A652" t="s">
        <v>744</v>
      </c>
      <c r="B652" t="s">
        <v>16</v>
      </c>
      <c r="C652">
        <v>6</v>
      </c>
      <c r="D652">
        <v>19.7</v>
      </c>
      <c r="E652" s="1">
        <v>118.19999999999999</v>
      </c>
      <c r="F652" s="2">
        <v>45686</v>
      </c>
      <c r="G652" s="2">
        <v>45697</v>
      </c>
      <c r="H652" s="1" t="s">
        <v>27</v>
      </c>
      <c r="I652" s="1" t="s">
        <v>18</v>
      </c>
      <c r="J652" s="1">
        <v>5</v>
      </c>
      <c r="K652" s="1" t="s">
        <v>19</v>
      </c>
      <c r="L652" s="1" t="s">
        <v>62</v>
      </c>
      <c r="M652" s="1">
        <f>orders[[#This Row],[Ship Date]]-orders[[#This Row],[Order Date]]</f>
        <v>11</v>
      </c>
      <c r="N652" s="1">
        <f>WEEKNUM(orders[[#This Row],[Order Date]])</f>
        <v>5</v>
      </c>
      <c r="O652" s="1"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s="1">
        <v>46.7</v>
      </c>
      <c r="F653" s="2">
        <v>45686</v>
      </c>
      <c r="G653" s="2">
        <v>45689</v>
      </c>
      <c r="H653" s="1" t="s">
        <v>27</v>
      </c>
      <c r="I653" s="1" t="s">
        <v>40</v>
      </c>
      <c r="J653" s="1">
        <v>4</v>
      </c>
      <c r="K653" s="1" t="s">
        <v>19</v>
      </c>
      <c r="L653" s="1" t="s">
        <v>103</v>
      </c>
      <c r="M653" s="1">
        <f>orders[[#This Row],[Ship Date]]-orders[[#This Row],[Order Date]]</f>
        <v>3</v>
      </c>
      <c r="N653" s="1">
        <f>WEEKNUM(orders[[#This Row],[Order Date]])</f>
        <v>5</v>
      </c>
      <c r="O653" s="1" t="str" cm="1">
        <f t="array" ref="O653">_xlfn.IFS(orders[[#This Row],[Customer Gender]]="M","Male", orders[[#This Row],[Customer Gender]]="F","Female", orders[[#This Row],[Customer Gender]]="O","Other", TRUE,"Unknown")</f>
        <v>Female</v>
      </c>
    </row>
    <row r="654" spans="1:15" x14ac:dyDescent="0.3">
      <c r="A654" t="s">
        <v>746</v>
      </c>
      <c r="B654" t="s">
        <v>22</v>
      </c>
      <c r="C654">
        <v>4</v>
      </c>
      <c r="D654">
        <v>43</v>
      </c>
      <c r="E654" s="1">
        <v>172</v>
      </c>
      <c r="F654" s="2">
        <v>45686</v>
      </c>
      <c r="G654" s="2">
        <v>45687</v>
      </c>
      <c r="H654" s="1" t="s">
        <v>23</v>
      </c>
      <c r="I654" s="1" t="s">
        <v>40</v>
      </c>
      <c r="J654" s="1">
        <v>5</v>
      </c>
      <c r="K654" s="1" t="s">
        <v>19</v>
      </c>
      <c r="L654" s="1" t="s">
        <v>103</v>
      </c>
      <c r="M654" s="1">
        <f>orders[[#This Row],[Ship Date]]-orders[[#This Row],[Order Date]]</f>
        <v>1</v>
      </c>
      <c r="N654" s="1">
        <f>WEEKNUM(orders[[#This Row],[Order Date]])</f>
        <v>5</v>
      </c>
      <c r="O654" s="1" t="str" cm="1">
        <f t="array" ref="O654">_xlfn.IFS(orders[[#This Row],[Customer Gender]]="M","Male", orders[[#This Row],[Customer Gender]]="F","Female", orders[[#This Row],[Customer Gender]]="O","Other", TRUE,"Unknown")</f>
        <v>Male</v>
      </c>
    </row>
    <row r="655" spans="1:15" x14ac:dyDescent="0.3">
      <c r="A655" t="s">
        <v>747</v>
      </c>
      <c r="B655" t="s">
        <v>39</v>
      </c>
      <c r="C655">
        <v>3</v>
      </c>
      <c r="D655">
        <v>68.2</v>
      </c>
      <c r="E655" s="1">
        <v>204.60000000000002</v>
      </c>
      <c r="F655" s="2">
        <v>45686</v>
      </c>
      <c r="G655" s="2">
        <v>45692</v>
      </c>
      <c r="H655" s="1" t="s">
        <v>27</v>
      </c>
      <c r="I655" s="1" t="s">
        <v>18</v>
      </c>
      <c r="J655" s="1">
        <v>4</v>
      </c>
      <c r="K655" s="1" t="s">
        <v>19</v>
      </c>
      <c r="L655" s="1" t="s">
        <v>72</v>
      </c>
      <c r="M655" s="1">
        <f>orders[[#This Row],[Ship Date]]-orders[[#This Row],[Order Date]]</f>
        <v>6</v>
      </c>
      <c r="N655" s="1">
        <f>WEEKNUM(orders[[#This Row],[Order Date]])</f>
        <v>5</v>
      </c>
      <c r="O655" s="1"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s="1">
        <v>243</v>
      </c>
      <c r="F656" s="2">
        <v>45686</v>
      </c>
      <c r="G656" s="2">
        <v>45687</v>
      </c>
      <c r="H656" s="1" t="s">
        <v>23</v>
      </c>
      <c r="I656" s="1" t="s">
        <v>18</v>
      </c>
      <c r="J656" s="1">
        <v>5</v>
      </c>
      <c r="K656" s="1" t="s">
        <v>19</v>
      </c>
      <c r="L656" s="1" t="s">
        <v>74</v>
      </c>
      <c r="M656" s="1">
        <f>orders[[#This Row],[Ship Date]]-orders[[#This Row],[Order Date]]</f>
        <v>1</v>
      </c>
      <c r="N656" s="1">
        <f>WEEKNUM(orders[[#This Row],[Order Date]])</f>
        <v>5</v>
      </c>
      <c r="O656" s="1" t="str" cm="1">
        <f t="array" ref="O656">_xlfn.IFS(orders[[#This Row],[Customer Gender]]="M","Male", orders[[#This Row],[Customer Gender]]="F","Female", orders[[#This Row],[Customer Gender]]="O","Other", TRUE,"Unknown")</f>
        <v>Male</v>
      </c>
    </row>
    <row r="657" spans="1:15" x14ac:dyDescent="0.3">
      <c r="A657" t="s">
        <v>749</v>
      </c>
      <c r="B657" t="s">
        <v>42</v>
      </c>
      <c r="C657">
        <v>2</v>
      </c>
      <c r="D657">
        <v>86.8</v>
      </c>
      <c r="E657" s="1">
        <v>173.6</v>
      </c>
      <c r="F657" s="2">
        <v>45686</v>
      </c>
      <c r="G657" s="2">
        <v>45690</v>
      </c>
      <c r="H657" s="1" t="s">
        <v>27</v>
      </c>
      <c r="I657" s="1" t="s">
        <v>70</v>
      </c>
      <c r="J657" s="1">
        <v>5</v>
      </c>
      <c r="K657" s="1" t="s">
        <v>19</v>
      </c>
      <c r="L657" s="1" t="s">
        <v>77</v>
      </c>
      <c r="M657" s="1">
        <f>orders[[#This Row],[Ship Date]]-orders[[#This Row],[Order Date]]</f>
        <v>4</v>
      </c>
      <c r="N657" s="1">
        <f>WEEKNUM(orders[[#This Row],[Order Date]])</f>
        <v>5</v>
      </c>
      <c r="O657" s="1"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s="1">
        <v>31.6</v>
      </c>
      <c r="F658" s="2">
        <v>45686</v>
      </c>
      <c r="G658" s="2">
        <v>45688</v>
      </c>
      <c r="H658" s="1" t="s">
        <v>23</v>
      </c>
      <c r="I658" s="1" t="s">
        <v>35</v>
      </c>
      <c r="J658" s="1">
        <v>4</v>
      </c>
      <c r="K658" s="1" t="s">
        <v>19</v>
      </c>
      <c r="L658" s="1" t="s">
        <v>77</v>
      </c>
      <c r="M658" s="1">
        <f>orders[[#This Row],[Ship Date]]-orders[[#This Row],[Order Date]]</f>
        <v>2</v>
      </c>
      <c r="N658" s="1">
        <f>WEEKNUM(orders[[#This Row],[Order Date]])</f>
        <v>5</v>
      </c>
      <c r="O658" s="1" t="str" cm="1">
        <f t="array" ref="O658">_xlfn.IFS(orders[[#This Row],[Customer Gender]]="M","Male", orders[[#This Row],[Customer Gender]]="F","Female", orders[[#This Row],[Customer Gender]]="O","Other", TRUE,"Unknown")</f>
        <v>Male</v>
      </c>
    </row>
    <row r="659" spans="1:15" x14ac:dyDescent="0.3">
      <c r="A659" t="s">
        <v>751</v>
      </c>
      <c r="B659" t="s">
        <v>26</v>
      </c>
      <c r="C659">
        <v>4</v>
      </c>
      <c r="D659">
        <v>61.6</v>
      </c>
      <c r="E659" s="1">
        <v>246.4</v>
      </c>
      <c r="F659" s="2">
        <v>45686</v>
      </c>
      <c r="G659" s="2">
        <v>45687</v>
      </c>
      <c r="H659" s="1" t="s">
        <v>23</v>
      </c>
      <c r="I659" s="1" t="s">
        <v>40</v>
      </c>
      <c r="J659" s="1">
        <v>4</v>
      </c>
      <c r="K659" s="1" t="s">
        <v>19</v>
      </c>
      <c r="L659" s="1" t="s">
        <v>77</v>
      </c>
      <c r="M659" s="1">
        <f>orders[[#This Row],[Ship Date]]-orders[[#This Row],[Order Date]]</f>
        <v>1</v>
      </c>
      <c r="N659" s="1">
        <f>WEEKNUM(orders[[#This Row],[Order Date]])</f>
        <v>5</v>
      </c>
      <c r="O659" s="1" t="str" cm="1">
        <f t="array" ref="O659">_xlfn.IFS(orders[[#This Row],[Customer Gender]]="M","Male", orders[[#This Row],[Customer Gender]]="F","Female", orders[[#This Row],[Customer Gender]]="O","Other", TRUE,"Unknown")</f>
        <v>Male</v>
      </c>
    </row>
    <row r="660" spans="1:15" x14ac:dyDescent="0.3">
      <c r="A660" t="s">
        <v>752</v>
      </c>
      <c r="B660" t="s">
        <v>39</v>
      </c>
      <c r="C660">
        <v>3</v>
      </c>
      <c r="D660">
        <v>48.7</v>
      </c>
      <c r="E660" s="1">
        <v>146.10000000000002</v>
      </c>
      <c r="F660" s="2">
        <v>45686</v>
      </c>
      <c r="G660" s="2">
        <v>45692</v>
      </c>
      <c r="H660" s="1" t="s">
        <v>27</v>
      </c>
      <c r="I660" s="1" t="s">
        <v>35</v>
      </c>
      <c r="J660" s="1">
        <v>5</v>
      </c>
      <c r="K660" s="1" t="s">
        <v>19</v>
      </c>
      <c r="L660" s="1" t="s">
        <v>608</v>
      </c>
      <c r="M660" s="1">
        <f>orders[[#This Row],[Ship Date]]-orders[[#This Row],[Order Date]]</f>
        <v>6</v>
      </c>
      <c r="N660" s="1">
        <f>WEEKNUM(orders[[#This Row],[Order Date]])</f>
        <v>5</v>
      </c>
      <c r="O660" s="1"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s="1">
        <v>97.2</v>
      </c>
      <c r="F661" s="2">
        <v>45686</v>
      </c>
      <c r="G661" s="2">
        <v>45688</v>
      </c>
      <c r="H661" s="1" t="s">
        <v>27</v>
      </c>
      <c r="I661" s="1" t="s">
        <v>35</v>
      </c>
      <c r="J661" s="1">
        <v>5</v>
      </c>
      <c r="K661" s="1" t="s">
        <v>19</v>
      </c>
      <c r="L661" s="1" t="s">
        <v>115</v>
      </c>
      <c r="M661" s="1">
        <f>orders[[#This Row],[Ship Date]]-orders[[#This Row],[Order Date]]</f>
        <v>2</v>
      </c>
      <c r="N661" s="1">
        <f>WEEKNUM(orders[[#This Row],[Order Date]])</f>
        <v>5</v>
      </c>
      <c r="O661" s="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s="1">
        <v>261.39999999999998</v>
      </c>
      <c r="F662" s="2">
        <v>45686</v>
      </c>
      <c r="G662" s="2">
        <v>45687</v>
      </c>
      <c r="H662" s="1" t="s">
        <v>27</v>
      </c>
      <c r="I662" s="1" t="s">
        <v>40</v>
      </c>
      <c r="J662" s="1">
        <v>4</v>
      </c>
      <c r="K662" s="1" t="s">
        <v>19</v>
      </c>
      <c r="L662" s="1" t="s">
        <v>587</v>
      </c>
      <c r="M662" s="1">
        <f>orders[[#This Row],[Ship Date]]-orders[[#This Row],[Order Date]]</f>
        <v>1</v>
      </c>
      <c r="N662" s="1">
        <f>WEEKNUM(orders[[#This Row],[Order Date]])</f>
        <v>5</v>
      </c>
      <c r="O662" s="1" t="str" cm="1">
        <f t="array" ref="O662">_xlfn.IFS(orders[[#This Row],[Customer Gender]]="M","Male", orders[[#This Row],[Customer Gender]]="F","Female", orders[[#This Row],[Customer Gender]]="O","Other", TRUE,"Unknown")</f>
        <v>Female</v>
      </c>
    </row>
    <row r="663" spans="1:15" x14ac:dyDescent="0.3">
      <c r="A663" t="s">
        <v>755</v>
      </c>
      <c r="B663" t="s">
        <v>54</v>
      </c>
      <c r="C663">
        <v>1</v>
      </c>
      <c r="D663">
        <v>26</v>
      </c>
      <c r="E663" s="1">
        <v>26</v>
      </c>
      <c r="F663" s="2">
        <v>45686</v>
      </c>
      <c r="G663" s="2">
        <v>45688</v>
      </c>
      <c r="H663" s="1" t="s">
        <v>23</v>
      </c>
      <c r="I663" s="1" t="s">
        <v>18</v>
      </c>
      <c r="J663" s="1">
        <v>4</v>
      </c>
      <c r="K663" s="1" t="s">
        <v>19</v>
      </c>
      <c r="L663" s="1" t="s">
        <v>33</v>
      </c>
      <c r="M663" s="1">
        <f>orders[[#This Row],[Ship Date]]-orders[[#This Row],[Order Date]]</f>
        <v>2</v>
      </c>
      <c r="N663" s="1">
        <f>WEEKNUM(orders[[#This Row],[Order Date]])</f>
        <v>5</v>
      </c>
      <c r="O663" s="1" t="str" cm="1">
        <f t="array" ref="O663">_xlfn.IFS(orders[[#This Row],[Customer Gender]]="M","Male", orders[[#This Row],[Customer Gender]]="F","Female", orders[[#This Row],[Customer Gender]]="O","Other", TRUE,"Unknown")</f>
        <v>Male</v>
      </c>
    </row>
    <row r="664" spans="1:15" x14ac:dyDescent="0.3">
      <c r="A664" t="s">
        <v>756</v>
      </c>
      <c r="B664" t="s">
        <v>26</v>
      </c>
      <c r="C664">
        <v>5</v>
      </c>
      <c r="D664">
        <v>94.4</v>
      </c>
      <c r="E664" s="1">
        <v>472</v>
      </c>
      <c r="F664" s="2">
        <v>45686</v>
      </c>
      <c r="G664" s="2">
        <v>45687</v>
      </c>
      <c r="H664" s="1" t="s">
        <v>27</v>
      </c>
      <c r="I664" s="1" t="s">
        <v>18</v>
      </c>
      <c r="J664" s="1">
        <v>4</v>
      </c>
      <c r="K664" s="1" t="s">
        <v>19</v>
      </c>
      <c r="L664" s="1" t="s">
        <v>33</v>
      </c>
      <c r="M664" s="1">
        <f>orders[[#This Row],[Ship Date]]-orders[[#This Row],[Order Date]]</f>
        <v>1</v>
      </c>
      <c r="N664" s="1">
        <f>WEEKNUM(orders[[#This Row],[Order Date]])</f>
        <v>5</v>
      </c>
      <c r="O664" s="1"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s="1">
        <v>142.19999999999999</v>
      </c>
      <c r="F665" s="2">
        <v>45686</v>
      </c>
      <c r="G665" s="2">
        <v>45688</v>
      </c>
      <c r="H665" s="1" t="s">
        <v>23</v>
      </c>
      <c r="I665" s="1" t="s">
        <v>40</v>
      </c>
      <c r="J665" s="1">
        <v>5</v>
      </c>
      <c r="K665" s="1" t="s">
        <v>19</v>
      </c>
      <c r="L665" s="1" t="s">
        <v>33</v>
      </c>
      <c r="M665" s="1">
        <f>orders[[#This Row],[Ship Date]]-orders[[#This Row],[Order Date]]</f>
        <v>2</v>
      </c>
      <c r="N665" s="1">
        <f>WEEKNUM(orders[[#This Row],[Order Date]])</f>
        <v>5</v>
      </c>
      <c r="O665" s="1" t="str" cm="1">
        <f t="array" ref="O665">_xlfn.IFS(orders[[#This Row],[Customer Gender]]="M","Male", orders[[#This Row],[Customer Gender]]="F","Female", orders[[#This Row],[Customer Gender]]="O","Other", TRUE,"Unknown")</f>
        <v>Male</v>
      </c>
    </row>
    <row r="666" spans="1:15" x14ac:dyDescent="0.3">
      <c r="A666" t="s">
        <v>758</v>
      </c>
      <c r="B666" t="s">
        <v>46</v>
      </c>
      <c r="C666">
        <v>12</v>
      </c>
      <c r="D666">
        <v>37.4</v>
      </c>
      <c r="E666" s="1">
        <v>448.79999999999995</v>
      </c>
      <c r="F666" s="2">
        <v>45686</v>
      </c>
      <c r="G666" s="2">
        <v>45688</v>
      </c>
      <c r="H666" s="1" t="s">
        <v>23</v>
      </c>
      <c r="I666" s="1" t="s">
        <v>40</v>
      </c>
      <c r="J666" s="1">
        <v>4</v>
      </c>
      <c r="K666" s="1" t="s">
        <v>19</v>
      </c>
      <c r="L666" s="1" t="s">
        <v>33</v>
      </c>
      <c r="M666" s="1">
        <f>orders[[#This Row],[Ship Date]]-orders[[#This Row],[Order Date]]</f>
        <v>2</v>
      </c>
      <c r="N666" s="1">
        <f>WEEKNUM(orders[[#This Row],[Order Date]])</f>
        <v>5</v>
      </c>
      <c r="O666" s="1" t="str" cm="1">
        <f t="array" ref="O666">_xlfn.IFS(orders[[#This Row],[Customer Gender]]="M","Male", orders[[#This Row],[Customer Gender]]="F","Female", orders[[#This Row],[Customer Gender]]="O","Other", TRUE,"Unknown")</f>
        <v>Male</v>
      </c>
    </row>
    <row r="667" spans="1:15" x14ac:dyDescent="0.3">
      <c r="A667" t="s">
        <v>759</v>
      </c>
      <c r="B667" t="s">
        <v>22</v>
      </c>
      <c r="C667">
        <v>36</v>
      </c>
      <c r="D667">
        <v>55.2</v>
      </c>
      <c r="E667" s="1">
        <v>1987.2</v>
      </c>
      <c r="F667" s="2">
        <v>45686</v>
      </c>
      <c r="G667" s="2">
        <v>45686</v>
      </c>
      <c r="H667" s="1" t="s">
        <v>27</v>
      </c>
      <c r="I667" s="1" t="s">
        <v>51</v>
      </c>
      <c r="J667" s="1">
        <v>3</v>
      </c>
      <c r="K667" s="1" t="s">
        <v>19</v>
      </c>
      <c r="L667" s="1" t="s">
        <v>33</v>
      </c>
      <c r="M667" s="1">
        <f>orders[[#This Row],[Ship Date]]-orders[[#This Row],[Order Date]]</f>
        <v>0</v>
      </c>
      <c r="N667" s="1">
        <f>WEEKNUM(orders[[#This Row],[Order Date]])</f>
        <v>5</v>
      </c>
      <c r="O667" s="1"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s="1">
        <v>513.9</v>
      </c>
      <c r="F668" s="2">
        <v>45686</v>
      </c>
      <c r="G668" s="2">
        <v>45688</v>
      </c>
      <c r="H668" s="1" t="s">
        <v>23</v>
      </c>
      <c r="I668" s="1" t="s">
        <v>18</v>
      </c>
      <c r="J668" s="1">
        <v>5</v>
      </c>
      <c r="K668" s="1" t="s">
        <v>19</v>
      </c>
      <c r="L668" s="1" t="s">
        <v>33</v>
      </c>
      <c r="M668" s="1">
        <f>orders[[#This Row],[Ship Date]]-orders[[#This Row],[Order Date]]</f>
        <v>2</v>
      </c>
      <c r="N668" s="1">
        <f>WEEKNUM(orders[[#This Row],[Order Date]])</f>
        <v>5</v>
      </c>
      <c r="O668" s="1" t="str" cm="1">
        <f t="array" ref="O668">_xlfn.IFS(orders[[#This Row],[Customer Gender]]="M","Male", orders[[#This Row],[Customer Gender]]="F","Female", orders[[#This Row],[Customer Gender]]="O","Other", TRUE,"Unknown")</f>
        <v>Male</v>
      </c>
    </row>
    <row r="669" spans="1:15" x14ac:dyDescent="0.3">
      <c r="A669" t="s">
        <v>761</v>
      </c>
      <c r="B669" t="s">
        <v>69</v>
      </c>
      <c r="C669">
        <v>1</v>
      </c>
      <c r="D669">
        <v>55.3</v>
      </c>
      <c r="E669" s="1">
        <v>55.3</v>
      </c>
      <c r="F669" s="2">
        <v>45686</v>
      </c>
      <c r="G669" s="2">
        <v>45687</v>
      </c>
      <c r="H669" s="1" t="s">
        <v>27</v>
      </c>
      <c r="I669" s="1" t="s">
        <v>40</v>
      </c>
      <c r="J669" s="1">
        <v>5</v>
      </c>
      <c r="K669" s="1" t="s">
        <v>19</v>
      </c>
      <c r="L669" s="1" t="s">
        <v>33</v>
      </c>
      <c r="M669" s="1">
        <f>orders[[#This Row],[Ship Date]]-orders[[#This Row],[Order Date]]</f>
        <v>1</v>
      </c>
      <c r="N669" s="1">
        <f>WEEKNUM(orders[[#This Row],[Order Date]])</f>
        <v>5</v>
      </c>
      <c r="O669" s="1"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s="1">
        <v>167.29999999999998</v>
      </c>
      <c r="F670" s="2">
        <v>45686</v>
      </c>
      <c r="G670" s="2">
        <v>45687</v>
      </c>
      <c r="H670" s="1" t="s">
        <v>27</v>
      </c>
      <c r="I670" s="1" t="s">
        <v>70</v>
      </c>
      <c r="J670" s="1">
        <v>3</v>
      </c>
      <c r="K670" s="1" t="s">
        <v>19</v>
      </c>
      <c r="L670" s="1" t="s">
        <v>33</v>
      </c>
      <c r="M670" s="1">
        <f>orders[[#This Row],[Ship Date]]-orders[[#This Row],[Order Date]]</f>
        <v>1</v>
      </c>
      <c r="N670" s="1">
        <f>WEEKNUM(orders[[#This Row],[Order Date]])</f>
        <v>5</v>
      </c>
      <c r="O670" s="1"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s="1">
        <v>34.1</v>
      </c>
      <c r="F671" s="2">
        <v>45686</v>
      </c>
      <c r="G671" s="2">
        <v>45693</v>
      </c>
      <c r="H671" s="1" t="s">
        <v>27</v>
      </c>
      <c r="I671" s="1" t="s">
        <v>40</v>
      </c>
      <c r="J671" s="1">
        <v>4</v>
      </c>
      <c r="K671" s="1" t="s">
        <v>19</v>
      </c>
      <c r="L671" s="1" t="s">
        <v>33</v>
      </c>
      <c r="M671" s="1">
        <f>orders[[#This Row],[Ship Date]]-orders[[#This Row],[Order Date]]</f>
        <v>7</v>
      </c>
      <c r="N671" s="1">
        <f>WEEKNUM(orders[[#This Row],[Order Date]])</f>
        <v>5</v>
      </c>
      <c r="O671" s="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s="1">
        <v>154</v>
      </c>
      <c r="F672" s="2">
        <v>45686</v>
      </c>
      <c r="G672" s="2">
        <v>45697</v>
      </c>
      <c r="H672" s="1" t="s">
        <v>27</v>
      </c>
      <c r="I672" s="1" t="s">
        <v>18</v>
      </c>
      <c r="J672" s="1">
        <v>4</v>
      </c>
      <c r="K672" s="1" t="s">
        <v>19</v>
      </c>
      <c r="L672" s="1" t="s">
        <v>33</v>
      </c>
      <c r="M672" s="1">
        <f>orders[[#This Row],[Ship Date]]-orders[[#This Row],[Order Date]]</f>
        <v>11</v>
      </c>
      <c r="N672" s="1">
        <f>WEEKNUM(orders[[#This Row],[Order Date]])</f>
        <v>5</v>
      </c>
      <c r="O672" s="1"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s="1">
        <v>210</v>
      </c>
      <c r="F673" s="2">
        <v>45686</v>
      </c>
      <c r="G673" s="2">
        <v>45692</v>
      </c>
      <c r="H673" s="1" t="s">
        <v>27</v>
      </c>
      <c r="I673" s="1" t="s">
        <v>18</v>
      </c>
      <c r="J673" s="1">
        <v>5</v>
      </c>
      <c r="K673" s="1" t="s">
        <v>19</v>
      </c>
      <c r="L673" s="1" t="s">
        <v>33</v>
      </c>
      <c r="M673" s="1">
        <f>orders[[#This Row],[Ship Date]]-orders[[#This Row],[Order Date]]</f>
        <v>6</v>
      </c>
      <c r="N673" s="1">
        <f>WEEKNUM(orders[[#This Row],[Order Date]])</f>
        <v>5</v>
      </c>
      <c r="O673" s="1"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s="1">
        <v>226</v>
      </c>
      <c r="F674" s="2">
        <v>45686</v>
      </c>
      <c r="G674" s="2">
        <v>45688</v>
      </c>
      <c r="H674" s="1" t="s">
        <v>27</v>
      </c>
      <c r="I674" s="1" t="s">
        <v>18</v>
      </c>
      <c r="J674" s="1">
        <v>5</v>
      </c>
      <c r="K674" s="1" t="s">
        <v>19</v>
      </c>
      <c r="L674" s="1" t="s">
        <v>33</v>
      </c>
      <c r="M674" s="1">
        <f>orders[[#This Row],[Ship Date]]-orders[[#This Row],[Order Date]]</f>
        <v>2</v>
      </c>
      <c r="N674" s="1">
        <f>WEEKNUM(orders[[#This Row],[Order Date]])</f>
        <v>5</v>
      </c>
      <c r="O674" s="1"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s="1">
        <v>74.400000000000006</v>
      </c>
      <c r="F675" s="2">
        <v>45686</v>
      </c>
      <c r="G675" s="2">
        <v>45686</v>
      </c>
      <c r="H675" s="1" t="s">
        <v>17</v>
      </c>
      <c r="I675" s="1" t="s">
        <v>18</v>
      </c>
      <c r="J675" s="1">
        <v>3</v>
      </c>
      <c r="K675" s="1" t="s">
        <v>19</v>
      </c>
      <c r="L675" s="1" t="s">
        <v>33</v>
      </c>
      <c r="M675" s="1">
        <f>orders[[#This Row],[Ship Date]]-orders[[#This Row],[Order Date]]</f>
        <v>0</v>
      </c>
      <c r="N675" s="1">
        <f>WEEKNUM(orders[[#This Row],[Order Date]])</f>
        <v>5</v>
      </c>
      <c r="O675" s="1"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s="1">
        <v>175.2</v>
      </c>
      <c r="F676" s="2">
        <v>45686</v>
      </c>
      <c r="G676" s="2">
        <v>45693</v>
      </c>
      <c r="H676" s="1" t="s">
        <v>27</v>
      </c>
      <c r="I676" s="1" t="s">
        <v>35</v>
      </c>
      <c r="J676" s="1">
        <v>5</v>
      </c>
      <c r="K676" s="1" t="s">
        <v>19</v>
      </c>
      <c r="L676" s="1" t="s">
        <v>55</v>
      </c>
      <c r="M676" s="1">
        <f>orders[[#This Row],[Ship Date]]-orders[[#This Row],[Order Date]]</f>
        <v>7</v>
      </c>
      <c r="N676" s="1">
        <f>WEEKNUM(orders[[#This Row],[Order Date]])</f>
        <v>5</v>
      </c>
      <c r="O676" s="1" t="str" cm="1">
        <f t="array" ref="O676">_xlfn.IFS(orders[[#This Row],[Customer Gender]]="M","Male", orders[[#This Row],[Customer Gender]]="F","Female", orders[[#This Row],[Customer Gender]]="O","Other", TRUE,"Unknown")</f>
        <v>Female</v>
      </c>
    </row>
    <row r="677" spans="1:15" x14ac:dyDescent="0.3">
      <c r="A677" t="s">
        <v>769</v>
      </c>
      <c r="B677" t="s">
        <v>22</v>
      </c>
      <c r="C677">
        <v>1</v>
      </c>
      <c r="D677">
        <v>75</v>
      </c>
      <c r="E677" s="1">
        <v>75</v>
      </c>
      <c r="F677" s="2">
        <v>45686</v>
      </c>
      <c r="G677" s="2">
        <v>45688</v>
      </c>
      <c r="H677" s="1" t="s">
        <v>27</v>
      </c>
      <c r="I677" s="1" t="s">
        <v>70</v>
      </c>
      <c r="J677" s="1">
        <v>3</v>
      </c>
      <c r="K677" s="1" t="s">
        <v>19</v>
      </c>
      <c r="L677" s="1" t="s">
        <v>55</v>
      </c>
      <c r="M677" s="1">
        <f>orders[[#This Row],[Ship Date]]-orders[[#This Row],[Order Date]]</f>
        <v>2</v>
      </c>
      <c r="N677" s="1">
        <f>WEEKNUM(orders[[#This Row],[Order Date]])</f>
        <v>5</v>
      </c>
      <c r="O677" s="1"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s="1">
        <v>169.9</v>
      </c>
      <c r="F678" s="2">
        <v>45686</v>
      </c>
      <c r="G678" s="2">
        <v>45687</v>
      </c>
      <c r="H678" s="1" t="s">
        <v>23</v>
      </c>
      <c r="I678" s="1" t="s">
        <v>40</v>
      </c>
      <c r="J678" s="1">
        <v>4</v>
      </c>
      <c r="K678" s="1" t="s">
        <v>19</v>
      </c>
      <c r="L678" s="1" t="s">
        <v>55</v>
      </c>
      <c r="M678" s="1">
        <f>orders[[#This Row],[Ship Date]]-orders[[#This Row],[Order Date]]</f>
        <v>1</v>
      </c>
      <c r="N678" s="1">
        <f>WEEKNUM(orders[[#This Row],[Order Date]])</f>
        <v>5</v>
      </c>
      <c r="O678" s="1" t="str" cm="1">
        <f t="array" ref="O678">_xlfn.IFS(orders[[#This Row],[Customer Gender]]="M","Male", orders[[#This Row],[Customer Gender]]="F","Female", orders[[#This Row],[Customer Gender]]="O","Other", TRUE,"Unknown")</f>
        <v>Male</v>
      </c>
    </row>
    <row r="679" spans="1:15" x14ac:dyDescent="0.3">
      <c r="A679" t="s">
        <v>771</v>
      </c>
      <c r="B679" t="s">
        <v>46</v>
      </c>
      <c r="C679">
        <v>2</v>
      </c>
      <c r="D679">
        <v>72.2</v>
      </c>
      <c r="E679" s="1">
        <v>144.4</v>
      </c>
      <c r="F679" s="2">
        <v>45686</v>
      </c>
      <c r="G679" s="2">
        <v>45688</v>
      </c>
      <c r="H679" s="1" t="s">
        <v>27</v>
      </c>
      <c r="I679" s="1" t="s">
        <v>70</v>
      </c>
      <c r="J679" s="1">
        <v>3</v>
      </c>
      <c r="K679" s="1" t="s">
        <v>19</v>
      </c>
      <c r="L679" s="1" t="s">
        <v>55</v>
      </c>
      <c r="M679" s="1">
        <f>orders[[#This Row],[Ship Date]]-orders[[#This Row],[Order Date]]</f>
        <v>2</v>
      </c>
      <c r="N679" s="1">
        <f>WEEKNUM(orders[[#This Row],[Order Date]])</f>
        <v>5</v>
      </c>
      <c r="O679" s="1" t="str" cm="1">
        <f t="array" ref="O679">_xlfn.IFS(orders[[#This Row],[Customer Gender]]="M","Male", orders[[#This Row],[Customer Gender]]="F","Female", orders[[#This Row],[Customer Gender]]="O","Other", TRUE,"Unknown")</f>
        <v>Female</v>
      </c>
    </row>
    <row r="680" spans="1:15" x14ac:dyDescent="0.3">
      <c r="A680" t="s">
        <v>772</v>
      </c>
      <c r="B680" t="s">
        <v>16</v>
      </c>
      <c r="C680">
        <v>1</v>
      </c>
      <c r="D680">
        <v>20</v>
      </c>
      <c r="E680" s="1">
        <v>20</v>
      </c>
      <c r="F680" s="2">
        <v>45687</v>
      </c>
      <c r="G680" s="2">
        <v>45690</v>
      </c>
      <c r="H680" s="1" t="s">
        <v>27</v>
      </c>
      <c r="I680" s="1" t="s">
        <v>40</v>
      </c>
      <c r="J680" s="1">
        <v>3</v>
      </c>
      <c r="K680" s="1" t="s">
        <v>19</v>
      </c>
      <c r="L680" s="1" t="s">
        <v>59</v>
      </c>
      <c r="M680" s="1">
        <f>orders[[#This Row],[Ship Date]]-orders[[#This Row],[Order Date]]</f>
        <v>3</v>
      </c>
      <c r="N680" s="1">
        <f>WEEKNUM(orders[[#This Row],[Order Date]])</f>
        <v>5</v>
      </c>
      <c r="O680" s="1"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s="1">
        <v>81.599999999999994</v>
      </c>
      <c r="F681" s="2">
        <v>45687</v>
      </c>
      <c r="G681" s="2">
        <v>45689</v>
      </c>
      <c r="H681" s="1" t="s">
        <v>27</v>
      </c>
      <c r="I681" s="1" t="s">
        <v>51</v>
      </c>
      <c r="J681" s="1">
        <v>5</v>
      </c>
      <c r="K681" s="1" t="s">
        <v>19</v>
      </c>
      <c r="L681" s="1" t="s">
        <v>62</v>
      </c>
      <c r="M681" s="1">
        <f>orders[[#This Row],[Ship Date]]-orders[[#This Row],[Order Date]]</f>
        <v>2</v>
      </c>
      <c r="N681" s="1">
        <f>WEEKNUM(orders[[#This Row],[Order Date]])</f>
        <v>5</v>
      </c>
      <c r="O681" s="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s="1">
        <v>232</v>
      </c>
      <c r="F682" s="2">
        <v>45687</v>
      </c>
      <c r="G682" s="2">
        <v>45691</v>
      </c>
      <c r="H682" s="1" t="s">
        <v>27</v>
      </c>
      <c r="I682" s="1" t="s">
        <v>18</v>
      </c>
      <c r="J682" s="1">
        <v>4</v>
      </c>
      <c r="K682" s="1" t="s">
        <v>19</v>
      </c>
      <c r="L682" s="1" t="s">
        <v>62</v>
      </c>
      <c r="M682" s="1">
        <f>orders[[#This Row],[Ship Date]]-orders[[#This Row],[Order Date]]</f>
        <v>4</v>
      </c>
      <c r="N682" s="1">
        <f>WEEKNUM(orders[[#This Row],[Order Date]])</f>
        <v>5</v>
      </c>
      <c r="O682" s="1"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s="1">
        <v>86.2</v>
      </c>
      <c r="F683" s="2">
        <v>45687</v>
      </c>
      <c r="G683" s="2">
        <v>45688</v>
      </c>
      <c r="H683" s="1" t="s">
        <v>27</v>
      </c>
      <c r="I683" s="1" t="s">
        <v>35</v>
      </c>
      <c r="J683" s="1">
        <v>5</v>
      </c>
      <c r="K683" s="1" t="s">
        <v>19</v>
      </c>
      <c r="L683" s="1" t="s">
        <v>62</v>
      </c>
      <c r="M683" s="1">
        <f>orders[[#This Row],[Ship Date]]-orders[[#This Row],[Order Date]]</f>
        <v>1</v>
      </c>
      <c r="N683" s="1">
        <f>WEEKNUM(orders[[#This Row],[Order Date]])</f>
        <v>5</v>
      </c>
      <c r="O683" s="1"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s="1">
        <v>672.30000000000007</v>
      </c>
      <c r="F684" s="2">
        <v>45687</v>
      </c>
      <c r="G684" s="2">
        <v>45689</v>
      </c>
      <c r="H684" s="1" t="s">
        <v>23</v>
      </c>
      <c r="I684" s="1" t="s">
        <v>18</v>
      </c>
      <c r="J684" s="1">
        <v>5</v>
      </c>
      <c r="K684" s="1" t="s">
        <v>19</v>
      </c>
      <c r="L684" s="1" t="s">
        <v>62</v>
      </c>
      <c r="M684" s="1">
        <f>orders[[#This Row],[Ship Date]]-orders[[#This Row],[Order Date]]</f>
        <v>2</v>
      </c>
      <c r="N684" s="1">
        <f>WEEKNUM(orders[[#This Row],[Order Date]])</f>
        <v>5</v>
      </c>
      <c r="O684" s="1"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s="1">
        <v>128.19999999999999</v>
      </c>
      <c r="F685" s="2">
        <v>45687</v>
      </c>
      <c r="G685" s="2">
        <v>45687</v>
      </c>
      <c r="H685" s="1" t="s">
        <v>23</v>
      </c>
      <c r="I685" s="1" t="s">
        <v>35</v>
      </c>
      <c r="J685" s="1">
        <v>4</v>
      </c>
      <c r="K685" s="1" t="s">
        <v>19</v>
      </c>
      <c r="L685" s="1" t="s">
        <v>62</v>
      </c>
      <c r="M685" s="1">
        <f>orders[[#This Row],[Ship Date]]-orders[[#This Row],[Order Date]]</f>
        <v>0</v>
      </c>
      <c r="N685" s="1">
        <f>WEEKNUM(orders[[#This Row],[Order Date]])</f>
        <v>5</v>
      </c>
      <c r="O685" s="1" t="str" cm="1">
        <f t="array" ref="O685">_xlfn.IFS(orders[[#This Row],[Customer Gender]]="M","Male", orders[[#This Row],[Customer Gender]]="F","Female", orders[[#This Row],[Customer Gender]]="O","Other", TRUE,"Unknown")</f>
        <v>Male</v>
      </c>
    </row>
    <row r="686" spans="1:15" x14ac:dyDescent="0.3">
      <c r="A686" t="s">
        <v>778</v>
      </c>
      <c r="B686" t="s">
        <v>81</v>
      </c>
      <c r="C686">
        <v>4</v>
      </c>
      <c r="D686">
        <v>26.7</v>
      </c>
      <c r="E686" s="1">
        <v>106.8</v>
      </c>
      <c r="F686" s="2">
        <v>45687</v>
      </c>
      <c r="G686" s="2">
        <v>45688</v>
      </c>
      <c r="H686" s="1" t="s">
        <v>23</v>
      </c>
      <c r="I686" s="1" t="s">
        <v>35</v>
      </c>
      <c r="J686" s="1">
        <v>4</v>
      </c>
      <c r="K686" s="1" t="s">
        <v>19</v>
      </c>
      <c r="L686" s="1" t="s">
        <v>62</v>
      </c>
      <c r="M686" s="1">
        <f>orders[[#This Row],[Ship Date]]-orders[[#This Row],[Order Date]]</f>
        <v>1</v>
      </c>
      <c r="N686" s="1">
        <f>WEEKNUM(orders[[#This Row],[Order Date]])</f>
        <v>5</v>
      </c>
      <c r="O686" s="1" t="str" cm="1">
        <f t="array" ref="O686">_xlfn.IFS(orders[[#This Row],[Customer Gender]]="M","Male", orders[[#This Row],[Customer Gender]]="F","Female", orders[[#This Row],[Customer Gender]]="O","Other", TRUE,"Unknown")</f>
        <v>Male</v>
      </c>
    </row>
    <row r="687" spans="1:15" x14ac:dyDescent="0.3">
      <c r="A687" t="s">
        <v>779</v>
      </c>
      <c r="B687" t="s">
        <v>135</v>
      </c>
      <c r="C687">
        <v>6</v>
      </c>
      <c r="D687">
        <v>31.5</v>
      </c>
      <c r="E687" s="1">
        <v>189</v>
      </c>
      <c r="F687" s="2">
        <v>45687</v>
      </c>
      <c r="G687" s="2">
        <v>45688</v>
      </c>
      <c r="H687" s="1" t="s">
        <v>27</v>
      </c>
      <c r="I687" s="1" t="s">
        <v>40</v>
      </c>
      <c r="J687" s="1">
        <v>4</v>
      </c>
      <c r="K687" s="1" t="s">
        <v>19</v>
      </c>
      <c r="L687" s="1" t="s">
        <v>103</v>
      </c>
      <c r="M687" s="1">
        <f>orders[[#This Row],[Ship Date]]-orders[[#This Row],[Order Date]]</f>
        <v>1</v>
      </c>
      <c r="N687" s="1">
        <f>WEEKNUM(orders[[#This Row],[Order Date]])</f>
        <v>5</v>
      </c>
      <c r="O687" s="1"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s="1">
        <v>452.90000000000003</v>
      </c>
      <c r="F688" s="2">
        <v>45687</v>
      </c>
      <c r="G688" s="2">
        <v>45688</v>
      </c>
      <c r="H688" s="1" t="s">
        <v>27</v>
      </c>
      <c r="I688" s="1" t="s">
        <v>18</v>
      </c>
      <c r="J688" s="1">
        <v>5</v>
      </c>
      <c r="K688" s="1" t="s">
        <v>19</v>
      </c>
      <c r="L688" s="1" t="s">
        <v>72</v>
      </c>
      <c r="M688" s="1">
        <f>orders[[#This Row],[Ship Date]]-orders[[#This Row],[Order Date]]</f>
        <v>1</v>
      </c>
      <c r="N688" s="1">
        <f>WEEKNUM(orders[[#This Row],[Order Date]])</f>
        <v>5</v>
      </c>
      <c r="O688" s="1"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s="1">
        <v>111.2</v>
      </c>
      <c r="F689" s="2">
        <v>45687</v>
      </c>
      <c r="G689" s="2">
        <v>45690</v>
      </c>
      <c r="H689" s="1" t="s">
        <v>27</v>
      </c>
      <c r="I689" s="1" t="s">
        <v>51</v>
      </c>
      <c r="J689" s="1">
        <v>4</v>
      </c>
      <c r="K689" s="1" t="s">
        <v>19</v>
      </c>
      <c r="L689" s="1" t="s">
        <v>77</v>
      </c>
      <c r="M689" s="1">
        <f>orders[[#This Row],[Ship Date]]-orders[[#This Row],[Order Date]]</f>
        <v>3</v>
      </c>
      <c r="N689" s="1">
        <f>WEEKNUM(orders[[#This Row],[Order Date]])</f>
        <v>5</v>
      </c>
      <c r="O689" s="1"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s="1">
        <v>72.400000000000006</v>
      </c>
      <c r="F690" s="2">
        <v>45687</v>
      </c>
      <c r="G690" s="2">
        <v>45688</v>
      </c>
      <c r="H690" s="1" t="s">
        <v>27</v>
      </c>
      <c r="I690" s="1" t="s">
        <v>51</v>
      </c>
      <c r="J690" s="1">
        <v>4</v>
      </c>
      <c r="K690" s="1" t="s">
        <v>19</v>
      </c>
      <c r="L690" s="1" t="s">
        <v>77</v>
      </c>
      <c r="M690" s="1">
        <f>orders[[#This Row],[Ship Date]]-orders[[#This Row],[Order Date]]</f>
        <v>1</v>
      </c>
      <c r="N690" s="1">
        <f>WEEKNUM(orders[[#This Row],[Order Date]])</f>
        <v>5</v>
      </c>
      <c r="O690" s="1"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s="1">
        <v>26.6</v>
      </c>
      <c r="F691" s="2">
        <v>45687</v>
      </c>
      <c r="G691" s="2">
        <v>45688</v>
      </c>
      <c r="H691" s="1" t="s">
        <v>17</v>
      </c>
      <c r="I691" s="1" t="s">
        <v>35</v>
      </c>
      <c r="J691" s="1">
        <v>3</v>
      </c>
      <c r="K691" s="1" t="s">
        <v>19</v>
      </c>
      <c r="L691" s="1" t="s">
        <v>110</v>
      </c>
      <c r="M691" s="1">
        <f>orders[[#This Row],[Ship Date]]-orders[[#This Row],[Order Date]]</f>
        <v>1</v>
      </c>
      <c r="N691" s="1">
        <f>WEEKNUM(orders[[#This Row],[Order Date]])</f>
        <v>5</v>
      </c>
      <c r="O691" s="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s="1">
        <v>126</v>
      </c>
      <c r="F692" s="2">
        <v>45687</v>
      </c>
      <c r="G692" s="2">
        <v>45689</v>
      </c>
      <c r="H692" s="1" t="s">
        <v>23</v>
      </c>
      <c r="I692" s="1" t="s">
        <v>18</v>
      </c>
      <c r="J692" s="1">
        <v>4</v>
      </c>
      <c r="K692" s="1" t="s">
        <v>19</v>
      </c>
      <c r="L692" s="1" t="s">
        <v>292</v>
      </c>
      <c r="M692" s="1">
        <f>orders[[#This Row],[Ship Date]]-orders[[#This Row],[Order Date]]</f>
        <v>2</v>
      </c>
      <c r="N692" s="1">
        <f>WEEKNUM(orders[[#This Row],[Order Date]])</f>
        <v>5</v>
      </c>
      <c r="O692" s="1" t="str" cm="1">
        <f t="array" ref="O692">_xlfn.IFS(orders[[#This Row],[Customer Gender]]="M","Male", orders[[#This Row],[Customer Gender]]="F","Female", orders[[#This Row],[Customer Gender]]="O","Other", TRUE,"Unknown")</f>
        <v>Male</v>
      </c>
    </row>
    <row r="693" spans="1:15" x14ac:dyDescent="0.3">
      <c r="A693" t="s">
        <v>785</v>
      </c>
      <c r="B693" t="s">
        <v>54</v>
      </c>
      <c r="C693">
        <v>1</v>
      </c>
      <c r="D693">
        <v>27</v>
      </c>
      <c r="E693" s="1">
        <v>27</v>
      </c>
      <c r="F693" s="2">
        <v>45687</v>
      </c>
      <c r="G693" s="2">
        <v>45689</v>
      </c>
      <c r="H693" s="1" t="s">
        <v>27</v>
      </c>
      <c r="I693" s="1" t="s">
        <v>35</v>
      </c>
      <c r="J693" s="1">
        <v>5</v>
      </c>
      <c r="K693" s="1" t="s">
        <v>19</v>
      </c>
      <c r="L693" s="1" t="s">
        <v>82</v>
      </c>
      <c r="M693" s="1">
        <f>orders[[#This Row],[Ship Date]]-orders[[#This Row],[Order Date]]</f>
        <v>2</v>
      </c>
      <c r="N693" s="1">
        <f>WEEKNUM(orders[[#This Row],[Order Date]])</f>
        <v>5</v>
      </c>
      <c r="O693" s="1" t="str" cm="1">
        <f t="array" ref="O693">_xlfn.IFS(orders[[#This Row],[Customer Gender]]="M","Male", orders[[#This Row],[Customer Gender]]="F","Female", orders[[#This Row],[Customer Gender]]="O","Other", TRUE,"Unknown")</f>
        <v>Female</v>
      </c>
    </row>
    <row r="694" spans="1:15" x14ac:dyDescent="0.3">
      <c r="A694" t="s">
        <v>786</v>
      </c>
      <c r="B694" t="s">
        <v>32</v>
      </c>
      <c r="C694">
        <v>1</v>
      </c>
      <c r="D694">
        <v>32</v>
      </c>
      <c r="E694" s="1">
        <v>32</v>
      </c>
      <c r="F694" s="2">
        <v>45687</v>
      </c>
      <c r="G694" s="2">
        <v>45690</v>
      </c>
      <c r="H694" s="1" t="s">
        <v>23</v>
      </c>
      <c r="I694" s="1" t="s">
        <v>51</v>
      </c>
      <c r="J694" s="1">
        <v>4</v>
      </c>
      <c r="K694" s="1" t="s">
        <v>19</v>
      </c>
      <c r="L694" s="1" t="s">
        <v>115</v>
      </c>
      <c r="M694" s="1">
        <f>orders[[#This Row],[Ship Date]]-orders[[#This Row],[Order Date]]</f>
        <v>3</v>
      </c>
      <c r="N694" s="1">
        <f>WEEKNUM(orders[[#This Row],[Order Date]])</f>
        <v>5</v>
      </c>
      <c r="O694" s="1" t="str" cm="1">
        <f t="array" ref="O694">_xlfn.IFS(orders[[#This Row],[Customer Gender]]="M","Male", orders[[#This Row],[Customer Gender]]="F","Female", orders[[#This Row],[Customer Gender]]="O","Other", TRUE,"Unknown")</f>
        <v>Male</v>
      </c>
    </row>
    <row r="695" spans="1:15" x14ac:dyDescent="0.3">
      <c r="A695" t="s">
        <v>787</v>
      </c>
      <c r="B695" t="s">
        <v>22</v>
      </c>
      <c r="C695">
        <v>3</v>
      </c>
      <c r="D695">
        <v>48.1</v>
      </c>
      <c r="E695" s="1">
        <v>144.30000000000001</v>
      </c>
      <c r="F695" s="2">
        <v>45687</v>
      </c>
      <c r="G695" s="2">
        <v>45689</v>
      </c>
      <c r="H695" s="1" t="s">
        <v>23</v>
      </c>
      <c r="I695" s="1" t="s">
        <v>40</v>
      </c>
      <c r="J695" s="1">
        <v>3</v>
      </c>
      <c r="K695" s="1" t="s">
        <v>19</v>
      </c>
      <c r="L695" s="1" t="s">
        <v>24</v>
      </c>
      <c r="M695" s="1">
        <f>orders[[#This Row],[Ship Date]]-orders[[#This Row],[Order Date]]</f>
        <v>2</v>
      </c>
      <c r="N695" s="1">
        <f>WEEKNUM(orders[[#This Row],[Order Date]])</f>
        <v>5</v>
      </c>
      <c r="O695" s="1" t="str" cm="1">
        <f t="array" ref="O695">_xlfn.IFS(orders[[#This Row],[Customer Gender]]="M","Male", orders[[#This Row],[Customer Gender]]="F","Female", orders[[#This Row],[Customer Gender]]="O","Other", TRUE,"Unknown")</f>
        <v>Male</v>
      </c>
    </row>
    <row r="696" spans="1:15" x14ac:dyDescent="0.3">
      <c r="A696" t="s">
        <v>788</v>
      </c>
      <c r="B696" t="s">
        <v>46</v>
      </c>
      <c r="C696">
        <v>2</v>
      </c>
      <c r="D696">
        <v>43.4</v>
      </c>
      <c r="E696" s="1">
        <v>86.8</v>
      </c>
      <c r="F696" s="2">
        <v>45687</v>
      </c>
      <c r="G696" s="2">
        <v>45688</v>
      </c>
      <c r="H696" s="1" t="s">
        <v>23</v>
      </c>
      <c r="I696" s="1" t="s">
        <v>35</v>
      </c>
      <c r="J696" s="1">
        <v>3</v>
      </c>
      <c r="K696" s="1" t="s">
        <v>19</v>
      </c>
      <c r="L696" s="1" t="s">
        <v>147</v>
      </c>
      <c r="M696" s="1">
        <f>orders[[#This Row],[Ship Date]]-orders[[#This Row],[Order Date]]</f>
        <v>1</v>
      </c>
      <c r="N696" s="1">
        <f>WEEKNUM(orders[[#This Row],[Order Date]])</f>
        <v>5</v>
      </c>
      <c r="O696" s="1" t="str" cm="1">
        <f t="array" ref="O696">_xlfn.IFS(orders[[#This Row],[Customer Gender]]="M","Male", orders[[#This Row],[Customer Gender]]="F","Female", orders[[#This Row],[Customer Gender]]="O","Other", TRUE,"Unknown")</f>
        <v>Male</v>
      </c>
    </row>
    <row r="697" spans="1:15" x14ac:dyDescent="0.3">
      <c r="A697" t="s">
        <v>789</v>
      </c>
      <c r="B697" t="s">
        <v>39</v>
      </c>
      <c r="C697">
        <v>2</v>
      </c>
      <c r="D697">
        <v>42.6</v>
      </c>
      <c r="E697" s="1">
        <v>85.2</v>
      </c>
      <c r="F697" s="2">
        <v>45687</v>
      </c>
      <c r="G697" s="2">
        <v>45690</v>
      </c>
      <c r="H697" s="1" t="s">
        <v>27</v>
      </c>
      <c r="I697" s="1" t="s">
        <v>51</v>
      </c>
      <c r="J697" s="1">
        <v>4</v>
      </c>
      <c r="K697" s="1" t="s">
        <v>19</v>
      </c>
      <c r="L697" s="1" t="s">
        <v>147</v>
      </c>
      <c r="M697" s="1">
        <f>orders[[#This Row],[Ship Date]]-orders[[#This Row],[Order Date]]</f>
        <v>3</v>
      </c>
      <c r="N697" s="1">
        <f>WEEKNUM(orders[[#This Row],[Order Date]])</f>
        <v>5</v>
      </c>
      <c r="O697" s="1"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s="1">
        <v>31.8</v>
      </c>
      <c r="F698" s="2">
        <v>45687</v>
      </c>
      <c r="G698" s="2">
        <v>45688</v>
      </c>
      <c r="H698" s="1" t="s">
        <v>27</v>
      </c>
      <c r="I698" s="1" t="s">
        <v>18</v>
      </c>
      <c r="J698" s="1">
        <v>4</v>
      </c>
      <c r="K698" s="1" t="s">
        <v>19</v>
      </c>
      <c r="L698" s="1" t="s">
        <v>334</v>
      </c>
      <c r="M698" s="1">
        <f>orders[[#This Row],[Ship Date]]-orders[[#This Row],[Order Date]]</f>
        <v>1</v>
      </c>
      <c r="N698" s="1">
        <f>WEEKNUM(orders[[#This Row],[Order Date]])</f>
        <v>5</v>
      </c>
      <c r="O698" s="1"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s="1">
        <v>126.4</v>
      </c>
      <c r="F699" s="2">
        <v>45687</v>
      </c>
      <c r="G699" s="2">
        <v>45688</v>
      </c>
      <c r="H699" s="1" t="s">
        <v>23</v>
      </c>
      <c r="I699" s="1" t="s">
        <v>35</v>
      </c>
      <c r="J699" s="1">
        <v>4</v>
      </c>
      <c r="K699" s="1" t="s">
        <v>19</v>
      </c>
      <c r="L699" s="1" t="s">
        <v>33</v>
      </c>
      <c r="M699" s="1">
        <f>orders[[#This Row],[Ship Date]]-orders[[#This Row],[Order Date]]</f>
        <v>1</v>
      </c>
      <c r="N699" s="1">
        <f>WEEKNUM(orders[[#This Row],[Order Date]])</f>
        <v>5</v>
      </c>
      <c r="O699" s="1" t="str" cm="1">
        <f t="array" ref="O699">_xlfn.IFS(orders[[#This Row],[Customer Gender]]="M","Male", orders[[#This Row],[Customer Gender]]="F","Female", orders[[#This Row],[Customer Gender]]="O","Other", TRUE,"Unknown")</f>
        <v>Male</v>
      </c>
    </row>
    <row r="700" spans="1:15" x14ac:dyDescent="0.3">
      <c r="A700" t="s">
        <v>792</v>
      </c>
      <c r="B700" t="s">
        <v>42</v>
      </c>
      <c r="C700">
        <v>4</v>
      </c>
      <c r="D700">
        <v>64.8</v>
      </c>
      <c r="E700" s="1">
        <v>259.2</v>
      </c>
      <c r="F700" s="2">
        <v>45687</v>
      </c>
      <c r="G700" s="2">
        <v>45689</v>
      </c>
      <c r="H700" s="1" t="s">
        <v>17</v>
      </c>
      <c r="I700" s="1" t="s">
        <v>70</v>
      </c>
      <c r="J700" s="1">
        <v>3</v>
      </c>
      <c r="K700" s="1" t="s">
        <v>19</v>
      </c>
      <c r="L700" s="1" t="s">
        <v>33</v>
      </c>
      <c r="M700" s="1">
        <f>orders[[#This Row],[Ship Date]]-orders[[#This Row],[Order Date]]</f>
        <v>2</v>
      </c>
      <c r="N700" s="1">
        <f>WEEKNUM(orders[[#This Row],[Order Date]])</f>
        <v>5</v>
      </c>
      <c r="O700" s="1"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s="1">
        <v>239.39999999999998</v>
      </c>
      <c r="F701" s="2">
        <v>45687</v>
      </c>
      <c r="G701" s="2">
        <v>45688</v>
      </c>
      <c r="H701" s="1" t="s">
        <v>23</v>
      </c>
      <c r="I701" s="1" t="s">
        <v>18</v>
      </c>
      <c r="J701" s="1">
        <v>4</v>
      </c>
      <c r="K701" s="1" t="s">
        <v>19</v>
      </c>
      <c r="L701" s="1" t="s">
        <v>33</v>
      </c>
      <c r="M701" s="1">
        <f>orders[[#This Row],[Ship Date]]-orders[[#This Row],[Order Date]]</f>
        <v>1</v>
      </c>
      <c r="N701" s="1">
        <f>WEEKNUM(orders[[#This Row],[Order Date]])</f>
        <v>5</v>
      </c>
      <c r="O701" s="1" t="str" cm="1">
        <f t="array" ref="O701">_xlfn.IFS(orders[[#This Row],[Customer Gender]]="M","Male", orders[[#This Row],[Customer Gender]]="F","Female", orders[[#This Row],[Customer Gender]]="O","Other", TRUE,"Unknown")</f>
        <v>Male</v>
      </c>
    </row>
    <row r="702" spans="1:15" x14ac:dyDescent="0.3">
      <c r="A702" t="s">
        <v>794</v>
      </c>
      <c r="B702" t="s">
        <v>46</v>
      </c>
      <c r="C702">
        <v>1</v>
      </c>
      <c r="D702">
        <v>54.4</v>
      </c>
      <c r="E702" s="1">
        <v>54.4</v>
      </c>
      <c r="F702" s="2">
        <v>45687</v>
      </c>
      <c r="G702" s="2">
        <v>45689</v>
      </c>
      <c r="H702" s="1" t="s">
        <v>27</v>
      </c>
      <c r="I702" s="1" t="s">
        <v>70</v>
      </c>
      <c r="J702" s="1">
        <v>5</v>
      </c>
      <c r="K702" s="1" t="s">
        <v>19</v>
      </c>
      <c r="L702" s="1" t="s">
        <v>33</v>
      </c>
      <c r="M702" s="1">
        <f>orders[[#This Row],[Ship Date]]-orders[[#This Row],[Order Date]]</f>
        <v>2</v>
      </c>
      <c r="N702" s="1">
        <f>WEEKNUM(orders[[#This Row],[Order Date]])</f>
        <v>5</v>
      </c>
      <c r="O702" s="1"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s="1">
        <v>87.3</v>
      </c>
      <c r="F703" s="2">
        <v>45687</v>
      </c>
      <c r="G703" s="2">
        <v>45688</v>
      </c>
      <c r="H703" s="1" t="s">
        <v>23</v>
      </c>
      <c r="I703" s="1" t="s">
        <v>35</v>
      </c>
      <c r="J703" s="1">
        <v>4</v>
      </c>
      <c r="K703" s="1" t="s">
        <v>19</v>
      </c>
      <c r="L703" s="1" t="s">
        <v>33</v>
      </c>
      <c r="M703" s="1">
        <f>orders[[#This Row],[Ship Date]]-orders[[#This Row],[Order Date]]</f>
        <v>1</v>
      </c>
      <c r="N703" s="1">
        <f>WEEKNUM(orders[[#This Row],[Order Date]])</f>
        <v>5</v>
      </c>
      <c r="O703" s="1" t="str" cm="1">
        <f t="array" ref="O703">_xlfn.IFS(orders[[#This Row],[Customer Gender]]="M","Male", orders[[#This Row],[Customer Gender]]="F","Female", orders[[#This Row],[Customer Gender]]="O","Other", TRUE,"Unknown")</f>
        <v>Male</v>
      </c>
    </row>
    <row r="704" spans="1:15" x14ac:dyDescent="0.3">
      <c r="A704" t="s">
        <v>796</v>
      </c>
      <c r="B704" t="s">
        <v>44</v>
      </c>
      <c r="C704">
        <v>4</v>
      </c>
      <c r="D704">
        <v>32.4</v>
      </c>
      <c r="E704" s="1">
        <v>129.6</v>
      </c>
      <c r="F704" s="2">
        <v>45687</v>
      </c>
      <c r="G704" s="2">
        <v>45687</v>
      </c>
      <c r="H704" s="1" t="s">
        <v>23</v>
      </c>
      <c r="I704" s="1" t="s">
        <v>35</v>
      </c>
      <c r="J704" s="1">
        <v>4</v>
      </c>
      <c r="K704" s="1" t="s">
        <v>19</v>
      </c>
      <c r="L704" s="1" t="s">
        <v>33</v>
      </c>
      <c r="M704" s="1">
        <f>orders[[#This Row],[Ship Date]]-orders[[#This Row],[Order Date]]</f>
        <v>0</v>
      </c>
      <c r="N704" s="1">
        <f>WEEKNUM(orders[[#This Row],[Order Date]])</f>
        <v>5</v>
      </c>
      <c r="O704" s="1" t="str" cm="1">
        <f t="array" ref="O704">_xlfn.IFS(orders[[#This Row],[Customer Gender]]="M","Male", orders[[#This Row],[Customer Gender]]="F","Female", orders[[#This Row],[Customer Gender]]="O","Other", TRUE,"Unknown")</f>
        <v>Male</v>
      </c>
    </row>
    <row r="705" spans="1:15" x14ac:dyDescent="0.3">
      <c r="A705" t="s">
        <v>797</v>
      </c>
      <c r="B705" t="s">
        <v>26</v>
      </c>
      <c r="C705">
        <v>1</v>
      </c>
      <c r="D705">
        <v>177.4</v>
      </c>
      <c r="E705" s="1">
        <v>177.4</v>
      </c>
      <c r="F705" s="2">
        <v>45687</v>
      </c>
      <c r="G705" s="2">
        <v>45691</v>
      </c>
      <c r="H705" s="1" t="s">
        <v>23</v>
      </c>
      <c r="I705" s="1" t="s">
        <v>18</v>
      </c>
      <c r="J705" s="1">
        <v>5</v>
      </c>
      <c r="K705" s="1" t="s">
        <v>19</v>
      </c>
      <c r="L705" s="1" t="s">
        <v>33</v>
      </c>
      <c r="M705" s="1">
        <f>orders[[#This Row],[Ship Date]]-orders[[#This Row],[Order Date]]</f>
        <v>4</v>
      </c>
      <c r="N705" s="1">
        <f>WEEKNUM(orders[[#This Row],[Order Date]])</f>
        <v>5</v>
      </c>
      <c r="O705" s="1"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s="1">
        <v>140.19999999999999</v>
      </c>
      <c r="F706" s="2">
        <v>45687</v>
      </c>
      <c r="G706" s="2">
        <v>45688</v>
      </c>
      <c r="H706" s="1" t="s">
        <v>23</v>
      </c>
      <c r="I706" s="1" t="s">
        <v>51</v>
      </c>
      <c r="J706" s="1">
        <v>3</v>
      </c>
      <c r="K706" s="1" t="s">
        <v>19</v>
      </c>
      <c r="L706" s="1" t="s">
        <v>33</v>
      </c>
      <c r="M706" s="1">
        <f>orders[[#This Row],[Ship Date]]-orders[[#This Row],[Order Date]]</f>
        <v>1</v>
      </c>
      <c r="N706" s="1">
        <f>WEEKNUM(orders[[#This Row],[Order Date]])</f>
        <v>5</v>
      </c>
      <c r="O706" s="1" t="str" cm="1">
        <f t="array" ref="O706">_xlfn.IFS(orders[[#This Row],[Customer Gender]]="M","Male", orders[[#This Row],[Customer Gender]]="F","Female", orders[[#This Row],[Customer Gender]]="O","Other", TRUE,"Unknown")</f>
        <v>Male</v>
      </c>
    </row>
    <row r="707" spans="1:15" x14ac:dyDescent="0.3">
      <c r="A707" t="s">
        <v>799</v>
      </c>
      <c r="B707" t="s">
        <v>46</v>
      </c>
      <c r="C707">
        <v>6</v>
      </c>
      <c r="D707">
        <v>51.1</v>
      </c>
      <c r="E707" s="1">
        <v>306.60000000000002</v>
      </c>
      <c r="F707" s="2">
        <v>45687</v>
      </c>
      <c r="G707" s="2">
        <v>45688</v>
      </c>
      <c r="H707" s="1" t="s">
        <v>27</v>
      </c>
      <c r="I707" s="1" t="s">
        <v>18</v>
      </c>
      <c r="J707" s="1">
        <v>4</v>
      </c>
      <c r="K707" s="1" t="s">
        <v>19</v>
      </c>
      <c r="L707" s="1" t="s">
        <v>33</v>
      </c>
      <c r="M707" s="1">
        <f>orders[[#This Row],[Ship Date]]-orders[[#This Row],[Order Date]]</f>
        <v>1</v>
      </c>
      <c r="N707" s="1">
        <f>WEEKNUM(orders[[#This Row],[Order Date]])</f>
        <v>5</v>
      </c>
      <c r="O707" s="1"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s="1">
        <v>399.5</v>
      </c>
      <c r="F708" s="2">
        <v>45687</v>
      </c>
      <c r="G708" s="2">
        <v>45689</v>
      </c>
      <c r="H708" s="1" t="s">
        <v>23</v>
      </c>
      <c r="I708" s="1" t="s">
        <v>51</v>
      </c>
      <c r="J708" s="1">
        <v>5</v>
      </c>
      <c r="K708" s="1" t="s">
        <v>19</v>
      </c>
      <c r="L708" s="1" t="s">
        <v>186</v>
      </c>
      <c r="M708" s="1">
        <f>orders[[#This Row],[Ship Date]]-orders[[#This Row],[Order Date]]</f>
        <v>2</v>
      </c>
      <c r="N708" s="1">
        <f>WEEKNUM(orders[[#This Row],[Order Date]])</f>
        <v>5</v>
      </c>
      <c r="O708" s="1" t="str" cm="1">
        <f t="array" ref="O708">_xlfn.IFS(orders[[#This Row],[Customer Gender]]="M","Male", orders[[#This Row],[Customer Gender]]="F","Female", orders[[#This Row],[Customer Gender]]="O","Other", TRUE,"Unknown")</f>
        <v>Male</v>
      </c>
    </row>
    <row r="709" spans="1:15" x14ac:dyDescent="0.3">
      <c r="A709" t="s">
        <v>801</v>
      </c>
      <c r="B709" t="s">
        <v>39</v>
      </c>
      <c r="C709">
        <v>1</v>
      </c>
      <c r="D709">
        <v>57.6</v>
      </c>
      <c r="E709" s="1">
        <v>57.6</v>
      </c>
      <c r="F709" s="2">
        <v>45688</v>
      </c>
      <c r="G709" s="2">
        <v>45693</v>
      </c>
      <c r="H709" s="1" t="s">
        <v>23</v>
      </c>
      <c r="I709" s="1" t="s">
        <v>18</v>
      </c>
      <c r="J709" s="1">
        <v>5</v>
      </c>
      <c r="K709" s="1" t="s">
        <v>19</v>
      </c>
      <c r="L709" s="1" t="s">
        <v>802</v>
      </c>
      <c r="M709" s="1">
        <f>orders[[#This Row],[Ship Date]]-orders[[#This Row],[Order Date]]</f>
        <v>5</v>
      </c>
      <c r="N709" s="1">
        <f>WEEKNUM(orders[[#This Row],[Order Date]])</f>
        <v>5</v>
      </c>
      <c r="O709" s="1" t="str" cm="1">
        <f t="array" ref="O709">_xlfn.IFS(orders[[#This Row],[Customer Gender]]="M","Male", orders[[#This Row],[Customer Gender]]="F","Female", orders[[#This Row],[Customer Gender]]="O","Other", TRUE,"Unknown")</f>
        <v>Male</v>
      </c>
    </row>
    <row r="710" spans="1:15" x14ac:dyDescent="0.3">
      <c r="A710" t="s">
        <v>803</v>
      </c>
      <c r="B710" t="s">
        <v>44</v>
      </c>
      <c r="C710">
        <v>10</v>
      </c>
      <c r="D710">
        <v>59.7</v>
      </c>
      <c r="E710" s="1">
        <v>597</v>
      </c>
      <c r="F710" s="2">
        <v>45688</v>
      </c>
      <c r="G710" s="2">
        <v>45692</v>
      </c>
      <c r="H710" s="1" t="s">
        <v>23</v>
      </c>
      <c r="I710" s="1" t="s">
        <v>40</v>
      </c>
      <c r="J710" s="1">
        <v>4</v>
      </c>
      <c r="K710" s="1" t="s">
        <v>19</v>
      </c>
      <c r="L710" s="1" t="s">
        <v>188</v>
      </c>
      <c r="M710" s="1">
        <f>orders[[#This Row],[Ship Date]]-orders[[#This Row],[Order Date]]</f>
        <v>4</v>
      </c>
      <c r="N710" s="1">
        <f>WEEKNUM(orders[[#This Row],[Order Date]])</f>
        <v>5</v>
      </c>
      <c r="O710" s="1" t="str" cm="1">
        <f t="array" ref="O710">_xlfn.IFS(orders[[#This Row],[Customer Gender]]="M","Male", orders[[#This Row],[Customer Gender]]="F","Female", orders[[#This Row],[Customer Gender]]="O","Other", TRUE,"Unknown")</f>
        <v>Male</v>
      </c>
    </row>
    <row r="711" spans="1:15" x14ac:dyDescent="0.3">
      <c r="A711" t="s">
        <v>804</v>
      </c>
      <c r="B711" t="s">
        <v>44</v>
      </c>
      <c r="C711">
        <v>5</v>
      </c>
      <c r="D711">
        <v>30</v>
      </c>
      <c r="E711" s="1">
        <v>150</v>
      </c>
      <c r="F711" s="2">
        <v>45688</v>
      </c>
      <c r="G711" s="2">
        <v>45690</v>
      </c>
      <c r="H711" s="1" t="s">
        <v>23</v>
      </c>
      <c r="I711" s="1" t="s">
        <v>35</v>
      </c>
      <c r="J711" s="1">
        <v>4</v>
      </c>
      <c r="K711" s="1" t="s">
        <v>19</v>
      </c>
      <c r="L711" s="1" t="s">
        <v>55</v>
      </c>
      <c r="M711" s="1">
        <f>orders[[#This Row],[Ship Date]]-orders[[#This Row],[Order Date]]</f>
        <v>2</v>
      </c>
      <c r="N711" s="1">
        <f>WEEKNUM(orders[[#This Row],[Order Date]])</f>
        <v>5</v>
      </c>
      <c r="O711" s="1" t="str" cm="1">
        <f t="array" ref="O711">_xlfn.IFS(orders[[#This Row],[Customer Gender]]="M","Male", orders[[#This Row],[Customer Gender]]="F","Female", orders[[#This Row],[Customer Gender]]="O","Other", TRUE,"Unknown")</f>
        <v>Male</v>
      </c>
    </row>
    <row r="712" spans="1:15" x14ac:dyDescent="0.3">
      <c r="A712" t="s">
        <v>805</v>
      </c>
      <c r="B712" t="s">
        <v>54</v>
      </c>
      <c r="C712">
        <v>2</v>
      </c>
      <c r="D712">
        <v>69.2</v>
      </c>
      <c r="E712" s="1">
        <v>138.4</v>
      </c>
      <c r="F712" s="2">
        <v>45688</v>
      </c>
      <c r="G712" s="2">
        <v>45690</v>
      </c>
      <c r="H712" s="1" t="s">
        <v>17</v>
      </c>
      <c r="I712" s="1" t="s">
        <v>40</v>
      </c>
      <c r="J712" s="1">
        <v>3</v>
      </c>
      <c r="K712" s="1" t="s">
        <v>19</v>
      </c>
      <c r="L712" s="1" t="s">
        <v>55</v>
      </c>
      <c r="M712" s="1">
        <f>orders[[#This Row],[Ship Date]]-orders[[#This Row],[Order Date]]</f>
        <v>2</v>
      </c>
      <c r="N712" s="1">
        <f>WEEKNUM(orders[[#This Row],[Order Date]])</f>
        <v>5</v>
      </c>
      <c r="O712" s="1"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s="1">
        <v>87.2</v>
      </c>
      <c r="F713" s="2">
        <v>45688</v>
      </c>
      <c r="G713" s="2">
        <v>45689</v>
      </c>
      <c r="H713" s="1" t="s">
        <v>27</v>
      </c>
      <c r="I713" s="1" t="s">
        <v>18</v>
      </c>
      <c r="J713" s="1">
        <v>5</v>
      </c>
      <c r="K713" s="1" t="s">
        <v>19</v>
      </c>
      <c r="L713" s="1" t="s">
        <v>55</v>
      </c>
      <c r="M713" s="1">
        <f>orders[[#This Row],[Ship Date]]-orders[[#This Row],[Order Date]]</f>
        <v>1</v>
      </c>
      <c r="N713" s="1">
        <f>WEEKNUM(orders[[#This Row],[Order Date]])</f>
        <v>5</v>
      </c>
      <c r="O713" s="1"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s="1">
        <v>97.2</v>
      </c>
      <c r="F714" s="2">
        <v>45688</v>
      </c>
      <c r="G714" s="2">
        <v>45692</v>
      </c>
      <c r="H714" s="1" t="s">
        <v>23</v>
      </c>
      <c r="I714" s="1" t="s">
        <v>35</v>
      </c>
      <c r="J714" s="1">
        <v>5</v>
      </c>
      <c r="K714" s="1" t="s">
        <v>19</v>
      </c>
      <c r="L714" s="1" t="s">
        <v>55</v>
      </c>
      <c r="M714" s="1">
        <f>orders[[#This Row],[Ship Date]]-orders[[#This Row],[Order Date]]</f>
        <v>4</v>
      </c>
      <c r="N714" s="1">
        <f>WEEKNUM(orders[[#This Row],[Order Date]])</f>
        <v>5</v>
      </c>
      <c r="O714" s="1" t="str" cm="1">
        <f t="array" ref="O714">_xlfn.IFS(orders[[#This Row],[Customer Gender]]="M","Male", orders[[#This Row],[Customer Gender]]="F","Female", orders[[#This Row],[Customer Gender]]="O","Other", TRUE,"Unknown")</f>
        <v>Male</v>
      </c>
    </row>
    <row r="715" spans="1:15" x14ac:dyDescent="0.3">
      <c r="A715" t="s">
        <v>808</v>
      </c>
      <c r="B715" t="s">
        <v>26</v>
      </c>
      <c r="C715">
        <v>2</v>
      </c>
      <c r="D715">
        <v>61.1</v>
      </c>
      <c r="E715" s="1">
        <v>122.2</v>
      </c>
      <c r="F715" s="2">
        <v>45688</v>
      </c>
      <c r="G715" s="2">
        <v>45691</v>
      </c>
      <c r="H715" s="1" t="s">
        <v>27</v>
      </c>
      <c r="I715" s="1" t="s">
        <v>35</v>
      </c>
      <c r="J715" s="1">
        <v>5</v>
      </c>
      <c r="K715" s="1" t="s">
        <v>19</v>
      </c>
      <c r="L715" s="1" t="s">
        <v>59</v>
      </c>
      <c r="M715" s="1">
        <f>orders[[#This Row],[Ship Date]]-orders[[#This Row],[Order Date]]</f>
        <v>3</v>
      </c>
      <c r="N715" s="1">
        <f>WEEKNUM(orders[[#This Row],[Order Date]])</f>
        <v>5</v>
      </c>
      <c r="O715" s="1"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s="1">
        <v>46.4</v>
      </c>
      <c r="F716" s="2">
        <v>45688</v>
      </c>
      <c r="G716" s="2">
        <v>45689</v>
      </c>
      <c r="H716" s="1" t="s">
        <v>23</v>
      </c>
      <c r="I716" s="1" t="s">
        <v>51</v>
      </c>
      <c r="J716" s="1">
        <v>5</v>
      </c>
      <c r="K716" s="1" t="s">
        <v>19</v>
      </c>
      <c r="L716" s="1" t="s">
        <v>62</v>
      </c>
      <c r="M716" s="1">
        <f>orders[[#This Row],[Ship Date]]-orders[[#This Row],[Order Date]]</f>
        <v>1</v>
      </c>
      <c r="N716" s="1">
        <f>WEEKNUM(orders[[#This Row],[Order Date]])</f>
        <v>5</v>
      </c>
      <c r="O716" s="1" t="str" cm="1">
        <f t="array" ref="O716">_xlfn.IFS(orders[[#This Row],[Customer Gender]]="M","Male", orders[[#This Row],[Customer Gender]]="F","Female", orders[[#This Row],[Customer Gender]]="O","Other", TRUE,"Unknown")</f>
        <v>Male</v>
      </c>
    </row>
    <row r="717" spans="1:15" x14ac:dyDescent="0.3">
      <c r="A717" t="s">
        <v>810</v>
      </c>
      <c r="B717" t="s">
        <v>69</v>
      </c>
      <c r="C717">
        <v>4</v>
      </c>
      <c r="D717">
        <v>55.8</v>
      </c>
      <c r="E717" s="1">
        <v>223.2</v>
      </c>
      <c r="F717" s="2">
        <v>45688</v>
      </c>
      <c r="G717" s="2">
        <v>45689</v>
      </c>
      <c r="H717" s="1" t="s">
        <v>23</v>
      </c>
      <c r="I717" s="1" t="s">
        <v>18</v>
      </c>
      <c r="J717" s="1">
        <v>4</v>
      </c>
      <c r="K717" s="1" t="s">
        <v>19</v>
      </c>
      <c r="L717" s="1" t="s">
        <v>62</v>
      </c>
      <c r="M717" s="1">
        <f>orders[[#This Row],[Ship Date]]-orders[[#This Row],[Order Date]]</f>
        <v>1</v>
      </c>
      <c r="N717" s="1">
        <f>WEEKNUM(orders[[#This Row],[Order Date]])</f>
        <v>5</v>
      </c>
      <c r="O717" s="1" t="str" cm="1">
        <f t="array" ref="O717">_xlfn.IFS(orders[[#This Row],[Customer Gender]]="M","Male", orders[[#This Row],[Customer Gender]]="F","Female", orders[[#This Row],[Customer Gender]]="O","Other", TRUE,"Unknown")</f>
        <v>Male</v>
      </c>
    </row>
    <row r="718" spans="1:15" x14ac:dyDescent="0.3">
      <c r="A718" t="s">
        <v>811</v>
      </c>
      <c r="B718" t="s">
        <v>46</v>
      </c>
      <c r="C718">
        <v>4</v>
      </c>
      <c r="D718">
        <v>24.8</v>
      </c>
      <c r="E718" s="1">
        <v>99.2</v>
      </c>
      <c r="F718" s="2">
        <v>45688</v>
      </c>
      <c r="G718" s="2">
        <v>45689</v>
      </c>
      <c r="H718" s="1" t="s">
        <v>27</v>
      </c>
      <c r="I718" s="1" t="s">
        <v>18</v>
      </c>
      <c r="J718" s="1">
        <v>5</v>
      </c>
      <c r="K718" s="1" t="s">
        <v>19</v>
      </c>
      <c r="L718" s="1" t="s">
        <v>62</v>
      </c>
      <c r="M718" s="1">
        <f>orders[[#This Row],[Ship Date]]-orders[[#This Row],[Order Date]]</f>
        <v>1</v>
      </c>
      <c r="N718" s="1">
        <f>WEEKNUM(orders[[#This Row],[Order Date]])</f>
        <v>5</v>
      </c>
      <c r="O718" s="1"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s="1">
        <v>55.8</v>
      </c>
      <c r="F719" s="2">
        <v>45688</v>
      </c>
      <c r="G719" s="2">
        <v>45688</v>
      </c>
      <c r="H719" s="1" t="s">
        <v>23</v>
      </c>
      <c r="I719" s="1" t="s">
        <v>40</v>
      </c>
      <c r="J719" s="1">
        <v>5</v>
      </c>
      <c r="K719" s="1" t="s">
        <v>19</v>
      </c>
      <c r="L719" s="1" t="s">
        <v>62</v>
      </c>
      <c r="M719" s="1">
        <f>orders[[#This Row],[Ship Date]]-orders[[#This Row],[Order Date]]</f>
        <v>0</v>
      </c>
      <c r="N719" s="1">
        <f>WEEKNUM(orders[[#This Row],[Order Date]])</f>
        <v>5</v>
      </c>
      <c r="O719" s="1" t="str" cm="1">
        <f t="array" ref="O719">_xlfn.IFS(orders[[#This Row],[Customer Gender]]="M","Male", orders[[#This Row],[Customer Gender]]="F","Female", orders[[#This Row],[Customer Gender]]="O","Other", TRUE,"Unknown")</f>
        <v>Male</v>
      </c>
    </row>
    <row r="720" spans="1:15" x14ac:dyDescent="0.3">
      <c r="A720" t="s">
        <v>813</v>
      </c>
      <c r="B720" t="s">
        <v>54</v>
      </c>
      <c r="C720">
        <v>6</v>
      </c>
      <c r="D720">
        <v>51.1</v>
      </c>
      <c r="E720" s="1">
        <v>306.60000000000002</v>
      </c>
      <c r="F720" s="2">
        <v>45688</v>
      </c>
      <c r="G720" s="2">
        <v>45688</v>
      </c>
      <c r="H720" s="1" t="s">
        <v>27</v>
      </c>
      <c r="I720" s="1" t="s">
        <v>51</v>
      </c>
      <c r="J720" s="1">
        <v>4</v>
      </c>
      <c r="K720" s="1" t="s">
        <v>19</v>
      </c>
      <c r="L720" s="1" t="s">
        <v>62</v>
      </c>
      <c r="M720" s="1">
        <f>orders[[#This Row],[Ship Date]]-orders[[#This Row],[Order Date]]</f>
        <v>0</v>
      </c>
      <c r="N720" s="1">
        <f>WEEKNUM(orders[[#This Row],[Order Date]])</f>
        <v>5</v>
      </c>
      <c r="O720" s="1"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s="1">
        <v>359.70000000000005</v>
      </c>
      <c r="F721" s="2">
        <v>45688</v>
      </c>
      <c r="G721" s="2">
        <v>45689</v>
      </c>
      <c r="H721" s="1" t="s">
        <v>23</v>
      </c>
      <c r="I721" s="1" t="s">
        <v>70</v>
      </c>
      <c r="J721" s="1">
        <v>5</v>
      </c>
      <c r="K721" s="1" t="s">
        <v>19</v>
      </c>
      <c r="L721" s="1" t="s">
        <v>103</v>
      </c>
      <c r="M721" s="1">
        <f>orders[[#This Row],[Ship Date]]-orders[[#This Row],[Order Date]]</f>
        <v>1</v>
      </c>
      <c r="N721" s="1">
        <f>WEEKNUM(orders[[#This Row],[Order Date]])</f>
        <v>5</v>
      </c>
      <c r="O721" s="1" t="str" cm="1">
        <f t="array" ref="O721">_xlfn.IFS(orders[[#This Row],[Customer Gender]]="M","Male", orders[[#This Row],[Customer Gender]]="F","Female", orders[[#This Row],[Customer Gender]]="O","Other", TRUE,"Unknown")</f>
        <v>Male</v>
      </c>
    </row>
    <row r="722" spans="1:15" x14ac:dyDescent="0.3">
      <c r="A722" t="s">
        <v>815</v>
      </c>
      <c r="B722" t="s">
        <v>44</v>
      </c>
      <c r="C722">
        <v>4</v>
      </c>
      <c r="D722">
        <v>22.5</v>
      </c>
      <c r="E722" s="1">
        <v>90</v>
      </c>
      <c r="F722" s="2">
        <v>45688</v>
      </c>
      <c r="G722" s="2">
        <v>45688</v>
      </c>
      <c r="H722" s="1" t="s">
        <v>23</v>
      </c>
      <c r="I722" s="1" t="s">
        <v>18</v>
      </c>
      <c r="J722" s="1">
        <v>5</v>
      </c>
      <c r="K722" s="1" t="s">
        <v>19</v>
      </c>
      <c r="L722" s="1" t="s">
        <v>201</v>
      </c>
      <c r="M722" s="1">
        <f>orders[[#This Row],[Ship Date]]-orders[[#This Row],[Order Date]]</f>
        <v>0</v>
      </c>
      <c r="N722" s="1">
        <f>WEEKNUM(orders[[#This Row],[Order Date]])</f>
        <v>5</v>
      </c>
      <c r="O722" s="1" t="str" cm="1">
        <f t="array" ref="O722">_xlfn.IFS(orders[[#This Row],[Customer Gender]]="M","Male", orders[[#This Row],[Customer Gender]]="F","Female", orders[[#This Row],[Customer Gender]]="O","Other", TRUE,"Unknown")</f>
        <v>Male</v>
      </c>
    </row>
    <row r="723" spans="1:15" x14ac:dyDescent="0.3">
      <c r="A723" t="s">
        <v>816</v>
      </c>
      <c r="B723" t="s">
        <v>16</v>
      </c>
      <c r="C723">
        <v>7</v>
      </c>
      <c r="D723">
        <v>14.6</v>
      </c>
      <c r="E723" s="1">
        <v>102.2</v>
      </c>
      <c r="F723" s="2">
        <v>45688</v>
      </c>
      <c r="G723" s="2">
        <v>45689</v>
      </c>
      <c r="H723" s="1" t="s">
        <v>27</v>
      </c>
      <c r="I723" s="1" t="s">
        <v>40</v>
      </c>
      <c r="J723" s="1">
        <v>4</v>
      </c>
      <c r="K723" s="1" t="s">
        <v>19</v>
      </c>
      <c r="L723" s="1" t="s">
        <v>429</v>
      </c>
      <c r="M723" s="1">
        <f>orders[[#This Row],[Ship Date]]-orders[[#This Row],[Order Date]]</f>
        <v>1</v>
      </c>
      <c r="N723" s="1">
        <f>WEEKNUM(orders[[#This Row],[Order Date]])</f>
        <v>5</v>
      </c>
      <c r="O723" s="1"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s="1">
        <v>97.5</v>
      </c>
      <c r="F724" s="2">
        <v>45688</v>
      </c>
      <c r="G724" s="2">
        <v>45691</v>
      </c>
      <c r="H724" s="1" t="s">
        <v>23</v>
      </c>
      <c r="I724" s="1" t="s">
        <v>18</v>
      </c>
      <c r="J724" s="1">
        <v>4</v>
      </c>
      <c r="K724" s="1" t="s">
        <v>19</v>
      </c>
      <c r="L724" s="1" t="s">
        <v>74</v>
      </c>
      <c r="M724" s="1">
        <f>orders[[#This Row],[Ship Date]]-orders[[#This Row],[Order Date]]</f>
        <v>3</v>
      </c>
      <c r="N724" s="1">
        <f>WEEKNUM(orders[[#This Row],[Order Date]])</f>
        <v>5</v>
      </c>
      <c r="O724" s="1"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s="1">
        <v>78.099999999999994</v>
      </c>
      <c r="F725" s="2">
        <v>45688</v>
      </c>
      <c r="G725" s="2">
        <v>45691</v>
      </c>
      <c r="H725" s="1" t="s">
        <v>23</v>
      </c>
      <c r="I725" s="1" t="s">
        <v>18</v>
      </c>
      <c r="J725" s="1">
        <v>5</v>
      </c>
      <c r="K725" s="1" t="s">
        <v>19</v>
      </c>
      <c r="L725" s="1" t="s">
        <v>77</v>
      </c>
      <c r="M725" s="1">
        <f>orders[[#This Row],[Ship Date]]-orders[[#This Row],[Order Date]]</f>
        <v>3</v>
      </c>
      <c r="N725" s="1">
        <f>WEEKNUM(orders[[#This Row],[Order Date]])</f>
        <v>5</v>
      </c>
      <c r="O725" s="1" t="str" cm="1">
        <f t="array" ref="O725">_xlfn.IFS(orders[[#This Row],[Customer Gender]]="M","Male", orders[[#This Row],[Customer Gender]]="F","Female", orders[[#This Row],[Customer Gender]]="O","Other", TRUE,"Unknown")</f>
        <v>Male</v>
      </c>
    </row>
    <row r="726" spans="1:15" x14ac:dyDescent="0.3">
      <c r="A726" t="s">
        <v>819</v>
      </c>
      <c r="B726" t="s">
        <v>69</v>
      </c>
      <c r="C726">
        <v>6</v>
      </c>
      <c r="D726">
        <v>110.2</v>
      </c>
      <c r="E726" s="1">
        <v>661.2</v>
      </c>
      <c r="F726" s="2">
        <v>45688</v>
      </c>
      <c r="G726" s="2">
        <v>45688</v>
      </c>
      <c r="H726" s="1" t="s">
        <v>23</v>
      </c>
      <c r="I726" s="1" t="s">
        <v>35</v>
      </c>
      <c r="J726" s="1">
        <v>2</v>
      </c>
      <c r="K726" s="1" t="s">
        <v>19</v>
      </c>
      <c r="L726" s="1" t="s">
        <v>82</v>
      </c>
      <c r="M726" s="1">
        <f>orders[[#This Row],[Ship Date]]-orders[[#This Row],[Order Date]]</f>
        <v>0</v>
      </c>
      <c r="N726" s="1">
        <f>WEEKNUM(orders[[#This Row],[Order Date]])</f>
        <v>5</v>
      </c>
      <c r="O726" s="1" t="str" cm="1">
        <f t="array" ref="O726">_xlfn.IFS(orders[[#This Row],[Customer Gender]]="M","Male", orders[[#This Row],[Customer Gender]]="F","Female", orders[[#This Row],[Customer Gender]]="O","Other", TRUE,"Unknown")</f>
        <v>Male</v>
      </c>
    </row>
    <row r="727" spans="1:15" x14ac:dyDescent="0.3">
      <c r="A727" t="s">
        <v>820</v>
      </c>
      <c r="B727" t="s">
        <v>39</v>
      </c>
      <c r="C727">
        <v>3</v>
      </c>
      <c r="D727">
        <v>86.3</v>
      </c>
      <c r="E727" s="1">
        <v>258.89999999999998</v>
      </c>
      <c r="F727" s="2">
        <v>45688</v>
      </c>
      <c r="G727" s="2">
        <v>45690</v>
      </c>
      <c r="H727" s="1" t="s">
        <v>27</v>
      </c>
      <c r="I727" s="1" t="s">
        <v>51</v>
      </c>
      <c r="J727" s="1">
        <v>4</v>
      </c>
      <c r="K727" s="1" t="s">
        <v>19</v>
      </c>
      <c r="L727" s="1" t="s">
        <v>115</v>
      </c>
      <c r="M727" s="1">
        <f>orders[[#This Row],[Ship Date]]-orders[[#This Row],[Order Date]]</f>
        <v>2</v>
      </c>
      <c r="N727" s="1">
        <f>WEEKNUM(orders[[#This Row],[Order Date]])</f>
        <v>5</v>
      </c>
      <c r="O727" s="1"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s="1">
        <v>441.59999999999997</v>
      </c>
      <c r="F728" s="2">
        <v>45688</v>
      </c>
      <c r="G728" s="2">
        <v>45690</v>
      </c>
      <c r="H728" s="1" t="s">
        <v>89</v>
      </c>
      <c r="I728" s="1" t="s">
        <v>51</v>
      </c>
      <c r="J728" s="1">
        <v>2</v>
      </c>
      <c r="K728" s="1" t="s">
        <v>19</v>
      </c>
      <c r="L728" s="1" t="s">
        <v>587</v>
      </c>
      <c r="M728" s="1">
        <f>orders[[#This Row],[Ship Date]]-orders[[#This Row],[Order Date]]</f>
        <v>2</v>
      </c>
      <c r="N728" s="1">
        <f>WEEKNUM(orders[[#This Row],[Order Date]])</f>
        <v>5</v>
      </c>
      <c r="O728" s="1"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s="1">
        <v>880.1</v>
      </c>
      <c r="F729" s="2">
        <v>45688</v>
      </c>
      <c r="G729" s="2">
        <v>45690</v>
      </c>
      <c r="H729" s="1" t="s">
        <v>27</v>
      </c>
      <c r="I729" s="1" t="s">
        <v>18</v>
      </c>
      <c r="J729" s="1">
        <v>5</v>
      </c>
      <c r="K729" s="1" t="s">
        <v>19</v>
      </c>
      <c r="L729" s="1" t="s">
        <v>33</v>
      </c>
      <c r="M729" s="1">
        <f>orders[[#This Row],[Ship Date]]-orders[[#This Row],[Order Date]]</f>
        <v>2</v>
      </c>
      <c r="N729" s="1">
        <f>WEEKNUM(orders[[#This Row],[Order Date]])</f>
        <v>5</v>
      </c>
      <c r="O729" s="1"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s="1">
        <v>853.19999999999993</v>
      </c>
      <c r="F730" s="2">
        <v>45688</v>
      </c>
      <c r="G730" s="2">
        <v>45689</v>
      </c>
      <c r="H730" s="1" t="s">
        <v>27</v>
      </c>
      <c r="I730" s="1" t="s">
        <v>40</v>
      </c>
      <c r="J730" s="1">
        <v>2</v>
      </c>
      <c r="K730" s="1" t="s">
        <v>19</v>
      </c>
      <c r="L730" s="1" t="s">
        <v>33</v>
      </c>
      <c r="M730" s="1">
        <f>orders[[#This Row],[Ship Date]]-orders[[#This Row],[Order Date]]</f>
        <v>1</v>
      </c>
      <c r="N730" s="1">
        <f>WEEKNUM(orders[[#This Row],[Order Date]])</f>
        <v>5</v>
      </c>
      <c r="O730" s="1"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s="1">
        <v>412.2</v>
      </c>
      <c r="F731" s="2">
        <v>45688</v>
      </c>
      <c r="G731" s="2">
        <v>45690</v>
      </c>
      <c r="H731" s="1" t="s">
        <v>27</v>
      </c>
      <c r="I731" s="1" t="s">
        <v>35</v>
      </c>
      <c r="J731" s="1">
        <v>5</v>
      </c>
      <c r="K731" s="1" t="s">
        <v>19</v>
      </c>
      <c r="L731" s="1" t="s">
        <v>33</v>
      </c>
      <c r="M731" s="1">
        <f>orders[[#This Row],[Ship Date]]-orders[[#This Row],[Order Date]]</f>
        <v>2</v>
      </c>
      <c r="N731" s="1">
        <f>WEEKNUM(orders[[#This Row],[Order Date]])</f>
        <v>5</v>
      </c>
      <c r="O731" s="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s="1">
        <v>48.4</v>
      </c>
      <c r="F732" s="2">
        <v>45689</v>
      </c>
      <c r="G732" s="2">
        <v>45692</v>
      </c>
      <c r="H732" s="1" t="s">
        <v>27</v>
      </c>
      <c r="I732" s="1" t="s">
        <v>51</v>
      </c>
      <c r="J732" s="1">
        <v>5</v>
      </c>
      <c r="K732" s="1" t="s">
        <v>19</v>
      </c>
      <c r="L732" s="1" t="s">
        <v>33</v>
      </c>
      <c r="M732" s="1">
        <f>orders[[#This Row],[Ship Date]]-orders[[#This Row],[Order Date]]</f>
        <v>3</v>
      </c>
      <c r="N732" s="1">
        <f>WEEKNUM(orders[[#This Row],[Order Date]])</f>
        <v>5</v>
      </c>
      <c r="O732" s="1"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s="1">
        <v>434.70000000000005</v>
      </c>
      <c r="F733" s="2">
        <v>45689</v>
      </c>
      <c r="G733" s="2">
        <v>45690</v>
      </c>
      <c r="H733" s="1" t="s">
        <v>89</v>
      </c>
      <c r="I733" s="1" t="s">
        <v>40</v>
      </c>
      <c r="J733" s="1">
        <v>5</v>
      </c>
      <c r="K733" s="1" t="s">
        <v>19</v>
      </c>
      <c r="L733" s="1" t="s">
        <v>33</v>
      </c>
      <c r="M733" s="1">
        <f>orders[[#This Row],[Ship Date]]-orders[[#This Row],[Order Date]]</f>
        <v>1</v>
      </c>
      <c r="N733" s="1">
        <f>WEEKNUM(orders[[#This Row],[Order Date]])</f>
        <v>5</v>
      </c>
      <c r="O733" s="1"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s="1">
        <v>164</v>
      </c>
      <c r="F734" s="2">
        <v>45689</v>
      </c>
      <c r="G734" s="2">
        <v>45692</v>
      </c>
      <c r="H734" s="1" t="s">
        <v>27</v>
      </c>
      <c r="I734" s="1" t="s">
        <v>40</v>
      </c>
      <c r="J734" s="1">
        <v>4</v>
      </c>
      <c r="K734" s="1" t="s">
        <v>19</v>
      </c>
      <c r="L734" s="1" t="s">
        <v>158</v>
      </c>
      <c r="M734" s="1">
        <f>orders[[#This Row],[Ship Date]]-orders[[#This Row],[Order Date]]</f>
        <v>3</v>
      </c>
      <c r="N734" s="1">
        <f>WEEKNUM(orders[[#This Row],[Order Date]])</f>
        <v>5</v>
      </c>
      <c r="O734" s="1"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s="1">
        <v>357</v>
      </c>
      <c r="F735" s="2">
        <v>45689</v>
      </c>
      <c r="G735" s="2">
        <v>45689</v>
      </c>
      <c r="H735" s="1" t="s">
        <v>27</v>
      </c>
      <c r="I735" s="1" t="s">
        <v>18</v>
      </c>
      <c r="J735" s="1">
        <v>3</v>
      </c>
      <c r="K735" s="1" t="s">
        <v>19</v>
      </c>
      <c r="L735" s="1" t="s">
        <v>55</v>
      </c>
      <c r="M735" s="1">
        <f>orders[[#This Row],[Ship Date]]-orders[[#This Row],[Order Date]]</f>
        <v>0</v>
      </c>
      <c r="N735" s="1">
        <f>WEEKNUM(orders[[#This Row],[Order Date]])</f>
        <v>5</v>
      </c>
      <c r="O735" s="1"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s="1">
        <v>109.2</v>
      </c>
      <c r="F736" s="2">
        <v>45689</v>
      </c>
      <c r="G736" s="2">
        <v>45690</v>
      </c>
      <c r="H736" s="1" t="s">
        <v>27</v>
      </c>
      <c r="I736" s="1" t="s">
        <v>40</v>
      </c>
      <c r="J736" s="1">
        <v>4</v>
      </c>
      <c r="K736" s="1" t="s">
        <v>19</v>
      </c>
      <c r="L736" s="1" t="s">
        <v>55</v>
      </c>
      <c r="M736" s="1">
        <f>orders[[#This Row],[Ship Date]]-orders[[#This Row],[Order Date]]</f>
        <v>1</v>
      </c>
      <c r="N736" s="1">
        <f>WEEKNUM(orders[[#This Row],[Order Date]])</f>
        <v>5</v>
      </c>
      <c r="O736" s="1"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s="1">
        <v>71.400000000000006</v>
      </c>
      <c r="F737" s="2">
        <v>45689</v>
      </c>
      <c r="G737" s="2">
        <v>45692</v>
      </c>
      <c r="H737" s="1" t="s">
        <v>17</v>
      </c>
      <c r="I737" s="1" t="s">
        <v>18</v>
      </c>
      <c r="J737" s="1">
        <v>3</v>
      </c>
      <c r="K737" s="1" t="s">
        <v>19</v>
      </c>
      <c r="L737" s="1" t="s">
        <v>55</v>
      </c>
      <c r="M737" s="1">
        <f>orders[[#This Row],[Ship Date]]-orders[[#This Row],[Order Date]]</f>
        <v>3</v>
      </c>
      <c r="N737" s="1">
        <f>WEEKNUM(orders[[#This Row],[Order Date]])</f>
        <v>5</v>
      </c>
      <c r="O737" s="1"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s="1">
        <v>104.8</v>
      </c>
      <c r="F738" s="2">
        <v>45689</v>
      </c>
      <c r="G738" s="2">
        <v>45689</v>
      </c>
      <c r="H738" s="1" t="s">
        <v>27</v>
      </c>
      <c r="I738" s="1" t="s">
        <v>18</v>
      </c>
      <c r="J738" s="1">
        <v>1</v>
      </c>
      <c r="K738" s="1" t="s">
        <v>19</v>
      </c>
      <c r="L738" s="1" t="s">
        <v>55</v>
      </c>
      <c r="M738" s="1">
        <f>orders[[#This Row],[Ship Date]]-orders[[#This Row],[Order Date]]</f>
        <v>0</v>
      </c>
      <c r="N738" s="1">
        <f>WEEKNUM(orders[[#This Row],[Order Date]])</f>
        <v>5</v>
      </c>
      <c r="O738" s="1"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s="1">
        <v>226.79999999999998</v>
      </c>
      <c r="F739" s="2">
        <v>45689</v>
      </c>
      <c r="G739" s="2">
        <v>45690</v>
      </c>
      <c r="H739" s="1" t="s">
        <v>17</v>
      </c>
      <c r="I739" s="1" t="s">
        <v>18</v>
      </c>
      <c r="J739" s="1">
        <v>3</v>
      </c>
      <c r="K739" s="1" t="s">
        <v>19</v>
      </c>
      <c r="L739" s="1" t="s">
        <v>62</v>
      </c>
      <c r="M739" s="1">
        <f>orders[[#This Row],[Ship Date]]-orders[[#This Row],[Order Date]]</f>
        <v>1</v>
      </c>
      <c r="N739" s="1">
        <f>WEEKNUM(orders[[#This Row],[Order Date]])</f>
        <v>5</v>
      </c>
      <c r="O739" s="1"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s="1">
        <v>2011.6</v>
      </c>
      <c r="F740" s="2">
        <v>45689</v>
      </c>
      <c r="G740" s="2">
        <v>45690</v>
      </c>
      <c r="H740" s="1" t="s">
        <v>27</v>
      </c>
      <c r="I740" s="1" t="s">
        <v>18</v>
      </c>
      <c r="J740" s="1">
        <v>4</v>
      </c>
      <c r="K740" s="1" t="s">
        <v>19</v>
      </c>
      <c r="L740" s="1" t="s">
        <v>62</v>
      </c>
      <c r="M740" s="1">
        <f>orders[[#This Row],[Ship Date]]-orders[[#This Row],[Order Date]]</f>
        <v>1</v>
      </c>
      <c r="N740" s="1">
        <f>WEEKNUM(orders[[#This Row],[Order Date]])</f>
        <v>5</v>
      </c>
      <c r="O740" s="1"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s="1">
        <v>1299.6000000000001</v>
      </c>
      <c r="F741" s="2">
        <v>45689</v>
      </c>
      <c r="G741" s="2">
        <v>45692</v>
      </c>
      <c r="H741" s="1" t="s">
        <v>27</v>
      </c>
      <c r="I741" s="1" t="s">
        <v>70</v>
      </c>
      <c r="J741" s="1">
        <v>4</v>
      </c>
      <c r="K741" s="1" t="s">
        <v>19</v>
      </c>
      <c r="L741" s="1" t="s">
        <v>62</v>
      </c>
      <c r="M741" s="1">
        <f>orders[[#This Row],[Ship Date]]-orders[[#This Row],[Order Date]]</f>
        <v>3</v>
      </c>
      <c r="N741" s="1">
        <f>WEEKNUM(orders[[#This Row],[Order Date]])</f>
        <v>5</v>
      </c>
      <c r="O741" s="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s="1">
        <v>1101.6000000000001</v>
      </c>
      <c r="F742" s="2">
        <v>45689</v>
      </c>
      <c r="G742" s="2">
        <v>45693</v>
      </c>
      <c r="H742" s="1" t="s">
        <v>27</v>
      </c>
      <c r="I742" s="1" t="s">
        <v>40</v>
      </c>
      <c r="J742" s="1">
        <v>5</v>
      </c>
      <c r="K742" s="1" t="s">
        <v>19</v>
      </c>
      <c r="L742" s="1" t="s">
        <v>77</v>
      </c>
      <c r="M742" s="1">
        <f>orders[[#This Row],[Ship Date]]-orders[[#This Row],[Order Date]]</f>
        <v>4</v>
      </c>
      <c r="N742" s="1">
        <f>WEEKNUM(orders[[#This Row],[Order Date]])</f>
        <v>5</v>
      </c>
      <c r="O742" s="1"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s="1">
        <v>235</v>
      </c>
      <c r="F743" s="2">
        <v>45689</v>
      </c>
      <c r="G743" s="2">
        <v>45690</v>
      </c>
      <c r="H743" s="1" t="s">
        <v>23</v>
      </c>
      <c r="I743" s="1" t="s">
        <v>18</v>
      </c>
      <c r="J743" s="1">
        <v>4</v>
      </c>
      <c r="K743" s="1" t="s">
        <v>19</v>
      </c>
      <c r="L743" s="1" t="s">
        <v>110</v>
      </c>
      <c r="M743" s="1">
        <f>orders[[#This Row],[Ship Date]]-orders[[#This Row],[Order Date]]</f>
        <v>1</v>
      </c>
      <c r="N743" s="1">
        <f>WEEKNUM(orders[[#This Row],[Order Date]])</f>
        <v>5</v>
      </c>
      <c r="O743" s="1" t="str" cm="1">
        <f t="array" ref="O743">_xlfn.IFS(orders[[#This Row],[Customer Gender]]="M","Male", orders[[#This Row],[Customer Gender]]="F","Female", orders[[#This Row],[Customer Gender]]="O","Other", TRUE,"Unknown")</f>
        <v>Male</v>
      </c>
    </row>
    <row r="744" spans="1:15" x14ac:dyDescent="0.3">
      <c r="A744" t="s">
        <v>837</v>
      </c>
      <c r="B744" t="s">
        <v>39</v>
      </c>
      <c r="C744">
        <v>2</v>
      </c>
      <c r="D744">
        <v>105.7</v>
      </c>
      <c r="E744" s="1">
        <v>211.4</v>
      </c>
      <c r="F744" s="2">
        <v>45689</v>
      </c>
      <c r="G744" s="2">
        <v>45690</v>
      </c>
      <c r="H744" s="1" t="s">
        <v>27</v>
      </c>
      <c r="I744" s="1" t="s">
        <v>40</v>
      </c>
      <c r="J744" s="1">
        <v>5</v>
      </c>
      <c r="K744" s="1" t="s">
        <v>19</v>
      </c>
      <c r="L744" s="1" t="s">
        <v>115</v>
      </c>
      <c r="M744" s="1">
        <f>orders[[#This Row],[Ship Date]]-orders[[#This Row],[Order Date]]</f>
        <v>1</v>
      </c>
      <c r="N744" s="1">
        <f>WEEKNUM(orders[[#This Row],[Order Date]])</f>
        <v>5</v>
      </c>
      <c r="O744" s="1"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s="1">
        <v>401.09999999999997</v>
      </c>
      <c r="F745" s="2">
        <v>45689</v>
      </c>
      <c r="G745" s="2">
        <v>45690</v>
      </c>
      <c r="H745" s="1" t="s">
        <v>17</v>
      </c>
      <c r="I745" s="1" t="s">
        <v>70</v>
      </c>
      <c r="J745" s="1">
        <v>5</v>
      </c>
      <c r="K745" s="1" t="s">
        <v>19</v>
      </c>
      <c r="L745" s="1" t="s">
        <v>115</v>
      </c>
      <c r="M745" s="1">
        <f>orders[[#This Row],[Ship Date]]-orders[[#This Row],[Order Date]]</f>
        <v>1</v>
      </c>
      <c r="N745" s="1">
        <f>WEEKNUM(orders[[#This Row],[Order Date]])</f>
        <v>5</v>
      </c>
      <c r="O745" s="1"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s="1">
        <v>234</v>
      </c>
      <c r="F746" s="2">
        <v>45690</v>
      </c>
      <c r="G746" s="2">
        <v>45698</v>
      </c>
      <c r="H746" s="1" t="s">
        <v>27</v>
      </c>
      <c r="I746" s="1" t="s">
        <v>18</v>
      </c>
      <c r="J746" s="1">
        <v>3</v>
      </c>
      <c r="K746" s="1" t="s">
        <v>19</v>
      </c>
      <c r="L746" s="1" t="s">
        <v>115</v>
      </c>
      <c r="M746" s="1">
        <f>orders[[#This Row],[Ship Date]]-orders[[#This Row],[Order Date]]</f>
        <v>8</v>
      </c>
      <c r="N746" s="1">
        <f>WEEKNUM(orders[[#This Row],[Order Date]])</f>
        <v>6</v>
      </c>
      <c r="O746" s="1"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s="1">
        <v>175.2</v>
      </c>
      <c r="F747" s="2">
        <v>45690</v>
      </c>
      <c r="G747" s="2">
        <v>45692</v>
      </c>
      <c r="H747" s="1" t="s">
        <v>27</v>
      </c>
      <c r="I747" s="1" t="s">
        <v>18</v>
      </c>
      <c r="J747" s="1">
        <v>4</v>
      </c>
      <c r="K747" s="1" t="s">
        <v>19</v>
      </c>
      <c r="L747" s="1" t="s">
        <v>24</v>
      </c>
      <c r="M747" s="1">
        <f>orders[[#This Row],[Ship Date]]-orders[[#This Row],[Order Date]]</f>
        <v>2</v>
      </c>
      <c r="N747" s="1">
        <f>WEEKNUM(orders[[#This Row],[Order Date]])</f>
        <v>6</v>
      </c>
      <c r="O747" s="1"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s="1">
        <v>585.9</v>
      </c>
      <c r="F748" s="2">
        <v>45690</v>
      </c>
      <c r="G748" s="2">
        <v>45694</v>
      </c>
      <c r="H748" s="1" t="s">
        <v>23</v>
      </c>
      <c r="I748" s="1" t="s">
        <v>35</v>
      </c>
      <c r="J748" s="1">
        <v>5</v>
      </c>
      <c r="K748" s="1" t="s">
        <v>19</v>
      </c>
      <c r="L748" s="1" t="s">
        <v>147</v>
      </c>
      <c r="M748" s="1">
        <f>orders[[#This Row],[Ship Date]]-orders[[#This Row],[Order Date]]</f>
        <v>4</v>
      </c>
      <c r="N748" s="1">
        <f>WEEKNUM(orders[[#This Row],[Order Date]])</f>
        <v>6</v>
      </c>
      <c r="O748" s="1"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s="1">
        <v>18.600000000000001</v>
      </c>
      <c r="F749" s="2">
        <v>45690</v>
      </c>
      <c r="G749" s="2">
        <v>45693</v>
      </c>
      <c r="H749" s="1" t="s">
        <v>27</v>
      </c>
      <c r="I749" s="1" t="s">
        <v>18</v>
      </c>
      <c r="J749" s="1">
        <v>2</v>
      </c>
      <c r="K749" s="1" t="s">
        <v>19</v>
      </c>
      <c r="L749" s="1" t="s">
        <v>147</v>
      </c>
      <c r="M749" s="1">
        <f>orders[[#This Row],[Ship Date]]-orders[[#This Row],[Order Date]]</f>
        <v>3</v>
      </c>
      <c r="N749" s="1">
        <f>WEEKNUM(orders[[#This Row],[Order Date]])</f>
        <v>6</v>
      </c>
      <c r="O749" s="1"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s="1">
        <v>1015.3</v>
      </c>
      <c r="F750" s="2">
        <v>45690</v>
      </c>
      <c r="G750" s="2">
        <v>45692</v>
      </c>
      <c r="H750" s="1" t="s">
        <v>23</v>
      </c>
      <c r="I750" s="1" t="s">
        <v>35</v>
      </c>
      <c r="J750" s="1">
        <v>4</v>
      </c>
      <c r="K750" s="1" t="s">
        <v>19</v>
      </c>
      <c r="L750" s="1" t="s">
        <v>33</v>
      </c>
      <c r="M750" s="1">
        <f>orders[[#This Row],[Ship Date]]-orders[[#This Row],[Order Date]]</f>
        <v>2</v>
      </c>
      <c r="N750" s="1">
        <f>WEEKNUM(orders[[#This Row],[Order Date]])</f>
        <v>6</v>
      </c>
      <c r="O750" s="1" t="str" cm="1">
        <f t="array" ref="O750">_xlfn.IFS(orders[[#This Row],[Customer Gender]]="M","Male", orders[[#This Row],[Customer Gender]]="F","Female", orders[[#This Row],[Customer Gender]]="O","Other", TRUE,"Unknown")</f>
        <v>Male</v>
      </c>
    </row>
    <row r="751" spans="1:15" x14ac:dyDescent="0.3">
      <c r="A751" t="s">
        <v>844</v>
      </c>
      <c r="B751" t="s">
        <v>39</v>
      </c>
      <c r="C751">
        <v>3</v>
      </c>
      <c r="D751">
        <v>81.7</v>
      </c>
      <c r="E751" s="1">
        <v>245.10000000000002</v>
      </c>
      <c r="F751" s="2">
        <v>45690</v>
      </c>
      <c r="G751" s="2">
        <v>45691</v>
      </c>
      <c r="H751" s="1" t="s">
        <v>17</v>
      </c>
      <c r="I751" s="1" t="s">
        <v>70</v>
      </c>
      <c r="J751" s="1">
        <v>2</v>
      </c>
      <c r="K751" s="1" t="s">
        <v>19</v>
      </c>
      <c r="L751" s="1" t="s">
        <v>33</v>
      </c>
      <c r="M751" s="1">
        <f>orders[[#This Row],[Ship Date]]-orders[[#This Row],[Order Date]]</f>
        <v>1</v>
      </c>
      <c r="N751" s="1">
        <f>WEEKNUM(orders[[#This Row],[Order Date]])</f>
        <v>6</v>
      </c>
      <c r="O751" s="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s="1">
        <v>81.8</v>
      </c>
      <c r="F752" s="2">
        <v>45690</v>
      </c>
      <c r="G752" s="2">
        <v>45692</v>
      </c>
      <c r="H752" s="1" t="s">
        <v>23</v>
      </c>
      <c r="I752" s="1" t="s">
        <v>18</v>
      </c>
      <c r="J752" s="1">
        <v>3</v>
      </c>
      <c r="K752" s="1" t="s">
        <v>19</v>
      </c>
      <c r="L752" s="1" t="s">
        <v>33</v>
      </c>
      <c r="M752" s="1">
        <f>orders[[#This Row],[Ship Date]]-orders[[#This Row],[Order Date]]</f>
        <v>2</v>
      </c>
      <c r="N752" s="1">
        <f>WEEKNUM(orders[[#This Row],[Order Date]])</f>
        <v>6</v>
      </c>
      <c r="O752" s="1" t="str" cm="1">
        <f t="array" ref="O752">_xlfn.IFS(orders[[#This Row],[Customer Gender]]="M","Male", orders[[#This Row],[Customer Gender]]="F","Female", orders[[#This Row],[Customer Gender]]="O","Other", TRUE,"Unknown")</f>
        <v>Male</v>
      </c>
    </row>
    <row r="753" spans="1:15" x14ac:dyDescent="0.3">
      <c r="A753" t="s">
        <v>846</v>
      </c>
      <c r="B753" t="s">
        <v>39</v>
      </c>
      <c r="C753">
        <v>4</v>
      </c>
      <c r="D753">
        <v>43.2</v>
      </c>
      <c r="E753" s="1">
        <v>172.8</v>
      </c>
      <c r="F753" s="2">
        <v>45690</v>
      </c>
      <c r="G753" s="2">
        <v>45696</v>
      </c>
      <c r="H753" s="1" t="s">
        <v>27</v>
      </c>
      <c r="I753" s="1" t="s">
        <v>18</v>
      </c>
      <c r="J753" s="1">
        <v>3</v>
      </c>
      <c r="K753" s="1" t="s">
        <v>19</v>
      </c>
      <c r="L753" s="1" t="s">
        <v>33</v>
      </c>
      <c r="M753" s="1">
        <f>orders[[#This Row],[Ship Date]]-orders[[#This Row],[Order Date]]</f>
        <v>6</v>
      </c>
      <c r="N753" s="1">
        <f>WEEKNUM(orders[[#This Row],[Order Date]])</f>
        <v>6</v>
      </c>
      <c r="O753" s="1"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s="1">
        <v>283.8</v>
      </c>
      <c r="F754" s="2">
        <v>45690</v>
      </c>
      <c r="G754" s="2">
        <v>45693</v>
      </c>
      <c r="H754" s="1" t="s">
        <v>23</v>
      </c>
      <c r="I754" s="1" t="s">
        <v>40</v>
      </c>
      <c r="J754" s="1">
        <v>3</v>
      </c>
      <c r="K754" s="1" t="s">
        <v>19</v>
      </c>
      <c r="L754" s="1" t="s">
        <v>33</v>
      </c>
      <c r="M754" s="1">
        <f>orders[[#This Row],[Ship Date]]-orders[[#This Row],[Order Date]]</f>
        <v>3</v>
      </c>
      <c r="N754" s="1">
        <f>WEEKNUM(orders[[#This Row],[Order Date]])</f>
        <v>6</v>
      </c>
      <c r="O754" s="1" t="str" cm="1">
        <f t="array" ref="O754">_xlfn.IFS(orders[[#This Row],[Customer Gender]]="M","Male", orders[[#This Row],[Customer Gender]]="F","Female", orders[[#This Row],[Customer Gender]]="O","Other", TRUE,"Unknown")</f>
        <v>Male</v>
      </c>
    </row>
    <row r="755" spans="1:15" x14ac:dyDescent="0.3">
      <c r="A755" t="s">
        <v>848</v>
      </c>
      <c r="B755" t="s">
        <v>123</v>
      </c>
      <c r="C755">
        <v>4</v>
      </c>
      <c r="D755">
        <v>36.4</v>
      </c>
      <c r="E755" s="1">
        <v>145.6</v>
      </c>
      <c r="F755" s="2">
        <v>45690</v>
      </c>
      <c r="G755" s="2">
        <v>45691</v>
      </c>
      <c r="H755" s="1" t="s">
        <v>23</v>
      </c>
      <c r="I755" s="1" t="s">
        <v>18</v>
      </c>
      <c r="J755" s="1">
        <v>4</v>
      </c>
      <c r="K755" s="1" t="s">
        <v>19</v>
      </c>
      <c r="L755" s="1" t="s">
        <v>33</v>
      </c>
      <c r="M755" s="1">
        <f>orders[[#This Row],[Ship Date]]-orders[[#This Row],[Order Date]]</f>
        <v>1</v>
      </c>
      <c r="N755" s="1">
        <f>WEEKNUM(orders[[#This Row],[Order Date]])</f>
        <v>6</v>
      </c>
      <c r="O755" s="1" t="str" cm="1">
        <f t="array" ref="O755">_xlfn.IFS(orders[[#This Row],[Customer Gender]]="M","Male", orders[[#This Row],[Customer Gender]]="F","Female", orders[[#This Row],[Customer Gender]]="O","Other", TRUE,"Unknown")</f>
        <v>Male</v>
      </c>
    </row>
    <row r="756" spans="1:15" x14ac:dyDescent="0.3">
      <c r="A756" t="s">
        <v>849</v>
      </c>
      <c r="B756" t="s">
        <v>54</v>
      </c>
      <c r="C756">
        <v>1</v>
      </c>
      <c r="D756">
        <v>59.1</v>
      </c>
      <c r="E756" s="1">
        <v>59.1</v>
      </c>
      <c r="F756" s="2">
        <v>45690</v>
      </c>
      <c r="G756" s="2">
        <v>45691</v>
      </c>
      <c r="H756" s="1" t="s">
        <v>27</v>
      </c>
      <c r="I756" s="1" t="s">
        <v>40</v>
      </c>
      <c r="J756" s="1">
        <v>4</v>
      </c>
      <c r="K756" s="1" t="s">
        <v>19</v>
      </c>
      <c r="L756" s="1" t="s">
        <v>59</v>
      </c>
      <c r="M756" s="1">
        <f>orders[[#This Row],[Ship Date]]-orders[[#This Row],[Order Date]]</f>
        <v>1</v>
      </c>
      <c r="N756" s="1">
        <f>WEEKNUM(orders[[#This Row],[Order Date]])</f>
        <v>6</v>
      </c>
      <c r="O756" s="1"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s="1">
        <v>1266.5</v>
      </c>
      <c r="F757" s="2">
        <v>45690</v>
      </c>
      <c r="G757" s="2">
        <v>45692</v>
      </c>
      <c r="H757" s="1" t="s">
        <v>23</v>
      </c>
      <c r="I757" s="1" t="s">
        <v>70</v>
      </c>
      <c r="J757" s="1">
        <v>4</v>
      </c>
      <c r="K757" s="1" t="s">
        <v>19</v>
      </c>
      <c r="L757" s="1" t="s">
        <v>108</v>
      </c>
      <c r="M757" s="1">
        <f>orders[[#This Row],[Ship Date]]-orders[[#This Row],[Order Date]]</f>
        <v>2</v>
      </c>
      <c r="N757" s="1">
        <f>WEEKNUM(orders[[#This Row],[Order Date]])</f>
        <v>6</v>
      </c>
      <c r="O757" s="1" t="str" cm="1">
        <f t="array" ref="O757">_xlfn.IFS(orders[[#This Row],[Customer Gender]]="M","Male", orders[[#This Row],[Customer Gender]]="F","Female", orders[[#This Row],[Customer Gender]]="O","Other", TRUE,"Unknown")</f>
        <v>Male</v>
      </c>
    </row>
    <row r="758" spans="1:15" x14ac:dyDescent="0.3">
      <c r="A758" t="s">
        <v>851</v>
      </c>
      <c r="B758" t="s">
        <v>37</v>
      </c>
      <c r="C758">
        <v>1</v>
      </c>
      <c r="D758">
        <v>72.8</v>
      </c>
      <c r="E758" s="1">
        <v>72.8</v>
      </c>
      <c r="F758" s="2">
        <v>45690</v>
      </c>
      <c r="G758" s="2">
        <v>45691</v>
      </c>
      <c r="H758" s="1" t="s">
        <v>27</v>
      </c>
      <c r="I758" s="1" t="s">
        <v>18</v>
      </c>
      <c r="J758" s="1">
        <v>3</v>
      </c>
      <c r="K758" s="1" t="s">
        <v>19</v>
      </c>
      <c r="L758" s="1" t="s">
        <v>110</v>
      </c>
      <c r="M758" s="1">
        <f>orders[[#This Row],[Ship Date]]-orders[[#This Row],[Order Date]]</f>
        <v>1</v>
      </c>
      <c r="N758" s="1">
        <f>WEEKNUM(orders[[#This Row],[Order Date]])</f>
        <v>6</v>
      </c>
      <c r="O758" s="1"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s="1">
        <v>549.20000000000005</v>
      </c>
      <c r="F759" s="2">
        <v>45690</v>
      </c>
      <c r="G759" s="2">
        <v>45693</v>
      </c>
      <c r="H759" s="1" t="s">
        <v>27</v>
      </c>
      <c r="I759" s="1" t="s">
        <v>18</v>
      </c>
      <c r="J759" s="1">
        <v>4</v>
      </c>
      <c r="K759" s="1" t="s">
        <v>19</v>
      </c>
      <c r="L759" s="1" t="s">
        <v>82</v>
      </c>
      <c r="M759" s="1">
        <f>orders[[#This Row],[Ship Date]]-orders[[#This Row],[Order Date]]</f>
        <v>3</v>
      </c>
      <c r="N759" s="1">
        <f>WEEKNUM(orders[[#This Row],[Order Date]])</f>
        <v>6</v>
      </c>
      <c r="O759" s="1"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s="1">
        <v>146.10000000000002</v>
      </c>
      <c r="F760" s="2">
        <v>45690</v>
      </c>
      <c r="G760" s="2">
        <v>45695</v>
      </c>
      <c r="H760" s="1" t="s">
        <v>27</v>
      </c>
      <c r="I760" s="1" t="s">
        <v>18</v>
      </c>
      <c r="J760" s="1">
        <v>3</v>
      </c>
      <c r="K760" s="1" t="s">
        <v>19</v>
      </c>
      <c r="L760" s="1" t="s">
        <v>115</v>
      </c>
      <c r="M760" s="1">
        <f>orders[[#This Row],[Ship Date]]-orders[[#This Row],[Order Date]]</f>
        <v>5</v>
      </c>
      <c r="N760" s="1">
        <f>WEEKNUM(orders[[#This Row],[Order Date]])</f>
        <v>6</v>
      </c>
      <c r="O760" s="1"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s="1">
        <v>214.8</v>
      </c>
      <c r="F761" s="2">
        <v>45690</v>
      </c>
      <c r="G761" s="2">
        <v>45694</v>
      </c>
      <c r="H761" s="1" t="s">
        <v>23</v>
      </c>
      <c r="I761" s="1" t="s">
        <v>35</v>
      </c>
      <c r="J761" s="1">
        <v>2</v>
      </c>
      <c r="K761" s="1" t="s">
        <v>19</v>
      </c>
      <c r="L761" s="1" t="s">
        <v>28</v>
      </c>
      <c r="M761" s="1">
        <f>orders[[#This Row],[Ship Date]]-orders[[#This Row],[Order Date]]</f>
        <v>4</v>
      </c>
      <c r="N761" s="1">
        <f>WEEKNUM(orders[[#This Row],[Order Date]])</f>
        <v>6</v>
      </c>
      <c r="O761" s="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s="1">
        <v>706.30000000000007</v>
      </c>
      <c r="F762" s="2">
        <v>45690</v>
      </c>
      <c r="G762" s="2">
        <v>45692</v>
      </c>
      <c r="H762" s="1" t="s">
        <v>27</v>
      </c>
      <c r="I762" s="1" t="s">
        <v>18</v>
      </c>
      <c r="J762" s="1">
        <v>3</v>
      </c>
      <c r="K762" s="1" t="s">
        <v>19</v>
      </c>
      <c r="L762" s="1" t="s">
        <v>28</v>
      </c>
      <c r="M762" s="1">
        <f>orders[[#This Row],[Ship Date]]-orders[[#This Row],[Order Date]]</f>
        <v>2</v>
      </c>
      <c r="N762" s="1">
        <f>WEEKNUM(orders[[#This Row],[Order Date]])</f>
        <v>6</v>
      </c>
      <c r="O762" s="1"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s="1">
        <v>83.6</v>
      </c>
      <c r="F763" s="2">
        <v>45690</v>
      </c>
      <c r="G763" s="2">
        <v>45694</v>
      </c>
      <c r="H763" s="1" t="s">
        <v>23</v>
      </c>
      <c r="I763" s="1" t="s">
        <v>51</v>
      </c>
      <c r="J763" s="1">
        <v>5</v>
      </c>
      <c r="K763" s="1" t="s">
        <v>19</v>
      </c>
      <c r="L763" s="1" t="s">
        <v>147</v>
      </c>
      <c r="M763" s="1">
        <f>orders[[#This Row],[Ship Date]]-orders[[#This Row],[Order Date]]</f>
        <v>4</v>
      </c>
      <c r="N763" s="1">
        <f>WEEKNUM(orders[[#This Row],[Order Date]])</f>
        <v>6</v>
      </c>
      <c r="O763" s="1" t="str" cm="1">
        <f t="array" ref="O763">_xlfn.IFS(orders[[#This Row],[Customer Gender]]="M","Male", orders[[#This Row],[Customer Gender]]="F","Female", orders[[#This Row],[Customer Gender]]="O","Other", TRUE,"Unknown")</f>
        <v>Male</v>
      </c>
    </row>
    <row r="764" spans="1:15" x14ac:dyDescent="0.3">
      <c r="A764" t="s">
        <v>857</v>
      </c>
      <c r="B764" t="s">
        <v>32</v>
      </c>
      <c r="C764">
        <v>8</v>
      </c>
      <c r="D764">
        <v>28.5</v>
      </c>
      <c r="E764" s="1">
        <v>228</v>
      </c>
      <c r="F764" s="2">
        <v>45690</v>
      </c>
      <c r="G764" s="2">
        <v>45692</v>
      </c>
      <c r="H764" s="1" t="s">
        <v>23</v>
      </c>
      <c r="I764" s="1" t="s">
        <v>40</v>
      </c>
      <c r="J764" s="1">
        <v>3</v>
      </c>
      <c r="K764" s="1" t="s">
        <v>19</v>
      </c>
      <c r="L764" s="1" t="s">
        <v>33</v>
      </c>
      <c r="M764" s="1">
        <f>orders[[#This Row],[Ship Date]]-orders[[#This Row],[Order Date]]</f>
        <v>2</v>
      </c>
      <c r="N764" s="1">
        <f>WEEKNUM(orders[[#This Row],[Order Date]])</f>
        <v>6</v>
      </c>
      <c r="O764" s="1" t="str" cm="1">
        <f t="array" ref="O764">_xlfn.IFS(orders[[#This Row],[Customer Gender]]="M","Male", orders[[#This Row],[Customer Gender]]="F","Female", orders[[#This Row],[Customer Gender]]="O","Other", TRUE,"Unknown")</f>
        <v>Male</v>
      </c>
    </row>
    <row r="765" spans="1:15" x14ac:dyDescent="0.3">
      <c r="A765" t="s">
        <v>858</v>
      </c>
      <c r="B765" t="s">
        <v>42</v>
      </c>
      <c r="C765">
        <v>4</v>
      </c>
      <c r="D765">
        <v>88.9</v>
      </c>
      <c r="E765" s="1">
        <v>355.6</v>
      </c>
      <c r="F765" s="2">
        <v>45690</v>
      </c>
      <c r="G765" s="2">
        <v>45693</v>
      </c>
      <c r="H765" s="1" t="s">
        <v>27</v>
      </c>
      <c r="I765" s="1" t="s">
        <v>18</v>
      </c>
      <c r="J765" s="1">
        <v>5</v>
      </c>
      <c r="K765" s="1" t="s">
        <v>19</v>
      </c>
      <c r="L765" s="1" t="s">
        <v>33</v>
      </c>
      <c r="M765" s="1">
        <f>orders[[#This Row],[Ship Date]]-orders[[#This Row],[Order Date]]</f>
        <v>3</v>
      </c>
      <c r="N765" s="1">
        <f>WEEKNUM(orders[[#This Row],[Order Date]])</f>
        <v>6</v>
      </c>
      <c r="O765" s="1"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s="1">
        <v>62.5</v>
      </c>
      <c r="F766" s="2">
        <v>45690</v>
      </c>
      <c r="G766" s="2">
        <v>45699</v>
      </c>
      <c r="H766" s="1" t="s">
        <v>27</v>
      </c>
      <c r="I766" s="1" t="s">
        <v>18</v>
      </c>
      <c r="J766" s="1">
        <v>5</v>
      </c>
      <c r="K766" s="1" t="s">
        <v>19</v>
      </c>
      <c r="L766" s="1" t="s">
        <v>33</v>
      </c>
      <c r="M766" s="1">
        <f>orders[[#This Row],[Ship Date]]-orders[[#This Row],[Order Date]]</f>
        <v>9</v>
      </c>
      <c r="N766" s="1">
        <f>WEEKNUM(orders[[#This Row],[Order Date]])</f>
        <v>6</v>
      </c>
      <c r="O766" s="1"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s="1">
        <v>140.69999999999999</v>
      </c>
      <c r="F767" s="2">
        <v>45690</v>
      </c>
      <c r="G767" s="2">
        <v>45691</v>
      </c>
      <c r="H767" s="1" t="s">
        <v>23</v>
      </c>
      <c r="I767" s="1" t="s">
        <v>18</v>
      </c>
      <c r="J767" s="1">
        <v>5</v>
      </c>
      <c r="K767" s="1" t="s">
        <v>19</v>
      </c>
      <c r="L767" s="1" t="s">
        <v>33</v>
      </c>
      <c r="M767" s="1">
        <f>orders[[#This Row],[Ship Date]]-orders[[#This Row],[Order Date]]</f>
        <v>1</v>
      </c>
      <c r="N767" s="1">
        <f>WEEKNUM(orders[[#This Row],[Order Date]])</f>
        <v>6</v>
      </c>
      <c r="O767" s="1" t="str" cm="1">
        <f t="array" ref="O767">_xlfn.IFS(orders[[#This Row],[Customer Gender]]="M","Male", orders[[#This Row],[Customer Gender]]="F","Female", orders[[#This Row],[Customer Gender]]="O","Other", TRUE,"Unknown")</f>
        <v>Male</v>
      </c>
    </row>
    <row r="768" spans="1:15" x14ac:dyDescent="0.3">
      <c r="A768" t="s">
        <v>861</v>
      </c>
      <c r="B768" t="s">
        <v>44</v>
      </c>
      <c r="C768">
        <v>3</v>
      </c>
      <c r="D768">
        <v>45</v>
      </c>
      <c r="E768" s="1">
        <v>135</v>
      </c>
      <c r="F768" s="2">
        <v>45690</v>
      </c>
      <c r="G768" s="2">
        <v>45704</v>
      </c>
      <c r="H768" s="1" t="s">
        <v>23</v>
      </c>
      <c r="I768" s="1" t="s">
        <v>35</v>
      </c>
      <c r="J768" s="1">
        <v>4</v>
      </c>
      <c r="K768" s="1" t="s">
        <v>19</v>
      </c>
      <c r="L768" s="1" t="s">
        <v>33</v>
      </c>
      <c r="M768" s="1">
        <f>orders[[#This Row],[Ship Date]]-orders[[#This Row],[Order Date]]</f>
        <v>14</v>
      </c>
      <c r="N768" s="1">
        <f>WEEKNUM(orders[[#This Row],[Order Date]])</f>
        <v>6</v>
      </c>
      <c r="O768" s="1" t="str" cm="1">
        <f t="array" ref="O768">_xlfn.IFS(orders[[#This Row],[Customer Gender]]="M","Male", orders[[#This Row],[Customer Gender]]="F","Female", orders[[#This Row],[Customer Gender]]="O","Other", TRUE,"Unknown")</f>
        <v>Male</v>
      </c>
    </row>
    <row r="769" spans="1:15" x14ac:dyDescent="0.3">
      <c r="A769" t="s">
        <v>862</v>
      </c>
      <c r="B769" t="s">
        <v>39</v>
      </c>
      <c r="C769">
        <v>3</v>
      </c>
      <c r="D769">
        <v>45.2</v>
      </c>
      <c r="E769" s="1">
        <v>135.60000000000002</v>
      </c>
      <c r="F769" s="2">
        <v>45690</v>
      </c>
      <c r="G769" s="2">
        <v>45692</v>
      </c>
      <c r="H769" s="1" t="s">
        <v>23</v>
      </c>
      <c r="I769" s="1" t="s">
        <v>70</v>
      </c>
      <c r="J769" s="1">
        <v>5</v>
      </c>
      <c r="K769" s="1" t="s">
        <v>19</v>
      </c>
      <c r="L769" s="1" t="s">
        <v>33</v>
      </c>
      <c r="M769" s="1">
        <f>orders[[#This Row],[Ship Date]]-orders[[#This Row],[Order Date]]</f>
        <v>2</v>
      </c>
      <c r="N769" s="1">
        <f>WEEKNUM(orders[[#This Row],[Order Date]])</f>
        <v>6</v>
      </c>
      <c r="O769" s="1" t="str" cm="1">
        <f t="array" ref="O769">_xlfn.IFS(orders[[#This Row],[Customer Gender]]="M","Male", orders[[#This Row],[Customer Gender]]="F","Female", orders[[#This Row],[Customer Gender]]="O","Other", TRUE,"Unknown")</f>
        <v>Male</v>
      </c>
    </row>
    <row r="770" spans="1:15" x14ac:dyDescent="0.3">
      <c r="A770" t="s">
        <v>863</v>
      </c>
      <c r="B770" t="s">
        <v>32</v>
      </c>
      <c r="C770">
        <v>2</v>
      </c>
      <c r="D770">
        <v>60.1</v>
      </c>
      <c r="E770" s="1">
        <v>120.2</v>
      </c>
      <c r="F770" s="2">
        <v>45690</v>
      </c>
      <c r="G770" s="2">
        <v>45691</v>
      </c>
      <c r="H770" s="1" t="s">
        <v>27</v>
      </c>
      <c r="I770" s="1" t="s">
        <v>18</v>
      </c>
      <c r="J770" s="1">
        <v>5</v>
      </c>
      <c r="K770" s="1" t="s">
        <v>19</v>
      </c>
      <c r="L770" s="1" t="s">
        <v>33</v>
      </c>
      <c r="M770" s="1">
        <f>orders[[#This Row],[Ship Date]]-orders[[#This Row],[Order Date]]</f>
        <v>1</v>
      </c>
      <c r="N770" s="1">
        <f>WEEKNUM(orders[[#This Row],[Order Date]])</f>
        <v>6</v>
      </c>
      <c r="O770" s="1"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s="1">
        <v>474.8</v>
      </c>
      <c r="F771" s="2">
        <v>45690</v>
      </c>
      <c r="G771" s="2">
        <v>45692</v>
      </c>
      <c r="H771" s="1" t="s">
        <v>27</v>
      </c>
      <c r="I771" s="1" t="s">
        <v>18</v>
      </c>
      <c r="J771" s="1">
        <v>4</v>
      </c>
      <c r="K771" s="1" t="s">
        <v>19</v>
      </c>
      <c r="L771" s="1" t="s">
        <v>33</v>
      </c>
      <c r="M771" s="1">
        <f>orders[[#This Row],[Ship Date]]-orders[[#This Row],[Order Date]]</f>
        <v>2</v>
      </c>
      <c r="N771" s="1">
        <f>WEEKNUM(orders[[#This Row],[Order Date]])</f>
        <v>6</v>
      </c>
      <c r="O771" s="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s="1">
        <v>57.8</v>
      </c>
      <c r="F772" s="2">
        <v>45690</v>
      </c>
      <c r="G772" s="2">
        <v>45699</v>
      </c>
      <c r="H772" s="1" t="s">
        <v>27</v>
      </c>
      <c r="I772" s="1" t="s">
        <v>35</v>
      </c>
      <c r="J772" s="1">
        <v>4</v>
      </c>
      <c r="K772" s="1" t="s">
        <v>19</v>
      </c>
      <c r="L772" s="1" t="s">
        <v>33</v>
      </c>
      <c r="M772" s="1">
        <f>orders[[#This Row],[Ship Date]]-orders[[#This Row],[Order Date]]</f>
        <v>9</v>
      </c>
      <c r="N772" s="1">
        <f>WEEKNUM(orders[[#This Row],[Order Date]])</f>
        <v>6</v>
      </c>
      <c r="O772" s="1"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s="1">
        <v>19.5</v>
      </c>
      <c r="F773" s="2">
        <v>45690</v>
      </c>
      <c r="G773" s="2">
        <v>45691</v>
      </c>
      <c r="H773" s="1" t="s">
        <v>23</v>
      </c>
      <c r="I773" s="1" t="s">
        <v>35</v>
      </c>
      <c r="J773" s="1">
        <v>3</v>
      </c>
      <c r="K773" s="1" t="s">
        <v>19</v>
      </c>
      <c r="L773" s="1" t="s">
        <v>33</v>
      </c>
      <c r="M773" s="1">
        <f>orders[[#This Row],[Ship Date]]-orders[[#This Row],[Order Date]]</f>
        <v>1</v>
      </c>
      <c r="N773" s="1">
        <f>WEEKNUM(orders[[#This Row],[Order Date]])</f>
        <v>6</v>
      </c>
      <c r="O773" s="1" t="str" cm="1">
        <f t="array" ref="O773">_xlfn.IFS(orders[[#This Row],[Customer Gender]]="M","Male", orders[[#This Row],[Customer Gender]]="F","Female", orders[[#This Row],[Customer Gender]]="O","Other", TRUE,"Unknown")</f>
        <v>Male</v>
      </c>
    </row>
    <row r="774" spans="1:15" x14ac:dyDescent="0.3">
      <c r="A774" t="s">
        <v>867</v>
      </c>
      <c r="B774" t="s">
        <v>69</v>
      </c>
      <c r="C774">
        <v>1</v>
      </c>
      <c r="D774">
        <v>42.6</v>
      </c>
      <c r="E774" s="1">
        <v>42.6</v>
      </c>
      <c r="F774" s="2">
        <v>45690</v>
      </c>
      <c r="G774" s="2">
        <v>45691</v>
      </c>
      <c r="H774" s="1" t="s">
        <v>23</v>
      </c>
      <c r="I774" s="1" t="s">
        <v>18</v>
      </c>
      <c r="J774" s="1">
        <v>3</v>
      </c>
      <c r="K774" s="1" t="s">
        <v>19</v>
      </c>
      <c r="L774" s="1" t="s">
        <v>33</v>
      </c>
      <c r="M774" s="1">
        <f>orders[[#This Row],[Ship Date]]-orders[[#This Row],[Order Date]]</f>
        <v>1</v>
      </c>
      <c r="N774" s="1">
        <f>WEEKNUM(orders[[#This Row],[Order Date]])</f>
        <v>6</v>
      </c>
      <c r="O774" s="1" t="str" cm="1">
        <f t="array" ref="O774">_xlfn.IFS(orders[[#This Row],[Customer Gender]]="M","Male", orders[[#This Row],[Customer Gender]]="F","Female", orders[[#This Row],[Customer Gender]]="O","Other", TRUE,"Unknown")</f>
        <v>Male</v>
      </c>
    </row>
    <row r="775" spans="1:15" x14ac:dyDescent="0.3">
      <c r="A775" t="s">
        <v>868</v>
      </c>
      <c r="B775" t="s">
        <v>39</v>
      </c>
      <c r="C775">
        <v>2</v>
      </c>
      <c r="D775">
        <v>74.8</v>
      </c>
      <c r="E775" s="1">
        <v>149.6</v>
      </c>
      <c r="F775" s="2">
        <v>45690</v>
      </c>
      <c r="G775" s="2">
        <v>45691</v>
      </c>
      <c r="H775" s="1" t="s">
        <v>27</v>
      </c>
      <c r="I775" s="1" t="s">
        <v>51</v>
      </c>
      <c r="J775" s="1">
        <v>5</v>
      </c>
      <c r="K775" s="1" t="s">
        <v>19</v>
      </c>
      <c r="L775" s="1" t="s">
        <v>364</v>
      </c>
      <c r="M775" s="1">
        <f>orders[[#This Row],[Ship Date]]-orders[[#This Row],[Order Date]]</f>
        <v>1</v>
      </c>
      <c r="N775" s="1">
        <f>WEEKNUM(orders[[#This Row],[Order Date]])</f>
        <v>6</v>
      </c>
      <c r="O775" s="1"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s="1">
        <v>97.5</v>
      </c>
      <c r="F776" s="2">
        <v>45690</v>
      </c>
      <c r="G776" s="2">
        <v>45691</v>
      </c>
      <c r="H776" s="1" t="s">
        <v>23</v>
      </c>
      <c r="I776" s="1" t="s">
        <v>40</v>
      </c>
      <c r="J776" s="1">
        <v>2</v>
      </c>
      <c r="K776" s="1" t="s">
        <v>19</v>
      </c>
      <c r="L776" s="1" t="s">
        <v>98</v>
      </c>
      <c r="M776" s="1">
        <f>orders[[#This Row],[Ship Date]]-orders[[#This Row],[Order Date]]</f>
        <v>1</v>
      </c>
      <c r="N776" s="1">
        <f>WEEKNUM(orders[[#This Row],[Order Date]])</f>
        <v>6</v>
      </c>
      <c r="O776" s="1" t="str" cm="1">
        <f t="array" ref="O776">_xlfn.IFS(orders[[#This Row],[Customer Gender]]="M","Male", orders[[#This Row],[Customer Gender]]="F","Female", orders[[#This Row],[Customer Gender]]="O","Other", TRUE,"Unknown")</f>
        <v>Male</v>
      </c>
    </row>
    <row r="777" spans="1:15" x14ac:dyDescent="0.3">
      <c r="A777" t="s">
        <v>870</v>
      </c>
      <c r="B777" t="s">
        <v>26</v>
      </c>
      <c r="C777">
        <v>3</v>
      </c>
      <c r="D777">
        <v>60.5</v>
      </c>
      <c r="E777" s="1">
        <v>181.5</v>
      </c>
      <c r="F777" s="2">
        <v>45690</v>
      </c>
      <c r="G777" s="2">
        <v>45690</v>
      </c>
      <c r="H777" s="1" t="s">
        <v>27</v>
      </c>
      <c r="I777" s="1" t="s">
        <v>35</v>
      </c>
      <c r="J777" s="1">
        <v>5</v>
      </c>
      <c r="K777" s="1" t="s">
        <v>19</v>
      </c>
      <c r="L777" s="1" t="s">
        <v>188</v>
      </c>
      <c r="M777" s="1">
        <f>orders[[#This Row],[Ship Date]]-orders[[#This Row],[Order Date]]</f>
        <v>0</v>
      </c>
      <c r="N777" s="1">
        <f>WEEKNUM(orders[[#This Row],[Order Date]])</f>
        <v>6</v>
      </c>
      <c r="O777" s="1"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s="1">
        <v>400.40000000000003</v>
      </c>
      <c r="F778" s="2">
        <v>45690</v>
      </c>
      <c r="G778" s="2">
        <v>45692</v>
      </c>
      <c r="H778" s="1" t="s">
        <v>17</v>
      </c>
      <c r="I778" s="1" t="s">
        <v>40</v>
      </c>
      <c r="J778" s="1">
        <v>4</v>
      </c>
      <c r="K778" s="1" t="s">
        <v>19</v>
      </c>
      <c r="L778" s="1" t="s">
        <v>188</v>
      </c>
      <c r="M778" s="1">
        <f>orders[[#This Row],[Ship Date]]-orders[[#This Row],[Order Date]]</f>
        <v>2</v>
      </c>
      <c r="N778" s="1">
        <f>WEEKNUM(orders[[#This Row],[Order Date]])</f>
        <v>6</v>
      </c>
      <c r="O778" s="1"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s="1">
        <v>224</v>
      </c>
      <c r="F779" s="2">
        <v>45690</v>
      </c>
      <c r="G779" s="2">
        <v>45691</v>
      </c>
      <c r="H779" s="1" t="s">
        <v>27</v>
      </c>
      <c r="I779" s="1" t="s">
        <v>35</v>
      </c>
      <c r="J779" s="1">
        <v>3</v>
      </c>
      <c r="K779" s="1" t="s">
        <v>19</v>
      </c>
      <c r="L779" s="1" t="s">
        <v>52</v>
      </c>
      <c r="M779" s="1">
        <f>orders[[#This Row],[Ship Date]]-orders[[#This Row],[Order Date]]</f>
        <v>1</v>
      </c>
      <c r="N779" s="1">
        <f>WEEKNUM(orders[[#This Row],[Order Date]])</f>
        <v>6</v>
      </c>
      <c r="O779" s="1"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s="1">
        <v>490</v>
      </c>
      <c r="F780" s="2">
        <v>45690</v>
      </c>
      <c r="G780" s="2">
        <v>45691</v>
      </c>
      <c r="H780" s="1" t="s">
        <v>89</v>
      </c>
      <c r="I780" s="1" t="s">
        <v>40</v>
      </c>
      <c r="J780" s="1">
        <v>3</v>
      </c>
      <c r="K780" s="1" t="s">
        <v>19</v>
      </c>
      <c r="L780" s="1" t="s">
        <v>55</v>
      </c>
      <c r="M780" s="1">
        <f>orders[[#This Row],[Ship Date]]-orders[[#This Row],[Order Date]]</f>
        <v>1</v>
      </c>
      <c r="N780" s="1">
        <f>WEEKNUM(orders[[#This Row],[Order Date]])</f>
        <v>6</v>
      </c>
      <c r="O780" s="1"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s="1">
        <v>67.400000000000006</v>
      </c>
      <c r="F781" s="2">
        <v>45690</v>
      </c>
      <c r="G781" s="2">
        <v>45694</v>
      </c>
      <c r="H781" s="1" t="s">
        <v>27</v>
      </c>
      <c r="I781" s="1" t="s">
        <v>51</v>
      </c>
      <c r="J781" s="1">
        <v>4</v>
      </c>
      <c r="K781" s="1" t="s">
        <v>19</v>
      </c>
      <c r="L781" s="1" t="s">
        <v>55</v>
      </c>
      <c r="M781" s="1">
        <f>orders[[#This Row],[Ship Date]]-orders[[#This Row],[Order Date]]</f>
        <v>4</v>
      </c>
      <c r="N781" s="1">
        <f>WEEKNUM(orders[[#This Row],[Order Date]])</f>
        <v>6</v>
      </c>
      <c r="O781" s="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s="1">
        <v>106.80000000000001</v>
      </c>
      <c r="F782" s="2">
        <v>45690</v>
      </c>
      <c r="G782" s="2">
        <v>45693</v>
      </c>
      <c r="H782" s="1" t="s">
        <v>27</v>
      </c>
      <c r="I782" s="1" t="s">
        <v>18</v>
      </c>
      <c r="J782" s="1">
        <v>5</v>
      </c>
      <c r="K782" s="1" t="s">
        <v>19</v>
      </c>
      <c r="L782" s="1" t="s">
        <v>55</v>
      </c>
      <c r="M782" s="1">
        <f>orders[[#This Row],[Ship Date]]-orders[[#This Row],[Order Date]]</f>
        <v>3</v>
      </c>
      <c r="N782" s="1">
        <f>WEEKNUM(orders[[#This Row],[Order Date]])</f>
        <v>6</v>
      </c>
      <c r="O782" s="1"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s="1">
        <v>1064</v>
      </c>
      <c r="F783" s="2">
        <v>45691</v>
      </c>
      <c r="G783" s="2">
        <v>45691</v>
      </c>
      <c r="H783" s="1" t="s">
        <v>27</v>
      </c>
      <c r="I783" s="1" t="s">
        <v>18</v>
      </c>
      <c r="J783" s="1">
        <v>3</v>
      </c>
      <c r="K783" s="1" t="s">
        <v>19</v>
      </c>
      <c r="L783" s="1" t="s">
        <v>59</v>
      </c>
      <c r="M783" s="1">
        <f>orders[[#This Row],[Ship Date]]-orders[[#This Row],[Order Date]]</f>
        <v>0</v>
      </c>
      <c r="N783" s="1">
        <f>WEEKNUM(orders[[#This Row],[Order Date]])</f>
        <v>6</v>
      </c>
      <c r="O783" s="1"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s="1">
        <v>602.40000000000009</v>
      </c>
      <c r="F784" s="2">
        <v>45691</v>
      </c>
      <c r="G784" s="2">
        <v>45692</v>
      </c>
      <c r="H784" s="1" t="s">
        <v>23</v>
      </c>
      <c r="I784" s="1" t="s">
        <v>70</v>
      </c>
      <c r="J784" s="1">
        <v>4</v>
      </c>
      <c r="K784" s="1" t="s">
        <v>19</v>
      </c>
      <c r="L784" s="1" t="s">
        <v>62</v>
      </c>
      <c r="M784" s="1">
        <f>orders[[#This Row],[Ship Date]]-orders[[#This Row],[Order Date]]</f>
        <v>1</v>
      </c>
      <c r="N784" s="1">
        <f>WEEKNUM(orders[[#This Row],[Order Date]])</f>
        <v>6</v>
      </c>
      <c r="O784" s="1" t="str" cm="1">
        <f t="array" ref="O784">_xlfn.IFS(orders[[#This Row],[Customer Gender]]="M","Male", orders[[#This Row],[Customer Gender]]="F","Female", orders[[#This Row],[Customer Gender]]="O","Other", TRUE,"Unknown")</f>
        <v>Male</v>
      </c>
    </row>
    <row r="785" spans="1:15" x14ac:dyDescent="0.3">
      <c r="A785" t="s">
        <v>878</v>
      </c>
      <c r="B785" t="s">
        <v>22</v>
      </c>
      <c r="C785">
        <v>2</v>
      </c>
      <c r="D785">
        <v>43.7</v>
      </c>
      <c r="E785" s="1">
        <v>87.4</v>
      </c>
      <c r="F785" s="2">
        <v>45691</v>
      </c>
      <c r="G785" s="2">
        <v>45693</v>
      </c>
      <c r="H785" s="1" t="s">
        <v>27</v>
      </c>
      <c r="I785" s="1" t="s">
        <v>18</v>
      </c>
      <c r="J785" s="1">
        <v>4</v>
      </c>
      <c r="K785" s="1" t="s">
        <v>19</v>
      </c>
      <c r="L785" s="1" t="s">
        <v>62</v>
      </c>
      <c r="M785" s="1">
        <f>orders[[#This Row],[Ship Date]]-orders[[#This Row],[Order Date]]</f>
        <v>2</v>
      </c>
      <c r="N785" s="1">
        <f>WEEKNUM(orders[[#This Row],[Order Date]])</f>
        <v>6</v>
      </c>
      <c r="O785" s="1"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s="1">
        <v>33.299999999999997</v>
      </c>
      <c r="F786" s="2">
        <v>45691</v>
      </c>
      <c r="G786" s="2">
        <v>45692</v>
      </c>
      <c r="H786" s="1" t="s">
        <v>27</v>
      </c>
      <c r="I786" s="1" t="s">
        <v>40</v>
      </c>
      <c r="J786" s="1">
        <v>3</v>
      </c>
      <c r="K786" s="1" t="s">
        <v>19</v>
      </c>
      <c r="L786" s="1" t="s">
        <v>62</v>
      </c>
      <c r="M786" s="1">
        <f>orders[[#This Row],[Ship Date]]-orders[[#This Row],[Order Date]]</f>
        <v>1</v>
      </c>
      <c r="N786" s="1">
        <f>WEEKNUM(orders[[#This Row],[Order Date]])</f>
        <v>6</v>
      </c>
      <c r="O786" s="1"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s="1">
        <v>60.4</v>
      </c>
      <c r="F787" s="2">
        <v>45691</v>
      </c>
      <c r="G787" s="2">
        <v>45693</v>
      </c>
      <c r="H787" s="1" t="s">
        <v>27</v>
      </c>
      <c r="I787" s="1" t="s">
        <v>70</v>
      </c>
      <c r="J787" s="1">
        <v>5</v>
      </c>
      <c r="K787" s="1" t="s">
        <v>19</v>
      </c>
      <c r="L787" s="1" t="s">
        <v>62</v>
      </c>
      <c r="M787" s="1">
        <f>orders[[#This Row],[Ship Date]]-orders[[#This Row],[Order Date]]</f>
        <v>2</v>
      </c>
      <c r="N787" s="1">
        <f>WEEKNUM(orders[[#This Row],[Order Date]])</f>
        <v>6</v>
      </c>
      <c r="O787" s="1"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s="1">
        <v>591</v>
      </c>
      <c r="F788" s="2">
        <v>45691</v>
      </c>
      <c r="G788" s="2">
        <v>45692</v>
      </c>
      <c r="H788" s="1" t="s">
        <v>27</v>
      </c>
      <c r="I788" s="1" t="s">
        <v>51</v>
      </c>
      <c r="J788" s="1">
        <v>2</v>
      </c>
      <c r="K788" s="1" t="s">
        <v>19</v>
      </c>
      <c r="L788" s="1" t="s">
        <v>62</v>
      </c>
      <c r="M788" s="1">
        <f>orders[[#This Row],[Ship Date]]-orders[[#This Row],[Order Date]]</f>
        <v>1</v>
      </c>
      <c r="N788" s="1">
        <f>WEEKNUM(orders[[#This Row],[Order Date]])</f>
        <v>6</v>
      </c>
      <c r="O788" s="1"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s="1">
        <v>86.699999999999989</v>
      </c>
      <c r="F789" s="2">
        <v>45691</v>
      </c>
      <c r="G789" s="2">
        <v>45693</v>
      </c>
      <c r="H789" s="1" t="s">
        <v>27</v>
      </c>
      <c r="I789" s="1" t="s">
        <v>40</v>
      </c>
      <c r="J789" s="1">
        <v>3</v>
      </c>
      <c r="K789" s="1" t="s">
        <v>19</v>
      </c>
      <c r="L789" s="1" t="s">
        <v>62</v>
      </c>
      <c r="M789" s="1">
        <f>orders[[#This Row],[Ship Date]]-orders[[#This Row],[Order Date]]</f>
        <v>2</v>
      </c>
      <c r="N789" s="1">
        <f>WEEKNUM(orders[[#This Row],[Order Date]])</f>
        <v>6</v>
      </c>
      <c r="O789" s="1"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s="1">
        <v>166.8</v>
      </c>
      <c r="F790" s="2">
        <v>45691</v>
      </c>
      <c r="G790" s="2">
        <v>45692</v>
      </c>
      <c r="H790" s="1" t="s">
        <v>23</v>
      </c>
      <c r="I790" s="1" t="s">
        <v>18</v>
      </c>
      <c r="J790" s="1">
        <v>3</v>
      </c>
      <c r="K790" s="1" t="s">
        <v>19</v>
      </c>
      <c r="L790" s="1" t="s">
        <v>62</v>
      </c>
      <c r="M790" s="1">
        <f>orders[[#This Row],[Ship Date]]-orders[[#This Row],[Order Date]]</f>
        <v>1</v>
      </c>
      <c r="N790" s="1">
        <f>WEEKNUM(orders[[#This Row],[Order Date]])</f>
        <v>6</v>
      </c>
      <c r="O790" s="1" t="str" cm="1">
        <f t="array" ref="O790">_xlfn.IFS(orders[[#This Row],[Customer Gender]]="M","Male", orders[[#This Row],[Customer Gender]]="F","Female", orders[[#This Row],[Customer Gender]]="O","Other", TRUE,"Unknown")</f>
        <v>Male</v>
      </c>
    </row>
    <row r="791" spans="1:15" x14ac:dyDescent="0.3">
      <c r="A791" t="s">
        <v>884</v>
      </c>
      <c r="B791" t="s">
        <v>46</v>
      </c>
      <c r="C791">
        <v>4</v>
      </c>
      <c r="D791">
        <v>25.6</v>
      </c>
      <c r="E791" s="1">
        <v>102.4</v>
      </c>
      <c r="F791" s="2">
        <v>45691</v>
      </c>
      <c r="G791" s="2">
        <v>45693</v>
      </c>
      <c r="H791" s="1" t="s">
        <v>27</v>
      </c>
      <c r="I791" s="1" t="s">
        <v>18</v>
      </c>
      <c r="J791" s="1">
        <v>3</v>
      </c>
      <c r="K791" s="1" t="s">
        <v>19</v>
      </c>
      <c r="L791" s="1" t="s">
        <v>62</v>
      </c>
      <c r="M791" s="1">
        <f>orders[[#This Row],[Ship Date]]-orders[[#This Row],[Order Date]]</f>
        <v>2</v>
      </c>
      <c r="N791" s="1">
        <f>WEEKNUM(orders[[#This Row],[Order Date]])</f>
        <v>6</v>
      </c>
      <c r="O791" s="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s="1">
        <v>93.9</v>
      </c>
      <c r="F792" s="2">
        <v>45691</v>
      </c>
      <c r="G792" s="2">
        <v>45692</v>
      </c>
      <c r="H792" s="1" t="s">
        <v>23</v>
      </c>
      <c r="I792" s="1" t="s">
        <v>18</v>
      </c>
      <c r="J792" s="1">
        <v>4</v>
      </c>
      <c r="K792" s="1" t="s">
        <v>19</v>
      </c>
      <c r="L792" s="1" t="s">
        <v>103</v>
      </c>
      <c r="M792" s="1">
        <f>orders[[#This Row],[Ship Date]]-orders[[#This Row],[Order Date]]</f>
        <v>1</v>
      </c>
      <c r="N792" s="1">
        <f>WEEKNUM(orders[[#This Row],[Order Date]])</f>
        <v>6</v>
      </c>
      <c r="O792" s="1" t="str" cm="1">
        <f t="array" ref="O792">_xlfn.IFS(orders[[#This Row],[Customer Gender]]="M","Male", orders[[#This Row],[Customer Gender]]="F","Female", orders[[#This Row],[Customer Gender]]="O","Other", TRUE,"Unknown")</f>
        <v>Male</v>
      </c>
    </row>
    <row r="793" spans="1:15" x14ac:dyDescent="0.3">
      <c r="A793" t="s">
        <v>886</v>
      </c>
      <c r="B793" t="s">
        <v>16</v>
      </c>
      <c r="C793">
        <v>3</v>
      </c>
      <c r="D793">
        <v>22.1</v>
      </c>
      <c r="E793" s="1">
        <v>66.300000000000011</v>
      </c>
      <c r="F793" s="2">
        <v>45691</v>
      </c>
      <c r="G793" s="2">
        <v>45695</v>
      </c>
      <c r="H793" s="1" t="s">
        <v>23</v>
      </c>
      <c r="I793" s="1" t="s">
        <v>18</v>
      </c>
      <c r="J793" s="1">
        <v>4</v>
      </c>
      <c r="K793" s="1" t="s">
        <v>19</v>
      </c>
      <c r="L793" s="1" t="s">
        <v>103</v>
      </c>
      <c r="M793" s="1">
        <f>orders[[#This Row],[Ship Date]]-orders[[#This Row],[Order Date]]</f>
        <v>4</v>
      </c>
      <c r="N793" s="1">
        <f>WEEKNUM(orders[[#This Row],[Order Date]])</f>
        <v>6</v>
      </c>
      <c r="O793" s="1" t="str" cm="1">
        <f t="array" ref="O793">_xlfn.IFS(orders[[#This Row],[Customer Gender]]="M","Male", orders[[#This Row],[Customer Gender]]="F","Female", orders[[#This Row],[Customer Gender]]="O","Other", TRUE,"Unknown")</f>
        <v>Male</v>
      </c>
    </row>
    <row r="794" spans="1:15" x14ac:dyDescent="0.3">
      <c r="A794" t="s">
        <v>887</v>
      </c>
      <c r="B794" t="s">
        <v>26</v>
      </c>
      <c r="C794">
        <v>14</v>
      </c>
      <c r="D794">
        <v>99.4</v>
      </c>
      <c r="E794" s="1">
        <v>1391.6000000000001</v>
      </c>
      <c r="F794" s="2">
        <v>45691</v>
      </c>
      <c r="G794" s="2">
        <v>45692</v>
      </c>
      <c r="H794" s="1" t="s">
        <v>23</v>
      </c>
      <c r="I794" s="1" t="s">
        <v>35</v>
      </c>
      <c r="J794" s="1">
        <v>4</v>
      </c>
      <c r="K794" s="1" t="s">
        <v>19</v>
      </c>
      <c r="L794" s="1" t="s">
        <v>77</v>
      </c>
      <c r="M794" s="1">
        <f>orders[[#This Row],[Ship Date]]-orders[[#This Row],[Order Date]]</f>
        <v>1</v>
      </c>
      <c r="N794" s="1">
        <f>WEEKNUM(orders[[#This Row],[Order Date]])</f>
        <v>6</v>
      </c>
      <c r="O794" s="1"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s="1">
        <v>399.59999999999997</v>
      </c>
      <c r="F795" s="2">
        <v>45691</v>
      </c>
      <c r="G795" s="2">
        <v>45692</v>
      </c>
      <c r="H795" s="1" t="s">
        <v>27</v>
      </c>
      <c r="I795" s="1" t="s">
        <v>18</v>
      </c>
      <c r="J795" s="1">
        <v>4</v>
      </c>
      <c r="K795" s="1" t="s">
        <v>19</v>
      </c>
      <c r="L795" s="1" t="s">
        <v>77</v>
      </c>
      <c r="M795" s="1">
        <f>orders[[#This Row],[Ship Date]]-orders[[#This Row],[Order Date]]</f>
        <v>1</v>
      </c>
      <c r="N795" s="1">
        <f>WEEKNUM(orders[[#This Row],[Order Date]])</f>
        <v>6</v>
      </c>
      <c r="O795" s="1"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s="1">
        <v>45.2</v>
      </c>
      <c r="F796" s="2">
        <v>45691</v>
      </c>
      <c r="G796" s="2">
        <v>45694</v>
      </c>
      <c r="H796" s="1" t="s">
        <v>23</v>
      </c>
      <c r="I796" s="1" t="s">
        <v>18</v>
      </c>
      <c r="J796" s="1">
        <v>4</v>
      </c>
      <c r="K796" s="1" t="s">
        <v>19</v>
      </c>
      <c r="L796" s="1" t="s">
        <v>77</v>
      </c>
      <c r="M796" s="1">
        <f>orders[[#This Row],[Ship Date]]-orders[[#This Row],[Order Date]]</f>
        <v>3</v>
      </c>
      <c r="N796" s="1">
        <f>WEEKNUM(orders[[#This Row],[Order Date]])</f>
        <v>6</v>
      </c>
      <c r="O796" s="1" t="str" cm="1">
        <f t="array" ref="O796">_xlfn.IFS(orders[[#This Row],[Customer Gender]]="M","Male", orders[[#This Row],[Customer Gender]]="F","Female", orders[[#This Row],[Customer Gender]]="O","Other", TRUE,"Unknown")</f>
        <v>Male</v>
      </c>
    </row>
    <row r="797" spans="1:15" x14ac:dyDescent="0.3">
      <c r="A797" t="s">
        <v>890</v>
      </c>
      <c r="B797" t="s">
        <v>26</v>
      </c>
      <c r="C797">
        <v>18</v>
      </c>
      <c r="D797">
        <v>66.8</v>
      </c>
      <c r="E797" s="1">
        <v>1202.3999999999999</v>
      </c>
      <c r="F797" s="2">
        <v>45691</v>
      </c>
      <c r="G797" s="2">
        <v>45692</v>
      </c>
      <c r="H797" s="1" t="s">
        <v>27</v>
      </c>
      <c r="I797" s="1" t="s">
        <v>18</v>
      </c>
      <c r="J797" s="1">
        <v>2</v>
      </c>
      <c r="K797" s="1" t="s">
        <v>19</v>
      </c>
      <c r="L797" s="1" t="s">
        <v>82</v>
      </c>
      <c r="M797" s="1">
        <f>orders[[#This Row],[Ship Date]]-orders[[#This Row],[Order Date]]</f>
        <v>1</v>
      </c>
      <c r="N797" s="1">
        <f>WEEKNUM(orders[[#This Row],[Order Date]])</f>
        <v>6</v>
      </c>
      <c r="O797" s="1"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s="1">
        <v>83.2</v>
      </c>
      <c r="F798" s="2">
        <v>45691</v>
      </c>
      <c r="G798" s="2">
        <v>45698</v>
      </c>
      <c r="H798" s="1" t="s">
        <v>23</v>
      </c>
      <c r="I798" s="1" t="s">
        <v>35</v>
      </c>
      <c r="J798" s="1">
        <v>2</v>
      </c>
      <c r="K798" s="1" t="s">
        <v>19</v>
      </c>
      <c r="L798" s="1" t="s">
        <v>24</v>
      </c>
      <c r="M798" s="1">
        <f>orders[[#This Row],[Ship Date]]-orders[[#This Row],[Order Date]]</f>
        <v>7</v>
      </c>
      <c r="N798" s="1">
        <f>WEEKNUM(orders[[#This Row],[Order Date]])</f>
        <v>6</v>
      </c>
      <c r="O798" s="1" t="str" cm="1">
        <f t="array" ref="O798">_xlfn.IFS(orders[[#This Row],[Customer Gender]]="M","Male", orders[[#This Row],[Customer Gender]]="F","Female", orders[[#This Row],[Customer Gender]]="O","Other", TRUE,"Unknown")</f>
        <v>Male</v>
      </c>
    </row>
    <row r="799" spans="1:15" x14ac:dyDescent="0.3">
      <c r="A799" t="s">
        <v>892</v>
      </c>
      <c r="B799" t="s">
        <v>26</v>
      </c>
      <c r="C799">
        <v>7</v>
      </c>
      <c r="D799">
        <v>102.5</v>
      </c>
      <c r="E799" s="1">
        <v>717.5</v>
      </c>
      <c r="F799" s="2">
        <v>45691</v>
      </c>
      <c r="G799" s="2">
        <v>45692</v>
      </c>
      <c r="H799" s="1" t="s">
        <v>27</v>
      </c>
      <c r="I799" s="1" t="s">
        <v>70</v>
      </c>
      <c r="J799" s="1">
        <v>5</v>
      </c>
      <c r="K799" s="1" t="s">
        <v>19</v>
      </c>
      <c r="L799" s="1" t="s">
        <v>33</v>
      </c>
      <c r="M799" s="1">
        <f>orders[[#This Row],[Ship Date]]-orders[[#This Row],[Order Date]]</f>
        <v>1</v>
      </c>
      <c r="N799" s="1">
        <f>WEEKNUM(orders[[#This Row],[Order Date]])</f>
        <v>6</v>
      </c>
      <c r="O799" s="1"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s="1">
        <v>446.40000000000003</v>
      </c>
      <c r="F800" s="2">
        <v>45691</v>
      </c>
      <c r="G800" s="2">
        <v>45695</v>
      </c>
      <c r="H800" s="1" t="s">
        <v>27</v>
      </c>
      <c r="I800" s="1" t="s">
        <v>18</v>
      </c>
      <c r="J800" s="1">
        <v>4</v>
      </c>
      <c r="K800" s="1" t="s">
        <v>19</v>
      </c>
      <c r="L800" s="1" t="s">
        <v>33</v>
      </c>
      <c r="M800" s="1">
        <f>orders[[#This Row],[Ship Date]]-orders[[#This Row],[Order Date]]</f>
        <v>4</v>
      </c>
      <c r="N800" s="1">
        <f>WEEKNUM(orders[[#This Row],[Order Date]])</f>
        <v>6</v>
      </c>
      <c r="O800" s="1"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s="1">
        <v>973.4</v>
      </c>
      <c r="F801" s="2">
        <v>45691</v>
      </c>
      <c r="G801" s="2">
        <v>45692</v>
      </c>
      <c r="H801" s="1" t="s">
        <v>27</v>
      </c>
      <c r="I801" s="1" t="s">
        <v>51</v>
      </c>
      <c r="J801" s="1">
        <v>4</v>
      </c>
      <c r="K801" s="1" t="s">
        <v>19</v>
      </c>
      <c r="L801" s="1" t="s">
        <v>33</v>
      </c>
      <c r="M801" s="1">
        <f>orders[[#This Row],[Ship Date]]-orders[[#This Row],[Order Date]]</f>
        <v>1</v>
      </c>
      <c r="N801" s="1">
        <f>WEEKNUM(orders[[#This Row],[Order Date]])</f>
        <v>6</v>
      </c>
      <c r="O801" s="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s="1">
        <v>296.5</v>
      </c>
      <c r="F802" s="2">
        <v>45691</v>
      </c>
      <c r="G802" s="2">
        <v>45694</v>
      </c>
      <c r="H802" s="1" t="s">
        <v>23</v>
      </c>
      <c r="I802" s="1" t="s">
        <v>35</v>
      </c>
      <c r="J802" s="1">
        <v>5</v>
      </c>
      <c r="K802" s="1" t="s">
        <v>19</v>
      </c>
      <c r="L802" s="1" t="s">
        <v>545</v>
      </c>
      <c r="M802" s="1">
        <f>orders[[#This Row],[Ship Date]]-orders[[#This Row],[Order Date]]</f>
        <v>3</v>
      </c>
      <c r="N802" s="1">
        <f>WEEKNUM(orders[[#This Row],[Order Date]])</f>
        <v>6</v>
      </c>
      <c r="O802" s="1" t="str" cm="1">
        <f t="array" ref="O802">_xlfn.IFS(orders[[#This Row],[Customer Gender]]="M","Male", orders[[#This Row],[Customer Gender]]="F","Female", orders[[#This Row],[Customer Gender]]="O","Other", TRUE,"Unknown")</f>
        <v>Male</v>
      </c>
    </row>
    <row r="803" spans="1:15" x14ac:dyDescent="0.3">
      <c r="A803" t="s">
        <v>896</v>
      </c>
      <c r="B803" t="s">
        <v>67</v>
      </c>
      <c r="C803">
        <v>6</v>
      </c>
      <c r="D803">
        <v>39</v>
      </c>
      <c r="E803" s="1">
        <v>234</v>
      </c>
      <c r="F803" s="2">
        <v>45691</v>
      </c>
      <c r="G803" s="2">
        <v>45694</v>
      </c>
      <c r="H803" s="1" t="s">
        <v>23</v>
      </c>
      <c r="I803" s="1" t="s">
        <v>35</v>
      </c>
      <c r="J803" s="1">
        <v>4</v>
      </c>
      <c r="K803" s="1" t="s">
        <v>19</v>
      </c>
      <c r="L803" s="1" t="s">
        <v>55</v>
      </c>
      <c r="M803" s="1">
        <f>orders[[#This Row],[Ship Date]]-orders[[#This Row],[Order Date]]</f>
        <v>3</v>
      </c>
      <c r="N803" s="1">
        <f>WEEKNUM(orders[[#This Row],[Order Date]])</f>
        <v>6</v>
      </c>
      <c r="O803" s="1" t="str" cm="1">
        <f t="array" ref="O803">_xlfn.IFS(orders[[#This Row],[Customer Gender]]="M","Male", orders[[#This Row],[Customer Gender]]="F","Female", orders[[#This Row],[Customer Gender]]="O","Other", TRUE,"Unknown")</f>
        <v>Male</v>
      </c>
    </row>
    <row r="804" spans="1:15" x14ac:dyDescent="0.3">
      <c r="A804" t="s">
        <v>897</v>
      </c>
      <c r="B804" t="s">
        <v>37</v>
      </c>
      <c r="C804">
        <v>6</v>
      </c>
      <c r="D804">
        <v>98.6</v>
      </c>
      <c r="E804" s="1">
        <v>591.59999999999991</v>
      </c>
      <c r="F804" s="2">
        <v>45691</v>
      </c>
      <c r="G804" s="2">
        <v>45693</v>
      </c>
      <c r="H804" s="1" t="s">
        <v>27</v>
      </c>
      <c r="I804" s="1" t="s">
        <v>35</v>
      </c>
      <c r="J804" s="1">
        <v>4</v>
      </c>
      <c r="K804" s="1" t="s">
        <v>19</v>
      </c>
      <c r="L804" s="1" t="s">
        <v>55</v>
      </c>
      <c r="M804" s="1">
        <f>orders[[#This Row],[Ship Date]]-orders[[#This Row],[Order Date]]</f>
        <v>2</v>
      </c>
      <c r="N804" s="1">
        <f>WEEKNUM(orders[[#This Row],[Order Date]])</f>
        <v>6</v>
      </c>
      <c r="O804" s="1" t="str" cm="1">
        <f t="array" ref="O804">_xlfn.IFS(orders[[#This Row],[Customer Gender]]="M","Male", orders[[#This Row],[Customer Gender]]="F","Female", orders[[#This Row],[Customer Gender]]="O","Other", TRUE,"Unknown")</f>
        <v>Female</v>
      </c>
    </row>
    <row r="805" spans="1:15" x14ac:dyDescent="0.3">
      <c r="A805" t="s">
        <v>898</v>
      </c>
      <c r="B805" t="s">
        <v>44</v>
      </c>
      <c r="C805">
        <v>1</v>
      </c>
      <c r="D805">
        <v>20</v>
      </c>
      <c r="E805" s="1">
        <v>20</v>
      </c>
      <c r="F805" s="2">
        <v>45692</v>
      </c>
      <c r="G805" s="2">
        <v>45693</v>
      </c>
      <c r="H805" s="1" t="s">
        <v>23</v>
      </c>
      <c r="I805" s="1" t="s">
        <v>51</v>
      </c>
      <c r="J805" s="1">
        <v>5</v>
      </c>
      <c r="K805" s="1" t="s">
        <v>19</v>
      </c>
      <c r="L805" s="1" t="s">
        <v>62</v>
      </c>
      <c r="M805" s="1">
        <f>orders[[#This Row],[Ship Date]]-orders[[#This Row],[Order Date]]</f>
        <v>1</v>
      </c>
      <c r="N805" s="1">
        <f>WEEKNUM(orders[[#This Row],[Order Date]])</f>
        <v>6</v>
      </c>
      <c r="O805" s="1" t="str" cm="1">
        <f t="array" ref="O805">_xlfn.IFS(orders[[#This Row],[Customer Gender]]="M","Male", orders[[#This Row],[Customer Gender]]="F","Female", orders[[#This Row],[Customer Gender]]="O","Other", TRUE,"Unknown")</f>
        <v>Male</v>
      </c>
    </row>
    <row r="806" spans="1:15" x14ac:dyDescent="0.3">
      <c r="A806" t="s">
        <v>899</v>
      </c>
      <c r="B806" t="s">
        <v>22</v>
      </c>
      <c r="C806">
        <v>2</v>
      </c>
      <c r="D806">
        <v>42.9</v>
      </c>
      <c r="E806" s="1">
        <v>85.8</v>
      </c>
      <c r="F806" s="2">
        <v>45692</v>
      </c>
      <c r="G806" s="2">
        <v>45694</v>
      </c>
      <c r="H806" s="1" t="s">
        <v>27</v>
      </c>
      <c r="I806" s="1" t="s">
        <v>18</v>
      </c>
      <c r="J806" s="1">
        <v>5</v>
      </c>
      <c r="K806" s="1" t="s">
        <v>19</v>
      </c>
      <c r="L806" s="1" t="s">
        <v>62</v>
      </c>
      <c r="M806" s="1">
        <f>orders[[#This Row],[Ship Date]]-orders[[#This Row],[Order Date]]</f>
        <v>2</v>
      </c>
      <c r="N806" s="1">
        <f>WEEKNUM(orders[[#This Row],[Order Date]])</f>
        <v>6</v>
      </c>
      <c r="O806" s="1"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s="1">
        <v>389.2</v>
      </c>
      <c r="F807" s="2">
        <v>45692</v>
      </c>
      <c r="G807" s="2">
        <v>45694</v>
      </c>
      <c r="H807" s="1" t="s">
        <v>27</v>
      </c>
      <c r="I807" s="1" t="s">
        <v>40</v>
      </c>
      <c r="J807" s="1">
        <v>3</v>
      </c>
      <c r="K807" s="1" t="s">
        <v>19</v>
      </c>
      <c r="L807" s="1" t="s">
        <v>62</v>
      </c>
      <c r="M807" s="1">
        <f>orders[[#This Row],[Ship Date]]-orders[[#This Row],[Order Date]]</f>
        <v>2</v>
      </c>
      <c r="N807" s="1">
        <f>WEEKNUM(orders[[#This Row],[Order Date]])</f>
        <v>6</v>
      </c>
      <c r="O807" s="1"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s="1">
        <v>76.8</v>
      </c>
      <c r="F808" s="2">
        <v>45692</v>
      </c>
      <c r="G808" s="2">
        <v>45697</v>
      </c>
      <c r="H808" s="1" t="s">
        <v>27</v>
      </c>
      <c r="I808" s="1" t="s">
        <v>18</v>
      </c>
      <c r="J808" s="1">
        <v>4</v>
      </c>
      <c r="K808" s="1" t="s">
        <v>19</v>
      </c>
      <c r="L808" s="1" t="s">
        <v>429</v>
      </c>
      <c r="M808" s="1">
        <f>orders[[#This Row],[Ship Date]]-orders[[#This Row],[Order Date]]</f>
        <v>5</v>
      </c>
      <c r="N808" s="1">
        <f>WEEKNUM(orders[[#This Row],[Order Date]])</f>
        <v>6</v>
      </c>
      <c r="O808" s="1"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s="1">
        <v>57.6</v>
      </c>
      <c r="F809" s="2">
        <v>45692</v>
      </c>
      <c r="G809" s="2">
        <v>45694</v>
      </c>
      <c r="H809" s="1" t="s">
        <v>23</v>
      </c>
      <c r="I809" s="1" t="s">
        <v>35</v>
      </c>
      <c r="J809" s="1">
        <v>4</v>
      </c>
      <c r="K809" s="1" t="s">
        <v>19</v>
      </c>
      <c r="L809" s="1" t="s">
        <v>108</v>
      </c>
      <c r="M809" s="1">
        <f>orders[[#This Row],[Ship Date]]-orders[[#This Row],[Order Date]]</f>
        <v>2</v>
      </c>
      <c r="N809" s="1">
        <f>WEEKNUM(orders[[#This Row],[Order Date]])</f>
        <v>6</v>
      </c>
      <c r="O809" s="1" t="str" cm="1">
        <f t="array" ref="O809">_xlfn.IFS(orders[[#This Row],[Customer Gender]]="M","Male", orders[[#This Row],[Customer Gender]]="F","Female", orders[[#This Row],[Customer Gender]]="O","Other", TRUE,"Unknown")</f>
        <v>Male</v>
      </c>
    </row>
    <row r="810" spans="1:15" x14ac:dyDescent="0.3">
      <c r="A810" t="s">
        <v>903</v>
      </c>
      <c r="B810" t="s">
        <v>32</v>
      </c>
      <c r="C810">
        <v>1</v>
      </c>
      <c r="D810">
        <v>29.7</v>
      </c>
      <c r="E810" s="1">
        <v>29.7</v>
      </c>
      <c r="F810" s="2">
        <v>45692</v>
      </c>
      <c r="G810" s="2">
        <v>45694</v>
      </c>
      <c r="H810" s="1" t="s">
        <v>27</v>
      </c>
      <c r="I810" s="1" t="s">
        <v>40</v>
      </c>
      <c r="J810" s="1">
        <v>2</v>
      </c>
      <c r="K810" s="1" t="s">
        <v>19</v>
      </c>
      <c r="L810" s="1" t="s">
        <v>113</v>
      </c>
      <c r="M810" s="1">
        <f>orders[[#This Row],[Ship Date]]-orders[[#This Row],[Order Date]]</f>
        <v>2</v>
      </c>
      <c r="N810" s="1">
        <f>WEEKNUM(orders[[#This Row],[Order Date]])</f>
        <v>6</v>
      </c>
      <c r="O810" s="1"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s="1">
        <v>379.79999999999995</v>
      </c>
      <c r="F811" s="2">
        <v>45692</v>
      </c>
      <c r="G811" s="2">
        <v>45693</v>
      </c>
      <c r="H811" s="1" t="s">
        <v>17</v>
      </c>
      <c r="I811" s="1" t="s">
        <v>18</v>
      </c>
      <c r="J811" s="1">
        <v>5</v>
      </c>
      <c r="K811" s="1" t="s">
        <v>19</v>
      </c>
      <c r="L811" s="1" t="s">
        <v>115</v>
      </c>
      <c r="M811" s="1">
        <f>orders[[#This Row],[Ship Date]]-orders[[#This Row],[Order Date]]</f>
        <v>1</v>
      </c>
      <c r="N811" s="1">
        <f>WEEKNUM(orders[[#This Row],[Order Date]])</f>
        <v>6</v>
      </c>
      <c r="O811" s="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s="1">
        <v>46</v>
      </c>
      <c r="F812" s="2">
        <v>45692</v>
      </c>
      <c r="G812" s="2">
        <v>45693</v>
      </c>
      <c r="H812" s="1" t="s">
        <v>27</v>
      </c>
      <c r="I812" s="1" t="s">
        <v>18</v>
      </c>
      <c r="J812" s="1">
        <v>5</v>
      </c>
      <c r="K812" s="1" t="s">
        <v>19</v>
      </c>
      <c r="L812" s="1" t="s">
        <v>115</v>
      </c>
      <c r="M812" s="1">
        <f>orders[[#This Row],[Ship Date]]-orders[[#This Row],[Order Date]]</f>
        <v>1</v>
      </c>
      <c r="N812" s="1">
        <f>WEEKNUM(orders[[#This Row],[Order Date]])</f>
        <v>6</v>
      </c>
      <c r="O812" s="1" t="str" cm="1">
        <f t="array" ref="O812">_xlfn.IFS(orders[[#This Row],[Customer Gender]]="M","Male", orders[[#This Row],[Customer Gender]]="F","Female", orders[[#This Row],[Customer Gender]]="O","Other", TRUE,"Unknown")</f>
        <v>Female</v>
      </c>
    </row>
    <row r="813" spans="1:15" x14ac:dyDescent="0.3">
      <c r="A813" t="s">
        <v>906</v>
      </c>
      <c r="B813" t="s">
        <v>67</v>
      </c>
      <c r="C813">
        <v>3</v>
      </c>
      <c r="D813">
        <v>38</v>
      </c>
      <c r="E813" s="1">
        <v>114</v>
      </c>
      <c r="F813" s="2">
        <v>45692</v>
      </c>
      <c r="G813" s="2">
        <v>45694</v>
      </c>
      <c r="H813" s="1" t="s">
        <v>27</v>
      </c>
      <c r="I813" s="1" t="s">
        <v>35</v>
      </c>
      <c r="J813" s="1">
        <v>5</v>
      </c>
      <c r="K813" s="1" t="s">
        <v>19</v>
      </c>
      <c r="L813" s="1" t="s">
        <v>115</v>
      </c>
      <c r="M813" s="1">
        <f>orders[[#This Row],[Ship Date]]-orders[[#This Row],[Order Date]]</f>
        <v>2</v>
      </c>
      <c r="N813" s="1">
        <f>WEEKNUM(orders[[#This Row],[Order Date]])</f>
        <v>6</v>
      </c>
      <c r="O813" s="1"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s="1">
        <v>449.8</v>
      </c>
      <c r="F814" s="2">
        <v>45692</v>
      </c>
      <c r="G814" s="2">
        <v>45694</v>
      </c>
      <c r="H814" s="1" t="s">
        <v>27</v>
      </c>
      <c r="I814" s="1" t="s">
        <v>18</v>
      </c>
      <c r="J814" s="1">
        <v>3</v>
      </c>
      <c r="K814" s="1" t="s">
        <v>19</v>
      </c>
      <c r="L814" s="1" t="s">
        <v>115</v>
      </c>
      <c r="M814" s="1">
        <f>orders[[#This Row],[Ship Date]]-orders[[#This Row],[Order Date]]</f>
        <v>2</v>
      </c>
      <c r="N814" s="1">
        <f>WEEKNUM(orders[[#This Row],[Order Date]])</f>
        <v>6</v>
      </c>
      <c r="O814" s="1"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s="1">
        <v>797</v>
      </c>
      <c r="F815" s="2">
        <v>45692</v>
      </c>
      <c r="G815" s="2">
        <v>45693</v>
      </c>
      <c r="H815" s="1" t="s">
        <v>27</v>
      </c>
      <c r="I815" s="1" t="s">
        <v>70</v>
      </c>
      <c r="J815" s="1">
        <v>3</v>
      </c>
      <c r="K815" s="1" t="s">
        <v>19</v>
      </c>
      <c r="L815" s="1" t="s">
        <v>115</v>
      </c>
      <c r="M815" s="1">
        <f>orders[[#This Row],[Ship Date]]-orders[[#This Row],[Order Date]]</f>
        <v>1</v>
      </c>
      <c r="N815" s="1">
        <f>WEEKNUM(orders[[#This Row],[Order Date]])</f>
        <v>6</v>
      </c>
      <c r="O815" s="1"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s="1">
        <v>244</v>
      </c>
      <c r="F816" s="2">
        <v>45692</v>
      </c>
      <c r="G816" s="2">
        <v>45696</v>
      </c>
      <c r="H816" s="1" t="s">
        <v>23</v>
      </c>
      <c r="I816" s="1" t="s">
        <v>51</v>
      </c>
      <c r="J816" s="1">
        <v>4</v>
      </c>
      <c r="K816" s="1" t="s">
        <v>19</v>
      </c>
      <c r="L816" s="1" t="s">
        <v>24</v>
      </c>
      <c r="M816" s="1">
        <f>orders[[#This Row],[Ship Date]]-orders[[#This Row],[Order Date]]</f>
        <v>4</v>
      </c>
      <c r="N816" s="1">
        <f>WEEKNUM(orders[[#This Row],[Order Date]])</f>
        <v>6</v>
      </c>
      <c r="O816" s="1" t="str" cm="1">
        <f t="array" ref="O816">_xlfn.IFS(orders[[#This Row],[Customer Gender]]="M","Male", orders[[#This Row],[Customer Gender]]="F","Female", orders[[#This Row],[Customer Gender]]="O","Other", TRUE,"Unknown")</f>
        <v>Male</v>
      </c>
    </row>
    <row r="817" spans="1:15" x14ac:dyDescent="0.3">
      <c r="A817" t="s">
        <v>910</v>
      </c>
      <c r="B817" t="s">
        <v>16</v>
      </c>
      <c r="C817">
        <v>2</v>
      </c>
      <c r="D817">
        <v>20.8</v>
      </c>
      <c r="E817" s="1">
        <v>41.6</v>
      </c>
      <c r="F817" s="2">
        <v>45692</v>
      </c>
      <c r="G817" s="2">
        <v>45693</v>
      </c>
      <c r="H817" s="1" t="s">
        <v>27</v>
      </c>
      <c r="I817" s="1" t="s">
        <v>18</v>
      </c>
      <c r="J817" s="1">
        <v>4</v>
      </c>
      <c r="K817" s="1" t="s">
        <v>19</v>
      </c>
      <c r="L817" s="1" t="s">
        <v>28</v>
      </c>
      <c r="M817" s="1">
        <f>orders[[#This Row],[Ship Date]]-orders[[#This Row],[Order Date]]</f>
        <v>1</v>
      </c>
      <c r="N817" s="1">
        <f>WEEKNUM(orders[[#This Row],[Order Date]])</f>
        <v>6</v>
      </c>
      <c r="O817" s="1"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s="1">
        <v>339.5</v>
      </c>
      <c r="F818" s="2">
        <v>45692</v>
      </c>
      <c r="G818" s="2">
        <v>45696</v>
      </c>
      <c r="H818" s="1" t="s">
        <v>27</v>
      </c>
      <c r="I818" s="1" t="s">
        <v>40</v>
      </c>
      <c r="J818" s="1">
        <v>5</v>
      </c>
      <c r="K818" s="1" t="s">
        <v>19</v>
      </c>
      <c r="L818" s="1" t="s">
        <v>28</v>
      </c>
      <c r="M818" s="1">
        <f>orders[[#This Row],[Ship Date]]-orders[[#This Row],[Order Date]]</f>
        <v>4</v>
      </c>
      <c r="N818" s="1">
        <f>WEEKNUM(orders[[#This Row],[Order Date]])</f>
        <v>6</v>
      </c>
      <c r="O818" s="1"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s="1">
        <v>247.2</v>
      </c>
      <c r="F819" s="2">
        <v>45692</v>
      </c>
      <c r="G819" s="2">
        <v>45696</v>
      </c>
      <c r="H819" s="1" t="s">
        <v>27</v>
      </c>
      <c r="I819" s="1" t="s">
        <v>70</v>
      </c>
      <c r="J819" s="1">
        <v>4</v>
      </c>
      <c r="K819" s="1" t="s">
        <v>19</v>
      </c>
      <c r="L819" s="1" t="s">
        <v>147</v>
      </c>
      <c r="M819" s="1">
        <f>orders[[#This Row],[Ship Date]]-orders[[#This Row],[Order Date]]</f>
        <v>4</v>
      </c>
      <c r="N819" s="1">
        <f>WEEKNUM(orders[[#This Row],[Order Date]])</f>
        <v>6</v>
      </c>
      <c r="O819" s="1"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s="1">
        <v>46.1</v>
      </c>
      <c r="F820" s="2">
        <v>45692</v>
      </c>
      <c r="G820" s="2">
        <v>45693</v>
      </c>
      <c r="H820" s="1" t="s">
        <v>89</v>
      </c>
      <c r="I820" s="1" t="s">
        <v>40</v>
      </c>
      <c r="J820" s="1">
        <v>4</v>
      </c>
      <c r="K820" s="1" t="s">
        <v>19</v>
      </c>
      <c r="L820" s="1" t="s">
        <v>33</v>
      </c>
      <c r="M820" s="1">
        <f>orders[[#This Row],[Ship Date]]-orders[[#This Row],[Order Date]]</f>
        <v>1</v>
      </c>
      <c r="N820" s="1">
        <f>WEEKNUM(orders[[#This Row],[Order Date]])</f>
        <v>6</v>
      </c>
      <c r="O820" s="1" t="str" cm="1">
        <f t="array" ref="O820">_xlfn.IFS(orders[[#This Row],[Customer Gender]]="M","Male", orders[[#This Row],[Customer Gender]]="F","Female", orders[[#This Row],[Customer Gender]]="O","Other", TRUE,"Unknown")</f>
        <v>Other</v>
      </c>
    </row>
    <row r="821" spans="1:15" x14ac:dyDescent="0.3">
      <c r="A821" t="s">
        <v>914</v>
      </c>
      <c r="B821" t="s">
        <v>32</v>
      </c>
      <c r="C821">
        <v>6</v>
      </c>
      <c r="D821">
        <v>44</v>
      </c>
      <c r="E821" s="1">
        <v>264</v>
      </c>
      <c r="F821" s="2">
        <v>45692</v>
      </c>
      <c r="G821" s="2">
        <v>45693</v>
      </c>
      <c r="H821" s="1" t="s">
        <v>27</v>
      </c>
      <c r="I821" s="1" t="s">
        <v>18</v>
      </c>
      <c r="J821" s="1">
        <v>4</v>
      </c>
      <c r="K821" s="1" t="s">
        <v>19</v>
      </c>
      <c r="L821" s="1" t="s">
        <v>33</v>
      </c>
      <c r="M821" s="1">
        <f>orders[[#This Row],[Ship Date]]-orders[[#This Row],[Order Date]]</f>
        <v>1</v>
      </c>
      <c r="N821" s="1">
        <f>WEEKNUM(orders[[#This Row],[Order Date]])</f>
        <v>6</v>
      </c>
      <c r="O821" s="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s="1">
        <v>191.4</v>
      </c>
      <c r="F822" s="2">
        <v>45692</v>
      </c>
      <c r="G822" s="2">
        <v>45698</v>
      </c>
      <c r="H822" s="1" t="s">
        <v>27</v>
      </c>
      <c r="I822" s="1" t="s">
        <v>51</v>
      </c>
      <c r="J822" s="1">
        <v>5</v>
      </c>
      <c r="K822" s="1" t="s">
        <v>19</v>
      </c>
      <c r="L822" s="1" t="s">
        <v>33</v>
      </c>
      <c r="M822" s="1">
        <f>orders[[#This Row],[Ship Date]]-orders[[#This Row],[Order Date]]</f>
        <v>6</v>
      </c>
      <c r="N822" s="1">
        <f>WEEKNUM(orders[[#This Row],[Order Date]])</f>
        <v>6</v>
      </c>
      <c r="O822" s="1"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s="1">
        <v>232</v>
      </c>
      <c r="F823" s="2">
        <v>45692</v>
      </c>
      <c r="G823" s="2">
        <v>45695</v>
      </c>
      <c r="H823" s="1" t="s">
        <v>27</v>
      </c>
      <c r="I823" s="1" t="s">
        <v>18</v>
      </c>
      <c r="J823" s="1">
        <v>4</v>
      </c>
      <c r="K823" s="1" t="s">
        <v>19</v>
      </c>
      <c r="L823" s="1" t="s">
        <v>33</v>
      </c>
      <c r="M823" s="1">
        <f>orders[[#This Row],[Ship Date]]-orders[[#This Row],[Order Date]]</f>
        <v>3</v>
      </c>
      <c r="N823" s="1">
        <f>WEEKNUM(orders[[#This Row],[Order Date]])</f>
        <v>6</v>
      </c>
      <c r="O823" s="1"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s="1">
        <v>94.4</v>
      </c>
      <c r="F824" s="2">
        <v>45692</v>
      </c>
      <c r="G824" s="2">
        <v>45694</v>
      </c>
      <c r="H824" s="1" t="s">
        <v>27</v>
      </c>
      <c r="I824" s="1" t="s">
        <v>18</v>
      </c>
      <c r="J824" s="1">
        <v>5</v>
      </c>
      <c r="K824" s="1" t="s">
        <v>19</v>
      </c>
      <c r="L824" s="1" t="s">
        <v>33</v>
      </c>
      <c r="M824" s="1">
        <f>orders[[#This Row],[Ship Date]]-orders[[#This Row],[Order Date]]</f>
        <v>2</v>
      </c>
      <c r="N824" s="1">
        <f>WEEKNUM(orders[[#This Row],[Order Date]])</f>
        <v>6</v>
      </c>
      <c r="O824" s="1"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s="1">
        <v>117.2</v>
      </c>
      <c r="F825" s="2">
        <v>45692</v>
      </c>
      <c r="G825" s="2">
        <v>45693</v>
      </c>
      <c r="H825" s="1" t="s">
        <v>27</v>
      </c>
      <c r="I825" s="1" t="s">
        <v>40</v>
      </c>
      <c r="J825" s="1">
        <v>3</v>
      </c>
      <c r="K825" s="1" t="s">
        <v>19</v>
      </c>
      <c r="L825" s="1" t="s">
        <v>33</v>
      </c>
      <c r="M825" s="1">
        <f>orders[[#This Row],[Ship Date]]-orders[[#This Row],[Order Date]]</f>
        <v>1</v>
      </c>
      <c r="N825" s="1">
        <f>WEEKNUM(orders[[#This Row],[Order Date]])</f>
        <v>6</v>
      </c>
      <c r="O825" s="1" t="str" cm="1">
        <f t="array" ref="O825">_xlfn.IFS(orders[[#This Row],[Customer Gender]]="M","Male", orders[[#This Row],[Customer Gender]]="F","Female", orders[[#This Row],[Customer Gender]]="O","Other", TRUE,"Unknown")</f>
        <v>Female</v>
      </c>
    </row>
    <row r="826" spans="1:15" x14ac:dyDescent="0.3">
      <c r="A826" t="s">
        <v>919</v>
      </c>
      <c r="B826" t="s">
        <v>32</v>
      </c>
      <c r="C826">
        <v>3</v>
      </c>
      <c r="D826">
        <v>57</v>
      </c>
      <c r="E826" s="1">
        <v>171</v>
      </c>
      <c r="F826" s="2">
        <v>45692</v>
      </c>
      <c r="G826" s="2">
        <v>45693</v>
      </c>
      <c r="H826" s="1" t="s">
        <v>23</v>
      </c>
      <c r="I826" s="1" t="s">
        <v>18</v>
      </c>
      <c r="J826" s="1">
        <v>5</v>
      </c>
      <c r="K826" s="1" t="s">
        <v>19</v>
      </c>
      <c r="L826" s="1" t="s">
        <v>33</v>
      </c>
      <c r="M826" s="1">
        <f>orders[[#This Row],[Ship Date]]-orders[[#This Row],[Order Date]]</f>
        <v>1</v>
      </c>
      <c r="N826" s="1">
        <f>WEEKNUM(orders[[#This Row],[Order Date]])</f>
        <v>6</v>
      </c>
      <c r="O826" s="1" t="str" cm="1">
        <f t="array" ref="O826">_xlfn.IFS(orders[[#This Row],[Customer Gender]]="M","Male", orders[[#This Row],[Customer Gender]]="F","Female", orders[[#This Row],[Customer Gender]]="O","Other", TRUE,"Unknown")</f>
        <v>Male</v>
      </c>
    </row>
    <row r="827" spans="1:15" x14ac:dyDescent="0.3">
      <c r="A827" t="s">
        <v>920</v>
      </c>
      <c r="B827" t="s">
        <v>44</v>
      </c>
      <c r="C827">
        <v>4</v>
      </c>
      <c r="D827">
        <v>28.9</v>
      </c>
      <c r="E827" s="1">
        <v>115.6</v>
      </c>
      <c r="F827" s="2">
        <v>45692</v>
      </c>
      <c r="G827" s="2">
        <v>45696</v>
      </c>
      <c r="H827" s="1" t="s">
        <v>23</v>
      </c>
      <c r="I827" s="1" t="s">
        <v>40</v>
      </c>
      <c r="J827" s="1">
        <v>4</v>
      </c>
      <c r="K827" s="1" t="s">
        <v>19</v>
      </c>
      <c r="L827" s="1" t="s">
        <v>33</v>
      </c>
      <c r="M827" s="1">
        <f>orders[[#This Row],[Ship Date]]-orders[[#This Row],[Order Date]]</f>
        <v>4</v>
      </c>
      <c r="N827" s="1">
        <f>WEEKNUM(orders[[#This Row],[Order Date]])</f>
        <v>6</v>
      </c>
      <c r="O827" s="1" t="str" cm="1">
        <f t="array" ref="O827">_xlfn.IFS(orders[[#This Row],[Customer Gender]]="M","Male", orders[[#This Row],[Customer Gender]]="F","Female", orders[[#This Row],[Customer Gender]]="O","Other", TRUE,"Unknown")</f>
        <v>Male</v>
      </c>
    </row>
    <row r="828" spans="1:15" x14ac:dyDescent="0.3">
      <c r="A828" t="s">
        <v>921</v>
      </c>
      <c r="B828" t="s">
        <v>69</v>
      </c>
      <c r="C828">
        <v>5</v>
      </c>
      <c r="D828">
        <v>60.7</v>
      </c>
      <c r="E828" s="1">
        <v>303.5</v>
      </c>
      <c r="F828" s="2">
        <v>45692</v>
      </c>
      <c r="G828" s="2">
        <v>45696</v>
      </c>
      <c r="H828" s="1" t="s">
        <v>17</v>
      </c>
      <c r="I828" s="1" t="s">
        <v>35</v>
      </c>
      <c r="J828" s="1">
        <v>3</v>
      </c>
      <c r="K828" s="1" t="s">
        <v>19</v>
      </c>
      <c r="L828" s="1" t="s">
        <v>33</v>
      </c>
      <c r="M828" s="1">
        <f>orders[[#This Row],[Ship Date]]-orders[[#This Row],[Order Date]]</f>
        <v>4</v>
      </c>
      <c r="N828" s="1">
        <f>WEEKNUM(orders[[#This Row],[Order Date]])</f>
        <v>6</v>
      </c>
      <c r="O828" s="1"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s="1">
        <v>304</v>
      </c>
      <c r="F829" s="2">
        <v>45692</v>
      </c>
      <c r="G829" s="2">
        <v>45696</v>
      </c>
      <c r="H829" s="1" t="s">
        <v>23</v>
      </c>
      <c r="I829" s="1" t="s">
        <v>18</v>
      </c>
      <c r="J829" s="1">
        <v>3</v>
      </c>
      <c r="K829" s="1" t="s">
        <v>19</v>
      </c>
      <c r="L829" s="1" t="s">
        <v>33</v>
      </c>
      <c r="M829" s="1">
        <f>orders[[#This Row],[Ship Date]]-orders[[#This Row],[Order Date]]</f>
        <v>4</v>
      </c>
      <c r="N829" s="1">
        <f>WEEKNUM(orders[[#This Row],[Order Date]])</f>
        <v>6</v>
      </c>
      <c r="O829" s="1"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s="1">
        <v>323</v>
      </c>
      <c r="F830" s="2">
        <v>45692</v>
      </c>
      <c r="G830" s="2">
        <v>45693</v>
      </c>
      <c r="H830" s="1" t="s">
        <v>27</v>
      </c>
      <c r="I830" s="1" t="s">
        <v>51</v>
      </c>
      <c r="J830" s="1">
        <v>4</v>
      </c>
      <c r="K830" s="1" t="s">
        <v>19</v>
      </c>
      <c r="L830" s="1" t="s">
        <v>33</v>
      </c>
      <c r="M830" s="1">
        <f>orders[[#This Row],[Ship Date]]-orders[[#This Row],[Order Date]]</f>
        <v>1</v>
      </c>
      <c r="N830" s="1">
        <f>WEEKNUM(orders[[#This Row],[Order Date]])</f>
        <v>6</v>
      </c>
      <c r="O830" s="1"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s="1">
        <v>21.9</v>
      </c>
      <c r="F831" s="2">
        <v>45692</v>
      </c>
      <c r="G831" s="2">
        <v>45695</v>
      </c>
      <c r="H831" s="1" t="s">
        <v>23</v>
      </c>
      <c r="I831" s="1" t="s">
        <v>35</v>
      </c>
      <c r="J831" s="1">
        <v>5</v>
      </c>
      <c r="K831" s="1" t="s">
        <v>19</v>
      </c>
      <c r="L831" s="1" t="s">
        <v>49</v>
      </c>
      <c r="M831" s="1">
        <f>orders[[#This Row],[Ship Date]]-orders[[#This Row],[Order Date]]</f>
        <v>3</v>
      </c>
      <c r="N831" s="1">
        <f>WEEKNUM(orders[[#This Row],[Order Date]])</f>
        <v>6</v>
      </c>
      <c r="O831" s="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s="1">
        <v>400.79999999999995</v>
      </c>
      <c r="F832" s="2">
        <v>45692</v>
      </c>
      <c r="G832" s="2">
        <v>45694</v>
      </c>
      <c r="H832" s="1" t="s">
        <v>27</v>
      </c>
      <c r="I832" s="1" t="s">
        <v>18</v>
      </c>
      <c r="J832" s="1">
        <v>4</v>
      </c>
      <c r="K832" s="1" t="s">
        <v>19</v>
      </c>
      <c r="L832" s="1" t="s">
        <v>158</v>
      </c>
      <c r="M832" s="1">
        <f>orders[[#This Row],[Ship Date]]-orders[[#This Row],[Order Date]]</f>
        <v>2</v>
      </c>
      <c r="N832" s="1">
        <f>WEEKNUM(orders[[#This Row],[Order Date]])</f>
        <v>6</v>
      </c>
      <c r="O832" s="1"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s="1">
        <v>51.7</v>
      </c>
      <c r="F833" s="2">
        <v>45692</v>
      </c>
      <c r="G833" s="2">
        <v>45693</v>
      </c>
      <c r="H833" s="1" t="s">
        <v>17</v>
      </c>
      <c r="I833" s="1" t="s">
        <v>18</v>
      </c>
      <c r="J833" s="1">
        <v>4</v>
      </c>
      <c r="K833" s="1" t="s">
        <v>19</v>
      </c>
      <c r="L833" s="1" t="s">
        <v>55</v>
      </c>
      <c r="M833" s="1">
        <f>orders[[#This Row],[Ship Date]]-orders[[#This Row],[Order Date]]</f>
        <v>1</v>
      </c>
      <c r="N833" s="1">
        <f>WEEKNUM(orders[[#This Row],[Order Date]])</f>
        <v>6</v>
      </c>
      <c r="O833" s="1"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s="1">
        <v>339.6</v>
      </c>
      <c r="F834" s="2">
        <v>45692</v>
      </c>
      <c r="G834" s="2">
        <v>45693</v>
      </c>
      <c r="H834" s="1" t="s">
        <v>27</v>
      </c>
      <c r="I834" s="1" t="s">
        <v>35</v>
      </c>
      <c r="J834" s="1">
        <v>3</v>
      </c>
      <c r="K834" s="1" t="s">
        <v>19</v>
      </c>
      <c r="L834" s="1" t="s">
        <v>55</v>
      </c>
      <c r="M834" s="1">
        <f>orders[[#This Row],[Ship Date]]-orders[[#This Row],[Order Date]]</f>
        <v>1</v>
      </c>
      <c r="N834" s="1">
        <f>WEEKNUM(orders[[#This Row],[Order Date]])</f>
        <v>6</v>
      </c>
      <c r="O834" s="1"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s="1">
        <v>685.3</v>
      </c>
      <c r="F835" s="2">
        <v>45692</v>
      </c>
      <c r="G835" s="2">
        <v>45693</v>
      </c>
      <c r="H835" s="1" t="s">
        <v>27</v>
      </c>
      <c r="I835" s="1" t="s">
        <v>40</v>
      </c>
      <c r="J835" s="1">
        <v>5</v>
      </c>
      <c r="K835" s="1" t="s">
        <v>19</v>
      </c>
      <c r="L835" s="1" t="s">
        <v>59</v>
      </c>
      <c r="M835" s="1">
        <f>orders[[#This Row],[Ship Date]]-orders[[#This Row],[Order Date]]</f>
        <v>1</v>
      </c>
      <c r="N835" s="1">
        <f>WEEKNUM(orders[[#This Row],[Order Date]])</f>
        <v>6</v>
      </c>
      <c r="O835" s="1"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s="1">
        <v>50.7</v>
      </c>
      <c r="F836" s="2">
        <v>45692</v>
      </c>
      <c r="G836" s="2">
        <v>45694</v>
      </c>
      <c r="H836" s="1" t="s">
        <v>23</v>
      </c>
      <c r="I836" s="1" t="s">
        <v>40</v>
      </c>
      <c r="J836" s="1">
        <v>5</v>
      </c>
      <c r="K836" s="1" t="s">
        <v>19</v>
      </c>
      <c r="L836" s="1" t="s">
        <v>62</v>
      </c>
      <c r="M836" s="1">
        <f>orders[[#This Row],[Ship Date]]-orders[[#This Row],[Order Date]]</f>
        <v>2</v>
      </c>
      <c r="N836" s="1">
        <f>WEEKNUM(orders[[#This Row],[Order Date]])</f>
        <v>6</v>
      </c>
      <c r="O836" s="1" t="str" cm="1">
        <f t="array" ref="O836">_xlfn.IFS(orders[[#This Row],[Customer Gender]]="M","Male", orders[[#This Row],[Customer Gender]]="F","Female", orders[[#This Row],[Customer Gender]]="O","Other", TRUE,"Unknown")</f>
        <v>Male</v>
      </c>
    </row>
    <row r="837" spans="1:15" x14ac:dyDescent="0.3">
      <c r="A837" t="s">
        <v>930</v>
      </c>
      <c r="B837" t="s">
        <v>146</v>
      </c>
      <c r="C837">
        <v>1</v>
      </c>
      <c r="D837">
        <v>39.5</v>
      </c>
      <c r="E837" s="1">
        <v>39.5</v>
      </c>
      <c r="F837" s="2">
        <v>45692</v>
      </c>
      <c r="G837" s="2">
        <v>45693</v>
      </c>
      <c r="H837" s="1" t="s">
        <v>23</v>
      </c>
      <c r="I837" s="1" t="s">
        <v>70</v>
      </c>
      <c r="J837" s="1">
        <v>3</v>
      </c>
      <c r="K837" s="1" t="s">
        <v>19</v>
      </c>
      <c r="L837" s="1" t="s">
        <v>62</v>
      </c>
      <c r="M837" s="1">
        <f>orders[[#This Row],[Ship Date]]-orders[[#This Row],[Order Date]]</f>
        <v>1</v>
      </c>
      <c r="N837" s="1">
        <f>WEEKNUM(orders[[#This Row],[Order Date]])</f>
        <v>6</v>
      </c>
      <c r="O837" s="1" t="str" cm="1">
        <f t="array" ref="O837">_xlfn.IFS(orders[[#This Row],[Customer Gender]]="M","Male", orders[[#This Row],[Customer Gender]]="F","Female", orders[[#This Row],[Customer Gender]]="O","Other", TRUE,"Unknown")</f>
        <v>Male</v>
      </c>
    </row>
    <row r="838" spans="1:15" x14ac:dyDescent="0.3">
      <c r="A838" t="s">
        <v>931</v>
      </c>
      <c r="B838" t="s">
        <v>69</v>
      </c>
      <c r="C838">
        <v>3</v>
      </c>
      <c r="D838">
        <v>30.9</v>
      </c>
      <c r="E838" s="1">
        <v>92.699999999999989</v>
      </c>
      <c r="F838" s="2">
        <v>45692</v>
      </c>
      <c r="G838" s="2">
        <v>45693</v>
      </c>
      <c r="H838" s="1" t="s">
        <v>17</v>
      </c>
      <c r="I838" s="1" t="s">
        <v>70</v>
      </c>
      <c r="J838" s="1">
        <v>5</v>
      </c>
      <c r="K838" s="1" t="s">
        <v>19</v>
      </c>
      <c r="L838" s="1" t="s">
        <v>62</v>
      </c>
      <c r="M838" s="1">
        <f>orders[[#This Row],[Ship Date]]-orders[[#This Row],[Order Date]]</f>
        <v>1</v>
      </c>
      <c r="N838" s="1">
        <f>WEEKNUM(orders[[#This Row],[Order Date]])</f>
        <v>6</v>
      </c>
      <c r="O838" s="1"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s="1">
        <v>254.79999999999998</v>
      </c>
      <c r="F839" s="2">
        <v>45692</v>
      </c>
      <c r="G839" s="2">
        <v>45695</v>
      </c>
      <c r="H839" s="1" t="s">
        <v>27</v>
      </c>
      <c r="I839" s="1" t="s">
        <v>18</v>
      </c>
      <c r="J839" s="1">
        <v>5</v>
      </c>
      <c r="K839" s="1" t="s">
        <v>19</v>
      </c>
      <c r="L839" s="1" t="s">
        <v>62</v>
      </c>
      <c r="M839" s="1">
        <f>orders[[#This Row],[Ship Date]]-orders[[#This Row],[Order Date]]</f>
        <v>3</v>
      </c>
      <c r="N839" s="1">
        <f>WEEKNUM(orders[[#This Row],[Order Date]])</f>
        <v>6</v>
      </c>
      <c r="O839" s="1"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s="1">
        <v>844.8</v>
      </c>
      <c r="F840" s="2">
        <v>45692</v>
      </c>
      <c r="G840" s="2">
        <v>45702</v>
      </c>
      <c r="H840" s="1" t="s">
        <v>27</v>
      </c>
      <c r="I840" s="1" t="s">
        <v>18</v>
      </c>
      <c r="J840" s="1">
        <v>4</v>
      </c>
      <c r="K840" s="1" t="s">
        <v>19</v>
      </c>
      <c r="L840" s="1" t="s">
        <v>62</v>
      </c>
      <c r="M840" s="1">
        <f>orders[[#This Row],[Ship Date]]-orders[[#This Row],[Order Date]]</f>
        <v>10</v>
      </c>
      <c r="N840" s="1">
        <f>WEEKNUM(orders[[#This Row],[Order Date]])</f>
        <v>6</v>
      </c>
      <c r="O840" s="1"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s="1">
        <v>44.2</v>
      </c>
      <c r="F841" s="2">
        <v>45692</v>
      </c>
      <c r="G841" s="2">
        <v>45693</v>
      </c>
      <c r="H841" s="1" t="s">
        <v>27</v>
      </c>
      <c r="I841" s="1" t="s">
        <v>18</v>
      </c>
      <c r="J841" s="1">
        <v>5</v>
      </c>
      <c r="K841" s="1" t="s">
        <v>19</v>
      </c>
      <c r="L841" s="1" t="s">
        <v>103</v>
      </c>
      <c r="M841" s="1">
        <f>orders[[#This Row],[Ship Date]]-orders[[#This Row],[Order Date]]</f>
        <v>1</v>
      </c>
      <c r="N841" s="1">
        <f>WEEKNUM(orders[[#This Row],[Order Date]])</f>
        <v>6</v>
      </c>
      <c r="O841" s="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s="1">
        <v>67.800000000000011</v>
      </c>
      <c r="F842" s="2">
        <v>45692</v>
      </c>
      <c r="G842" s="2">
        <v>45693</v>
      </c>
      <c r="H842" s="1" t="s">
        <v>27</v>
      </c>
      <c r="I842" s="1" t="s">
        <v>40</v>
      </c>
      <c r="J842" s="1">
        <v>4</v>
      </c>
      <c r="K842" s="1" t="s">
        <v>19</v>
      </c>
      <c r="L842" s="1" t="s">
        <v>103</v>
      </c>
      <c r="M842" s="1">
        <f>orders[[#This Row],[Ship Date]]-orders[[#This Row],[Order Date]]</f>
        <v>1</v>
      </c>
      <c r="N842" s="1">
        <f>WEEKNUM(orders[[#This Row],[Order Date]])</f>
        <v>6</v>
      </c>
      <c r="O842" s="1"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s="1">
        <v>157.80000000000001</v>
      </c>
      <c r="F843" s="2">
        <v>45692</v>
      </c>
      <c r="G843" s="2">
        <v>45692</v>
      </c>
      <c r="H843" s="1" t="s">
        <v>27</v>
      </c>
      <c r="I843" s="1" t="s">
        <v>40</v>
      </c>
      <c r="J843" s="1">
        <v>4</v>
      </c>
      <c r="K843" s="1" t="s">
        <v>19</v>
      </c>
      <c r="L843" s="1" t="s">
        <v>72</v>
      </c>
      <c r="M843" s="1">
        <f>orders[[#This Row],[Ship Date]]-orders[[#This Row],[Order Date]]</f>
        <v>0</v>
      </c>
      <c r="N843" s="1">
        <f>WEEKNUM(orders[[#This Row],[Order Date]])</f>
        <v>6</v>
      </c>
      <c r="O843" s="1"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s="1">
        <v>151.19999999999999</v>
      </c>
      <c r="F844" s="2">
        <v>45692</v>
      </c>
      <c r="G844" s="2">
        <v>45693</v>
      </c>
      <c r="H844" s="1" t="s">
        <v>27</v>
      </c>
      <c r="I844" s="1" t="s">
        <v>18</v>
      </c>
      <c r="J844" s="1">
        <v>5</v>
      </c>
      <c r="K844" s="1" t="s">
        <v>19</v>
      </c>
      <c r="L844" s="1" t="s">
        <v>77</v>
      </c>
      <c r="M844" s="1">
        <f>orders[[#This Row],[Ship Date]]-orders[[#This Row],[Order Date]]</f>
        <v>1</v>
      </c>
      <c r="N844" s="1">
        <f>WEEKNUM(orders[[#This Row],[Order Date]])</f>
        <v>6</v>
      </c>
      <c r="O844" s="1"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s="1">
        <v>1632</v>
      </c>
      <c r="F845" s="2">
        <v>45692</v>
      </c>
      <c r="G845" s="2">
        <v>45695</v>
      </c>
      <c r="H845" s="1" t="s">
        <v>27</v>
      </c>
      <c r="I845" s="1" t="s">
        <v>70</v>
      </c>
      <c r="J845" s="1">
        <v>3</v>
      </c>
      <c r="K845" s="1" t="s">
        <v>19</v>
      </c>
      <c r="L845" s="1" t="s">
        <v>108</v>
      </c>
      <c r="M845" s="1">
        <f>orders[[#This Row],[Ship Date]]-orders[[#This Row],[Order Date]]</f>
        <v>3</v>
      </c>
      <c r="N845" s="1">
        <f>WEEKNUM(orders[[#This Row],[Order Date]])</f>
        <v>6</v>
      </c>
      <c r="O845" s="1"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s="1">
        <v>83.6</v>
      </c>
      <c r="F846" s="2">
        <v>45692</v>
      </c>
      <c r="G846" s="2">
        <v>45695</v>
      </c>
      <c r="H846" s="1" t="s">
        <v>27</v>
      </c>
      <c r="I846" s="1" t="s">
        <v>40</v>
      </c>
      <c r="J846" s="1">
        <v>3</v>
      </c>
      <c r="K846" s="1" t="s">
        <v>19</v>
      </c>
      <c r="L846" s="1" t="s">
        <v>110</v>
      </c>
      <c r="M846" s="1">
        <f>orders[[#This Row],[Ship Date]]-orders[[#This Row],[Order Date]]</f>
        <v>3</v>
      </c>
      <c r="N846" s="1">
        <f>WEEKNUM(orders[[#This Row],[Order Date]])</f>
        <v>6</v>
      </c>
      <c r="O846" s="1"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s="1">
        <v>435.59999999999997</v>
      </c>
      <c r="F847" s="2">
        <v>45692</v>
      </c>
      <c r="G847" s="2">
        <v>45693</v>
      </c>
      <c r="H847" s="1" t="s">
        <v>27</v>
      </c>
      <c r="I847" s="1" t="s">
        <v>18</v>
      </c>
      <c r="J847" s="1">
        <v>4</v>
      </c>
      <c r="K847" s="1" t="s">
        <v>19</v>
      </c>
      <c r="L847" s="1" t="s">
        <v>115</v>
      </c>
      <c r="M847" s="1">
        <f>orders[[#This Row],[Ship Date]]-orders[[#This Row],[Order Date]]</f>
        <v>1</v>
      </c>
      <c r="N847" s="1">
        <f>WEEKNUM(orders[[#This Row],[Order Date]])</f>
        <v>6</v>
      </c>
      <c r="O847" s="1"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s="1">
        <v>1382</v>
      </c>
      <c r="F848" s="2">
        <v>45693</v>
      </c>
      <c r="G848" s="2">
        <v>45699</v>
      </c>
      <c r="H848" s="1" t="s">
        <v>23</v>
      </c>
      <c r="I848" s="1" t="s">
        <v>18</v>
      </c>
      <c r="J848" s="1">
        <v>5</v>
      </c>
      <c r="K848" s="1" t="s">
        <v>19</v>
      </c>
      <c r="L848" s="1" t="s">
        <v>115</v>
      </c>
      <c r="M848" s="1">
        <f>orders[[#This Row],[Ship Date]]-orders[[#This Row],[Order Date]]</f>
        <v>6</v>
      </c>
      <c r="N848" s="1">
        <f>WEEKNUM(orders[[#This Row],[Order Date]])</f>
        <v>6</v>
      </c>
      <c r="O848" s="1" t="str" cm="1">
        <f t="array" ref="O848">_xlfn.IFS(orders[[#This Row],[Customer Gender]]="M","Male", orders[[#This Row],[Customer Gender]]="F","Female", orders[[#This Row],[Customer Gender]]="O","Other", TRUE,"Unknown")</f>
        <v>Male</v>
      </c>
    </row>
    <row r="849" spans="1:15" x14ac:dyDescent="0.3">
      <c r="A849" t="s">
        <v>942</v>
      </c>
      <c r="B849" t="s">
        <v>32</v>
      </c>
      <c r="C849">
        <v>2</v>
      </c>
      <c r="D849">
        <v>22.6</v>
      </c>
      <c r="E849" s="1">
        <v>45.2</v>
      </c>
      <c r="F849" s="2">
        <v>45693</v>
      </c>
      <c r="G849" s="2">
        <v>45695</v>
      </c>
      <c r="H849" s="1" t="s">
        <v>27</v>
      </c>
      <c r="I849" s="1" t="s">
        <v>35</v>
      </c>
      <c r="J849" s="1">
        <v>5</v>
      </c>
      <c r="K849" s="1" t="s">
        <v>19</v>
      </c>
      <c r="L849" s="1" t="s">
        <v>115</v>
      </c>
      <c r="M849" s="1">
        <f>orders[[#This Row],[Ship Date]]-orders[[#This Row],[Order Date]]</f>
        <v>2</v>
      </c>
      <c r="N849" s="1">
        <f>WEEKNUM(orders[[#This Row],[Order Date]])</f>
        <v>6</v>
      </c>
      <c r="O849" s="1"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s="1">
        <v>90.6</v>
      </c>
      <c r="F850" s="2">
        <v>45693</v>
      </c>
      <c r="G850" s="2">
        <v>45697</v>
      </c>
      <c r="H850" s="1" t="s">
        <v>23</v>
      </c>
      <c r="I850" s="1" t="s">
        <v>70</v>
      </c>
      <c r="J850" s="1">
        <v>5</v>
      </c>
      <c r="K850" s="1" t="s">
        <v>19</v>
      </c>
      <c r="L850" s="1" t="s">
        <v>115</v>
      </c>
      <c r="M850" s="1">
        <f>orders[[#This Row],[Ship Date]]-orders[[#This Row],[Order Date]]</f>
        <v>4</v>
      </c>
      <c r="N850" s="1">
        <f>WEEKNUM(orders[[#This Row],[Order Date]])</f>
        <v>6</v>
      </c>
      <c r="O850" s="1" t="str" cm="1">
        <f t="array" ref="O850">_xlfn.IFS(orders[[#This Row],[Customer Gender]]="M","Male", orders[[#This Row],[Customer Gender]]="F","Female", orders[[#This Row],[Customer Gender]]="O","Other", TRUE,"Unknown")</f>
        <v>Male</v>
      </c>
    </row>
    <row r="851" spans="1:15" x14ac:dyDescent="0.3">
      <c r="A851" t="s">
        <v>944</v>
      </c>
      <c r="B851" t="s">
        <v>26</v>
      </c>
      <c r="C851">
        <v>2</v>
      </c>
      <c r="D851">
        <v>115.1</v>
      </c>
      <c r="E851" s="1">
        <v>230.2</v>
      </c>
      <c r="F851" s="2">
        <v>45693</v>
      </c>
      <c r="G851" s="2">
        <v>45694</v>
      </c>
      <c r="H851" s="1" t="s">
        <v>27</v>
      </c>
      <c r="I851" s="1" t="s">
        <v>35</v>
      </c>
      <c r="J851" s="1">
        <v>4</v>
      </c>
      <c r="K851" s="1" t="s">
        <v>19</v>
      </c>
      <c r="L851" s="1" t="s">
        <v>24</v>
      </c>
      <c r="M851" s="1">
        <f>orders[[#This Row],[Ship Date]]-orders[[#This Row],[Order Date]]</f>
        <v>1</v>
      </c>
      <c r="N851" s="1">
        <f>WEEKNUM(orders[[#This Row],[Order Date]])</f>
        <v>6</v>
      </c>
      <c r="O851" s="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s="1">
        <v>316</v>
      </c>
      <c r="F852" s="2">
        <v>45693</v>
      </c>
      <c r="G852" s="2">
        <v>45695</v>
      </c>
      <c r="H852" s="1" t="s">
        <v>23</v>
      </c>
      <c r="I852" s="1" t="s">
        <v>40</v>
      </c>
      <c r="J852" s="1">
        <v>2</v>
      </c>
      <c r="K852" s="1" t="s">
        <v>19</v>
      </c>
      <c r="L852" s="1" t="s">
        <v>24</v>
      </c>
      <c r="M852" s="1">
        <f>orders[[#This Row],[Ship Date]]-orders[[#This Row],[Order Date]]</f>
        <v>2</v>
      </c>
      <c r="N852" s="1">
        <f>WEEKNUM(orders[[#This Row],[Order Date]])</f>
        <v>6</v>
      </c>
      <c r="O852" s="1" t="str" cm="1">
        <f t="array" ref="O852">_xlfn.IFS(orders[[#This Row],[Customer Gender]]="M","Male", orders[[#This Row],[Customer Gender]]="F","Female", orders[[#This Row],[Customer Gender]]="O","Other", TRUE,"Unknown")</f>
        <v>Male</v>
      </c>
    </row>
    <row r="853" spans="1:15" x14ac:dyDescent="0.3">
      <c r="A853" t="s">
        <v>946</v>
      </c>
      <c r="B853" t="s">
        <v>39</v>
      </c>
      <c r="C853">
        <v>5</v>
      </c>
      <c r="D853">
        <v>52.8</v>
      </c>
      <c r="E853" s="1">
        <v>264</v>
      </c>
      <c r="F853" s="2">
        <v>45693</v>
      </c>
      <c r="G853" s="2">
        <v>45694</v>
      </c>
      <c r="H853" s="1" t="s">
        <v>27</v>
      </c>
      <c r="I853" s="1" t="s">
        <v>18</v>
      </c>
      <c r="J853" s="1">
        <v>4</v>
      </c>
      <c r="K853" s="1" t="s">
        <v>19</v>
      </c>
      <c r="L853" s="1" t="s">
        <v>437</v>
      </c>
      <c r="M853" s="1">
        <f>orders[[#This Row],[Ship Date]]-orders[[#This Row],[Order Date]]</f>
        <v>1</v>
      </c>
      <c r="N853" s="1">
        <f>WEEKNUM(orders[[#This Row],[Order Date]])</f>
        <v>6</v>
      </c>
      <c r="O853" s="1"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s="1">
        <v>68.2</v>
      </c>
      <c r="F854" s="2">
        <v>45693</v>
      </c>
      <c r="G854" s="2">
        <v>45694</v>
      </c>
      <c r="H854" s="1" t="s">
        <v>23</v>
      </c>
      <c r="I854" s="1" t="s">
        <v>51</v>
      </c>
      <c r="J854" s="1">
        <v>5</v>
      </c>
      <c r="K854" s="1" t="s">
        <v>19</v>
      </c>
      <c r="L854" s="1" t="s">
        <v>587</v>
      </c>
      <c r="M854" s="1">
        <f>orders[[#This Row],[Ship Date]]-orders[[#This Row],[Order Date]]</f>
        <v>1</v>
      </c>
      <c r="N854" s="1">
        <f>WEEKNUM(orders[[#This Row],[Order Date]])</f>
        <v>6</v>
      </c>
      <c r="O854" s="1" t="str" cm="1">
        <f t="array" ref="O854">_xlfn.IFS(orders[[#This Row],[Customer Gender]]="M","Male", orders[[#This Row],[Customer Gender]]="F","Female", orders[[#This Row],[Customer Gender]]="O","Other", TRUE,"Unknown")</f>
        <v>Male</v>
      </c>
    </row>
    <row r="855" spans="1:15" x14ac:dyDescent="0.3">
      <c r="A855" t="s">
        <v>948</v>
      </c>
      <c r="B855" t="s">
        <v>39</v>
      </c>
      <c r="C855">
        <v>5</v>
      </c>
      <c r="D855">
        <v>107.9</v>
      </c>
      <c r="E855" s="1">
        <v>539.5</v>
      </c>
      <c r="F855" s="2">
        <v>45693</v>
      </c>
      <c r="G855" s="2">
        <v>45693</v>
      </c>
      <c r="H855" s="1" t="s">
        <v>27</v>
      </c>
      <c r="I855" s="1" t="s">
        <v>18</v>
      </c>
      <c r="J855" s="1">
        <v>5</v>
      </c>
      <c r="K855" s="1" t="s">
        <v>19</v>
      </c>
      <c r="L855" s="1" t="s">
        <v>949</v>
      </c>
      <c r="M855" s="1">
        <f>orders[[#This Row],[Ship Date]]-orders[[#This Row],[Order Date]]</f>
        <v>0</v>
      </c>
      <c r="N855" s="1">
        <f>WEEKNUM(orders[[#This Row],[Order Date]])</f>
        <v>6</v>
      </c>
      <c r="O855" s="1"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s="1">
        <v>630.5</v>
      </c>
      <c r="F856" s="2">
        <v>45693</v>
      </c>
      <c r="G856" s="2">
        <v>45693</v>
      </c>
      <c r="H856" s="1" t="s">
        <v>23</v>
      </c>
      <c r="I856" s="1" t="s">
        <v>40</v>
      </c>
      <c r="J856" s="1">
        <v>5</v>
      </c>
      <c r="K856" s="1" t="s">
        <v>19</v>
      </c>
      <c r="L856" s="1" t="s">
        <v>33</v>
      </c>
      <c r="M856" s="1">
        <f>orders[[#This Row],[Ship Date]]-orders[[#This Row],[Order Date]]</f>
        <v>0</v>
      </c>
      <c r="N856" s="1">
        <f>WEEKNUM(orders[[#This Row],[Order Date]])</f>
        <v>6</v>
      </c>
      <c r="O856" s="1"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s="1">
        <v>104.10000000000001</v>
      </c>
      <c r="F857" s="2">
        <v>45693</v>
      </c>
      <c r="G857" s="2">
        <v>45694</v>
      </c>
      <c r="H857" s="1" t="s">
        <v>17</v>
      </c>
      <c r="I857" s="1" t="s">
        <v>70</v>
      </c>
      <c r="J857" s="1">
        <v>3</v>
      </c>
      <c r="K857" s="1" t="s">
        <v>19</v>
      </c>
      <c r="L857" s="1" t="s">
        <v>33</v>
      </c>
      <c r="M857" s="1">
        <f>orders[[#This Row],[Ship Date]]-orders[[#This Row],[Order Date]]</f>
        <v>1</v>
      </c>
      <c r="N857" s="1">
        <f>WEEKNUM(orders[[#This Row],[Order Date]])</f>
        <v>6</v>
      </c>
      <c r="O857" s="1"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s="1">
        <v>16.8</v>
      </c>
      <c r="F858" s="2">
        <v>45693</v>
      </c>
      <c r="G858" s="2">
        <v>45695</v>
      </c>
      <c r="H858" s="1" t="s">
        <v>27</v>
      </c>
      <c r="I858" s="1" t="s">
        <v>51</v>
      </c>
      <c r="J858" s="1">
        <v>4</v>
      </c>
      <c r="K858" s="1" t="s">
        <v>19</v>
      </c>
      <c r="L858" s="1" t="s">
        <v>33</v>
      </c>
      <c r="M858" s="1">
        <f>orders[[#This Row],[Ship Date]]-orders[[#This Row],[Order Date]]</f>
        <v>2</v>
      </c>
      <c r="N858" s="1">
        <f>WEEKNUM(orders[[#This Row],[Order Date]])</f>
        <v>6</v>
      </c>
      <c r="O858" s="1"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s="1">
        <v>109.80000000000001</v>
      </c>
      <c r="F859" s="2">
        <v>45693</v>
      </c>
      <c r="G859" s="2">
        <v>45696</v>
      </c>
      <c r="H859" s="1" t="s">
        <v>27</v>
      </c>
      <c r="I859" s="1" t="s">
        <v>18</v>
      </c>
      <c r="J859" s="1">
        <v>4</v>
      </c>
      <c r="K859" s="1" t="s">
        <v>19</v>
      </c>
      <c r="L859" s="1" t="s">
        <v>33</v>
      </c>
      <c r="M859" s="1">
        <f>orders[[#This Row],[Ship Date]]-orders[[#This Row],[Order Date]]</f>
        <v>3</v>
      </c>
      <c r="N859" s="1">
        <f>WEEKNUM(orders[[#This Row],[Order Date]])</f>
        <v>6</v>
      </c>
      <c r="O859" s="1"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s="1">
        <v>167.7</v>
      </c>
      <c r="F860" s="2">
        <v>45693</v>
      </c>
      <c r="G860" s="2">
        <v>45699</v>
      </c>
      <c r="H860" s="1" t="s">
        <v>23</v>
      </c>
      <c r="I860" s="1" t="s">
        <v>51</v>
      </c>
      <c r="J860" s="1">
        <v>3</v>
      </c>
      <c r="K860" s="1" t="s">
        <v>19</v>
      </c>
      <c r="L860" s="1" t="s">
        <v>33</v>
      </c>
      <c r="M860" s="1">
        <f>orders[[#This Row],[Ship Date]]-orders[[#This Row],[Order Date]]</f>
        <v>6</v>
      </c>
      <c r="N860" s="1">
        <f>WEEKNUM(orders[[#This Row],[Order Date]])</f>
        <v>6</v>
      </c>
      <c r="O860" s="1"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s="1">
        <v>117.60000000000001</v>
      </c>
      <c r="F861" s="2">
        <v>45693</v>
      </c>
      <c r="G861" s="2">
        <v>45695</v>
      </c>
      <c r="H861" s="1" t="s">
        <v>27</v>
      </c>
      <c r="I861" s="1" t="s">
        <v>18</v>
      </c>
      <c r="J861" s="1">
        <v>3</v>
      </c>
      <c r="K861" s="1" t="s">
        <v>19</v>
      </c>
      <c r="L861" s="1" t="s">
        <v>33</v>
      </c>
      <c r="M861" s="1">
        <f>orders[[#This Row],[Ship Date]]-orders[[#This Row],[Order Date]]</f>
        <v>2</v>
      </c>
      <c r="N861" s="1">
        <f>WEEKNUM(orders[[#This Row],[Order Date]])</f>
        <v>6</v>
      </c>
      <c r="O861" s="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s="1">
        <v>266</v>
      </c>
      <c r="F862" s="2">
        <v>45693</v>
      </c>
      <c r="G862" s="2">
        <v>45695</v>
      </c>
      <c r="H862" s="1" t="s">
        <v>17</v>
      </c>
      <c r="I862" s="1" t="s">
        <v>51</v>
      </c>
      <c r="J862" s="1">
        <v>3</v>
      </c>
      <c r="K862" s="1" t="s">
        <v>19</v>
      </c>
      <c r="L862" s="1" t="s">
        <v>33</v>
      </c>
      <c r="M862" s="1">
        <f>orders[[#This Row],[Ship Date]]-orders[[#This Row],[Order Date]]</f>
        <v>2</v>
      </c>
      <c r="N862" s="1">
        <f>WEEKNUM(orders[[#This Row],[Order Date]])</f>
        <v>6</v>
      </c>
      <c r="O862" s="1"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s="1">
        <v>312.60000000000002</v>
      </c>
      <c r="F863" s="2">
        <v>45693</v>
      </c>
      <c r="G863" s="2">
        <v>45695</v>
      </c>
      <c r="H863" s="1" t="s">
        <v>23</v>
      </c>
      <c r="I863" s="1" t="s">
        <v>35</v>
      </c>
      <c r="J863" s="1">
        <v>3</v>
      </c>
      <c r="K863" s="1" t="s">
        <v>19</v>
      </c>
      <c r="L863" s="1" t="s">
        <v>98</v>
      </c>
      <c r="M863" s="1">
        <f>orders[[#This Row],[Ship Date]]-orders[[#This Row],[Order Date]]</f>
        <v>2</v>
      </c>
      <c r="N863" s="1">
        <f>WEEKNUM(orders[[#This Row],[Order Date]])</f>
        <v>6</v>
      </c>
      <c r="O863" s="1" t="str" cm="1">
        <f t="array" ref="O863">_xlfn.IFS(orders[[#This Row],[Customer Gender]]="M","Male", orders[[#This Row],[Customer Gender]]="F","Female", orders[[#This Row],[Customer Gender]]="O","Other", TRUE,"Unknown")</f>
        <v>Male</v>
      </c>
    </row>
    <row r="864" spans="1:15" x14ac:dyDescent="0.3">
      <c r="A864" t="s">
        <v>958</v>
      </c>
      <c r="B864" t="s">
        <v>44</v>
      </c>
      <c r="C864">
        <v>2</v>
      </c>
      <c r="D864">
        <v>19</v>
      </c>
      <c r="E864" s="1">
        <v>38</v>
      </c>
      <c r="F864" s="2">
        <v>45693</v>
      </c>
      <c r="G864" s="2">
        <v>45694</v>
      </c>
      <c r="H864" s="1" t="s">
        <v>23</v>
      </c>
      <c r="I864" s="1" t="s">
        <v>70</v>
      </c>
      <c r="J864" s="1">
        <v>5</v>
      </c>
      <c r="K864" s="1" t="s">
        <v>19</v>
      </c>
      <c r="L864" s="1" t="s">
        <v>55</v>
      </c>
      <c r="M864" s="1">
        <f>orders[[#This Row],[Ship Date]]-orders[[#This Row],[Order Date]]</f>
        <v>1</v>
      </c>
      <c r="N864" s="1">
        <f>WEEKNUM(orders[[#This Row],[Order Date]])</f>
        <v>6</v>
      </c>
      <c r="O864" s="1" t="str" cm="1">
        <f t="array" ref="O864">_xlfn.IFS(orders[[#This Row],[Customer Gender]]="M","Male", orders[[#This Row],[Customer Gender]]="F","Female", orders[[#This Row],[Customer Gender]]="O","Other", TRUE,"Unknown")</f>
        <v>Male</v>
      </c>
    </row>
    <row r="865" spans="1:15" x14ac:dyDescent="0.3">
      <c r="A865" t="s">
        <v>959</v>
      </c>
      <c r="B865" t="s">
        <v>42</v>
      </c>
      <c r="C865">
        <v>3</v>
      </c>
      <c r="D865">
        <v>84.8</v>
      </c>
      <c r="E865" s="1">
        <v>254.39999999999998</v>
      </c>
      <c r="F865" s="2">
        <v>45693</v>
      </c>
      <c r="G865" s="2">
        <v>45695</v>
      </c>
      <c r="H865" s="1" t="s">
        <v>27</v>
      </c>
      <c r="I865" s="1" t="s">
        <v>40</v>
      </c>
      <c r="J865" s="1">
        <v>4</v>
      </c>
      <c r="K865" s="1" t="s">
        <v>19</v>
      </c>
      <c r="L865" s="1" t="s">
        <v>62</v>
      </c>
      <c r="M865" s="1">
        <f>orders[[#This Row],[Ship Date]]-orders[[#This Row],[Order Date]]</f>
        <v>2</v>
      </c>
      <c r="N865" s="1">
        <f>WEEKNUM(orders[[#This Row],[Order Date]])</f>
        <v>6</v>
      </c>
      <c r="O865" s="1"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s="1">
        <v>255.6</v>
      </c>
      <c r="F866" s="2">
        <v>45693</v>
      </c>
      <c r="G866" s="2">
        <v>45696</v>
      </c>
      <c r="H866" s="1" t="s">
        <v>27</v>
      </c>
      <c r="I866" s="1" t="s">
        <v>18</v>
      </c>
      <c r="J866" s="1">
        <v>4</v>
      </c>
      <c r="K866" s="1" t="s">
        <v>19</v>
      </c>
      <c r="L866" s="1" t="s">
        <v>62</v>
      </c>
      <c r="M866" s="1">
        <f>orders[[#This Row],[Ship Date]]-orders[[#This Row],[Order Date]]</f>
        <v>3</v>
      </c>
      <c r="N866" s="1">
        <f>WEEKNUM(orders[[#This Row],[Order Date]])</f>
        <v>6</v>
      </c>
      <c r="O866" s="1"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s="1">
        <v>196.5</v>
      </c>
      <c r="F867" s="2">
        <v>45693</v>
      </c>
      <c r="G867" s="2">
        <v>45693</v>
      </c>
      <c r="H867" s="1" t="s">
        <v>27</v>
      </c>
      <c r="I867" s="1" t="s">
        <v>35</v>
      </c>
      <c r="J867" s="1">
        <v>3</v>
      </c>
      <c r="K867" s="1" t="s">
        <v>19</v>
      </c>
      <c r="L867" s="1" t="s">
        <v>62</v>
      </c>
      <c r="M867" s="1">
        <f>orders[[#This Row],[Ship Date]]-orders[[#This Row],[Order Date]]</f>
        <v>0</v>
      </c>
      <c r="N867" s="1">
        <f>WEEKNUM(orders[[#This Row],[Order Date]])</f>
        <v>6</v>
      </c>
      <c r="O867" s="1"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s="1">
        <v>232.4</v>
      </c>
      <c r="F868" s="2">
        <v>45693</v>
      </c>
      <c r="G868" s="2">
        <v>45699</v>
      </c>
      <c r="H868" s="1" t="s">
        <v>23</v>
      </c>
      <c r="I868" s="1" t="s">
        <v>51</v>
      </c>
      <c r="J868" s="1">
        <v>4</v>
      </c>
      <c r="K868" s="1" t="s">
        <v>19</v>
      </c>
      <c r="L868" s="1" t="s">
        <v>103</v>
      </c>
      <c r="M868" s="1">
        <f>orders[[#This Row],[Ship Date]]-orders[[#This Row],[Order Date]]</f>
        <v>6</v>
      </c>
      <c r="N868" s="1">
        <f>WEEKNUM(orders[[#This Row],[Order Date]])</f>
        <v>6</v>
      </c>
      <c r="O868" s="1" t="str" cm="1">
        <f t="array" ref="O868">_xlfn.IFS(orders[[#This Row],[Customer Gender]]="M","Male", orders[[#This Row],[Customer Gender]]="F","Female", orders[[#This Row],[Customer Gender]]="O","Other", TRUE,"Unknown")</f>
        <v>Male</v>
      </c>
    </row>
    <row r="869" spans="1:15" x14ac:dyDescent="0.3">
      <c r="A869" t="s">
        <v>963</v>
      </c>
      <c r="B869" t="s">
        <v>54</v>
      </c>
      <c r="C869">
        <v>4</v>
      </c>
      <c r="D869">
        <v>22.9</v>
      </c>
      <c r="E869" s="1">
        <v>91.6</v>
      </c>
      <c r="F869" s="2">
        <v>45693</v>
      </c>
      <c r="G869" s="2">
        <v>45695</v>
      </c>
      <c r="H869" s="1" t="s">
        <v>27</v>
      </c>
      <c r="I869" s="1" t="s">
        <v>40</v>
      </c>
      <c r="J869" s="1">
        <v>3</v>
      </c>
      <c r="K869" s="1" t="s">
        <v>19</v>
      </c>
      <c r="L869" s="1" t="s">
        <v>377</v>
      </c>
      <c r="M869" s="1">
        <f>orders[[#This Row],[Ship Date]]-orders[[#This Row],[Order Date]]</f>
        <v>2</v>
      </c>
      <c r="N869" s="1">
        <f>WEEKNUM(orders[[#This Row],[Order Date]])</f>
        <v>6</v>
      </c>
      <c r="O869" s="1"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s="1">
        <v>161.10000000000002</v>
      </c>
      <c r="F870" s="2">
        <v>45693</v>
      </c>
      <c r="G870" s="2">
        <v>45694</v>
      </c>
      <c r="H870" s="1" t="s">
        <v>23</v>
      </c>
      <c r="I870" s="1" t="s">
        <v>18</v>
      </c>
      <c r="J870" s="1">
        <v>2</v>
      </c>
      <c r="K870" s="1" t="s">
        <v>19</v>
      </c>
      <c r="L870" s="1" t="s">
        <v>108</v>
      </c>
      <c r="M870" s="1">
        <f>orders[[#This Row],[Ship Date]]-orders[[#This Row],[Order Date]]</f>
        <v>1</v>
      </c>
      <c r="N870" s="1">
        <f>WEEKNUM(orders[[#This Row],[Order Date]])</f>
        <v>6</v>
      </c>
      <c r="O870" s="1" t="str" cm="1">
        <f t="array" ref="O870">_xlfn.IFS(orders[[#This Row],[Customer Gender]]="M","Male", orders[[#This Row],[Customer Gender]]="F","Female", orders[[#This Row],[Customer Gender]]="O","Other", TRUE,"Unknown")</f>
        <v>Male</v>
      </c>
    </row>
    <row r="871" spans="1:15" x14ac:dyDescent="0.3">
      <c r="A871" t="s">
        <v>965</v>
      </c>
      <c r="B871" t="s">
        <v>39</v>
      </c>
      <c r="C871">
        <v>5</v>
      </c>
      <c r="D871">
        <v>43.2</v>
      </c>
      <c r="E871" s="1">
        <v>216</v>
      </c>
      <c r="F871" s="2">
        <v>45693</v>
      </c>
      <c r="G871" s="2">
        <v>45695</v>
      </c>
      <c r="H871" s="1" t="s">
        <v>27</v>
      </c>
      <c r="I871" s="1" t="s">
        <v>18</v>
      </c>
      <c r="J871" s="1">
        <v>4</v>
      </c>
      <c r="K871" s="1" t="s">
        <v>19</v>
      </c>
      <c r="L871" s="1" t="s">
        <v>110</v>
      </c>
      <c r="M871" s="1">
        <f>orders[[#This Row],[Ship Date]]-orders[[#This Row],[Order Date]]</f>
        <v>2</v>
      </c>
      <c r="N871" s="1">
        <f>WEEKNUM(orders[[#This Row],[Order Date]])</f>
        <v>6</v>
      </c>
      <c r="O871" s="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s="1">
        <v>253.5</v>
      </c>
      <c r="F872" s="2">
        <v>45693</v>
      </c>
      <c r="G872" s="2">
        <v>45695</v>
      </c>
      <c r="H872" s="1" t="s">
        <v>23</v>
      </c>
      <c r="I872" s="1" t="s">
        <v>40</v>
      </c>
      <c r="J872" s="1">
        <v>5</v>
      </c>
      <c r="K872" s="1" t="s">
        <v>19</v>
      </c>
      <c r="L872" s="1" t="s">
        <v>967</v>
      </c>
      <c r="M872" s="1">
        <f>orders[[#This Row],[Ship Date]]-orders[[#This Row],[Order Date]]</f>
        <v>2</v>
      </c>
      <c r="N872" s="1">
        <f>WEEKNUM(orders[[#This Row],[Order Date]])</f>
        <v>6</v>
      </c>
      <c r="O872" s="1" t="str" cm="1">
        <f t="array" ref="O872">_xlfn.IFS(orders[[#This Row],[Customer Gender]]="M","Male", orders[[#This Row],[Customer Gender]]="F","Female", orders[[#This Row],[Customer Gender]]="O","Other", TRUE,"Unknown")</f>
        <v>Male</v>
      </c>
    </row>
    <row r="873" spans="1:15" x14ac:dyDescent="0.3">
      <c r="A873" t="s">
        <v>968</v>
      </c>
      <c r="B873" t="s">
        <v>30</v>
      </c>
      <c r="C873">
        <v>2</v>
      </c>
      <c r="D873">
        <v>42.2</v>
      </c>
      <c r="E873" s="1">
        <v>84.4</v>
      </c>
      <c r="F873" s="2">
        <v>45693</v>
      </c>
      <c r="G873" s="2">
        <v>45694</v>
      </c>
      <c r="H873" s="1" t="s">
        <v>27</v>
      </c>
      <c r="I873" s="1" t="s">
        <v>35</v>
      </c>
      <c r="J873" s="1">
        <v>5</v>
      </c>
      <c r="K873" s="1" t="s">
        <v>19</v>
      </c>
      <c r="L873" s="1" t="s">
        <v>24</v>
      </c>
      <c r="M873" s="1">
        <f>orders[[#This Row],[Ship Date]]-orders[[#This Row],[Order Date]]</f>
        <v>1</v>
      </c>
      <c r="N873" s="1">
        <f>WEEKNUM(orders[[#This Row],[Order Date]])</f>
        <v>6</v>
      </c>
      <c r="O873" s="1"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s="1">
        <v>568.20000000000005</v>
      </c>
      <c r="F874" s="2">
        <v>45693</v>
      </c>
      <c r="G874" s="2">
        <v>45696</v>
      </c>
      <c r="H874" s="1" t="s">
        <v>27</v>
      </c>
      <c r="I874" s="1" t="s">
        <v>35</v>
      </c>
      <c r="J874" s="1">
        <v>5</v>
      </c>
      <c r="K874" s="1" t="s">
        <v>19</v>
      </c>
      <c r="L874" s="1" t="s">
        <v>28</v>
      </c>
      <c r="M874" s="1">
        <f>orders[[#This Row],[Ship Date]]-orders[[#This Row],[Order Date]]</f>
        <v>3</v>
      </c>
      <c r="N874" s="1">
        <f>WEEKNUM(orders[[#This Row],[Order Date]])</f>
        <v>6</v>
      </c>
      <c r="O874" s="1"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s="1">
        <v>300.59999999999997</v>
      </c>
      <c r="F875" s="2">
        <v>45693</v>
      </c>
      <c r="G875" s="2">
        <v>45705</v>
      </c>
      <c r="H875" s="1" t="s">
        <v>27</v>
      </c>
      <c r="I875" s="1" t="s">
        <v>18</v>
      </c>
      <c r="J875" s="1">
        <v>5</v>
      </c>
      <c r="K875" s="1" t="s">
        <v>19</v>
      </c>
      <c r="L875" s="1" t="s">
        <v>28</v>
      </c>
      <c r="M875" s="1">
        <f>orders[[#This Row],[Ship Date]]-orders[[#This Row],[Order Date]]</f>
        <v>12</v>
      </c>
      <c r="N875" s="1">
        <f>WEEKNUM(orders[[#This Row],[Order Date]])</f>
        <v>6</v>
      </c>
      <c r="O875" s="1"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s="1">
        <v>167.2</v>
      </c>
      <c r="F876" s="2">
        <v>45693</v>
      </c>
      <c r="G876" s="2">
        <v>45699</v>
      </c>
      <c r="H876" s="1" t="s">
        <v>27</v>
      </c>
      <c r="I876" s="1" t="s">
        <v>35</v>
      </c>
      <c r="J876" s="1">
        <v>4</v>
      </c>
      <c r="K876" s="1" t="s">
        <v>19</v>
      </c>
      <c r="L876" s="1" t="s">
        <v>33</v>
      </c>
      <c r="M876" s="1">
        <f>orders[[#This Row],[Ship Date]]-orders[[#This Row],[Order Date]]</f>
        <v>6</v>
      </c>
      <c r="N876" s="1">
        <f>WEEKNUM(orders[[#This Row],[Order Date]])</f>
        <v>6</v>
      </c>
      <c r="O876" s="1"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s="1">
        <v>201.60000000000002</v>
      </c>
      <c r="F877" s="2">
        <v>45694</v>
      </c>
      <c r="G877" s="2">
        <v>45695</v>
      </c>
      <c r="H877" s="1" t="s">
        <v>27</v>
      </c>
      <c r="I877" s="1" t="s">
        <v>51</v>
      </c>
      <c r="J877" s="1">
        <v>4</v>
      </c>
      <c r="K877" s="1" t="s">
        <v>19</v>
      </c>
      <c r="L877" s="1" t="s">
        <v>33</v>
      </c>
      <c r="M877" s="1">
        <f>orders[[#This Row],[Ship Date]]-orders[[#This Row],[Order Date]]</f>
        <v>1</v>
      </c>
      <c r="N877" s="1">
        <f>WEEKNUM(orders[[#This Row],[Order Date]])</f>
        <v>6</v>
      </c>
      <c r="O877" s="1"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s="1">
        <v>129.4</v>
      </c>
      <c r="F878" s="2">
        <v>45694</v>
      </c>
      <c r="G878" s="2">
        <v>45696</v>
      </c>
      <c r="H878" s="1" t="s">
        <v>23</v>
      </c>
      <c r="I878" s="1" t="s">
        <v>35</v>
      </c>
      <c r="J878" s="1">
        <v>5</v>
      </c>
      <c r="K878" s="1" t="s">
        <v>19</v>
      </c>
      <c r="L878" s="1" t="s">
        <v>33</v>
      </c>
      <c r="M878" s="1">
        <f>orders[[#This Row],[Ship Date]]-orders[[#This Row],[Order Date]]</f>
        <v>2</v>
      </c>
      <c r="N878" s="1">
        <f>WEEKNUM(orders[[#This Row],[Order Date]])</f>
        <v>6</v>
      </c>
      <c r="O878" s="1" t="str" cm="1">
        <f t="array" ref="O878">_xlfn.IFS(orders[[#This Row],[Customer Gender]]="M","Male", orders[[#This Row],[Customer Gender]]="F","Female", orders[[#This Row],[Customer Gender]]="O","Other", TRUE,"Unknown")</f>
        <v>Male</v>
      </c>
    </row>
    <row r="879" spans="1:15" x14ac:dyDescent="0.3">
      <c r="A879" t="s">
        <v>974</v>
      </c>
      <c r="B879" t="s">
        <v>16</v>
      </c>
      <c r="C879">
        <v>3</v>
      </c>
      <c r="D879">
        <v>15.7</v>
      </c>
      <c r="E879" s="1">
        <v>47.099999999999994</v>
      </c>
      <c r="F879" s="2">
        <v>45694</v>
      </c>
      <c r="G879" s="2">
        <v>45700</v>
      </c>
      <c r="H879" s="1" t="s">
        <v>27</v>
      </c>
      <c r="I879" s="1" t="s">
        <v>18</v>
      </c>
      <c r="J879" s="1">
        <v>4</v>
      </c>
      <c r="K879" s="1" t="s">
        <v>19</v>
      </c>
      <c r="L879" s="1" t="s">
        <v>33</v>
      </c>
      <c r="M879" s="1">
        <f>orders[[#This Row],[Ship Date]]-orders[[#This Row],[Order Date]]</f>
        <v>6</v>
      </c>
      <c r="N879" s="1">
        <f>WEEKNUM(orders[[#This Row],[Order Date]])</f>
        <v>6</v>
      </c>
      <c r="O879" s="1"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s="1">
        <v>296.39999999999998</v>
      </c>
      <c r="F880" s="2">
        <v>45694</v>
      </c>
      <c r="G880" s="2">
        <v>45694</v>
      </c>
      <c r="H880" s="1" t="s">
        <v>23</v>
      </c>
      <c r="I880" s="1" t="s">
        <v>35</v>
      </c>
      <c r="J880" s="1">
        <v>4</v>
      </c>
      <c r="K880" s="1" t="s">
        <v>19</v>
      </c>
      <c r="L880" s="1" t="s">
        <v>33</v>
      </c>
      <c r="M880" s="1">
        <f>orders[[#This Row],[Ship Date]]-orders[[#This Row],[Order Date]]</f>
        <v>0</v>
      </c>
      <c r="N880" s="1">
        <f>WEEKNUM(orders[[#This Row],[Order Date]])</f>
        <v>6</v>
      </c>
      <c r="O880" s="1" t="str" cm="1">
        <f t="array" ref="O880">_xlfn.IFS(orders[[#This Row],[Customer Gender]]="M","Male", orders[[#This Row],[Customer Gender]]="F","Female", orders[[#This Row],[Customer Gender]]="O","Other", TRUE,"Unknown")</f>
        <v>Male</v>
      </c>
    </row>
    <row r="881" spans="1:15" x14ac:dyDescent="0.3">
      <c r="A881" t="s">
        <v>976</v>
      </c>
      <c r="B881" t="s">
        <v>54</v>
      </c>
      <c r="C881">
        <v>6</v>
      </c>
      <c r="D881">
        <v>37</v>
      </c>
      <c r="E881" s="1">
        <v>222</v>
      </c>
      <c r="F881" s="2">
        <v>45694</v>
      </c>
      <c r="G881" s="2">
        <v>45697</v>
      </c>
      <c r="H881" s="1" t="s">
        <v>27</v>
      </c>
      <c r="I881" s="1" t="s">
        <v>35</v>
      </c>
      <c r="J881" s="1">
        <v>5</v>
      </c>
      <c r="K881" s="1" t="s">
        <v>19</v>
      </c>
      <c r="L881" s="1" t="s">
        <v>33</v>
      </c>
      <c r="M881" s="1">
        <f>orders[[#This Row],[Ship Date]]-orders[[#This Row],[Order Date]]</f>
        <v>3</v>
      </c>
      <c r="N881" s="1">
        <f>WEEKNUM(orders[[#This Row],[Order Date]])</f>
        <v>6</v>
      </c>
      <c r="O881" s="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s="1">
        <v>167.4</v>
      </c>
      <c r="F882" s="2">
        <v>45694</v>
      </c>
      <c r="G882" s="2">
        <v>45696</v>
      </c>
      <c r="H882" s="1" t="s">
        <v>27</v>
      </c>
      <c r="I882" s="1" t="s">
        <v>51</v>
      </c>
      <c r="J882" s="1">
        <v>5</v>
      </c>
      <c r="K882" s="1" t="s">
        <v>19</v>
      </c>
      <c r="L882" s="1" t="s">
        <v>33</v>
      </c>
      <c r="M882" s="1">
        <f>orders[[#This Row],[Ship Date]]-orders[[#This Row],[Order Date]]</f>
        <v>2</v>
      </c>
      <c r="N882" s="1">
        <f>WEEKNUM(orders[[#This Row],[Order Date]])</f>
        <v>6</v>
      </c>
      <c r="O882" s="1"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s="1">
        <v>175.5</v>
      </c>
      <c r="F883" s="2">
        <v>45694</v>
      </c>
      <c r="G883" s="2">
        <v>45695</v>
      </c>
      <c r="H883" s="1" t="s">
        <v>27</v>
      </c>
      <c r="I883" s="1" t="s">
        <v>18</v>
      </c>
      <c r="J883" s="1">
        <v>4</v>
      </c>
      <c r="K883" s="1" t="s">
        <v>19</v>
      </c>
      <c r="L883" s="1" t="s">
        <v>33</v>
      </c>
      <c r="M883" s="1">
        <f>orders[[#This Row],[Ship Date]]-orders[[#This Row],[Order Date]]</f>
        <v>1</v>
      </c>
      <c r="N883" s="1">
        <f>WEEKNUM(orders[[#This Row],[Order Date]])</f>
        <v>6</v>
      </c>
      <c r="O883" s="1"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s="1">
        <v>592</v>
      </c>
      <c r="F884" s="2">
        <v>45694</v>
      </c>
      <c r="G884" s="2">
        <v>45695</v>
      </c>
      <c r="H884" s="1" t="s">
        <v>27</v>
      </c>
      <c r="I884" s="1" t="s">
        <v>70</v>
      </c>
      <c r="J884" s="1">
        <v>4</v>
      </c>
      <c r="K884" s="1" t="s">
        <v>19</v>
      </c>
      <c r="L884" s="1" t="s">
        <v>364</v>
      </c>
      <c r="M884" s="1">
        <f>orders[[#This Row],[Ship Date]]-orders[[#This Row],[Order Date]]</f>
        <v>1</v>
      </c>
      <c r="N884" s="1">
        <f>WEEKNUM(orders[[#This Row],[Order Date]])</f>
        <v>6</v>
      </c>
      <c r="O884" s="1"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s="1">
        <v>1332</v>
      </c>
      <c r="F885" s="2">
        <v>45694</v>
      </c>
      <c r="G885" s="2">
        <v>45697</v>
      </c>
      <c r="H885" s="1" t="s">
        <v>23</v>
      </c>
      <c r="I885" s="1" t="s">
        <v>51</v>
      </c>
      <c r="J885" s="1">
        <v>4</v>
      </c>
      <c r="K885" s="1" t="s">
        <v>19</v>
      </c>
      <c r="L885" s="1" t="s">
        <v>802</v>
      </c>
      <c r="M885" s="1">
        <f>orders[[#This Row],[Ship Date]]-orders[[#This Row],[Order Date]]</f>
        <v>3</v>
      </c>
      <c r="N885" s="1">
        <f>WEEKNUM(orders[[#This Row],[Order Date]])</f>
        <v>6</v>
      </c>
      <c r="O885" s="1" t="str" cm="1">
        <f t="array" ref="O885">_xlfn.IFS(orders[[#This Row],[Customer Gender]]="M","Male", orders[[#This Row],[Customer Gender]]="F","Female", orders[[#This Row],[Customer Gender]]="O","Other", TRUE,"Unknown")</f>
        <v>Male</v>
      </c>
    </row>
    <row r="886" spans="1:15" x14ac:dyDescent="0.3">
      <c r="A886" t="s">
        <v>981</v>
      </c>
      <c r="B886" t="s">
        <v>67</v>
      </c>
      <c r="C886">
        <v>2</v>
      </c>
      <c r="D886">
        <v>38.9</v>
      </c>
      <c r="E886" s="1">
        <v>77.8</v>
      </c>
      <c r="F886" s="2">
        <v>45694</v>
      </c>
      <c r="G886" s="2">
        <v>45696</v>
      </c>
      <c r="H886" s="1" t="s">
        <v>27</v>
      </c>
      <c r="I886" s="1" t="s">
        <v>35</v>
      </c>
      <c r="J886" s="1">
        <v>5</v>
      </c>
      <c r="K886" s="1" t="s">
        <v>19</v>
      </c>
      <c r="L886" s="1" t="s">
        <v>188</v>
      </c>
      <c r="M886" s="1">
        <f>orders[[#This Row],[Ship Date]]-orders[[#This Row],[Order Date]]</f>
        <v>2</v>
      </c>
      <c r="N886" s="1">
        <f>WEEKNUM(orders[[#This Row],[Order Date]])</f>
        <v>6</v>
      </c>
      <c r="O886" s="1"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s="1">
        <v>129.19999999999999</v>
      </c>
      <c r="F887" s="2">
        <v>45694</v>
      </c>
      <c r="G887" s="2">
        <v>45701</v>
      </c>
      <c r="H887" s="1" t="s">
        <v>23</v>
      </c>
      <c r="I887" s="1" t="s">
        <v>40</v>
      </c>
      <c r="J887" s="1">
        <v>3</v>
      </c>
      <c r="K887" s="1" t="s">
        <v>19</v>
      </c>
      <c r="L887" s="1" t="s">
        <v>188</v>
      </c>
      <c r="M887" s="1">
        <f>orders[[#This Row],[Ship Date]]-orders[[#This Row],[Order Date]]</f>
        <v>7</v>
      </c>
      <c r="N887" s="1">
        <f>WEEKNUM(orders[[#This Row],[Order Date]])</f>
        <v>6</v>
      </c>
      <c r="O887" s="1" t="str" cm="1">
        <f t="array" ref="O887">_xlfn.IFS(orders[[#This Row],[Customer Gender]]="M","Male", orders[[#This Row],[Customer Gender]]="F","Female", orders[[#This Row],[Customer Gender]]="O","Other", TRUE,"Unknown")</f>
        <v>Male</v>
      </c>
    </row>
    <row r="888" spans="1:15" x14ac:dyDescent="0.3">
      <c r="A888" t="s">
        <v>983</v>
      </c>
      <c r="B888" t="s">
        <v>26</v>
      </c>
      <c r="C888">
        <v>3</v>
      </c>
      <c r="D888">
        <v>95.3</v>
      </c>
      <c r="E888" s="1">
        <v>285.89999999999998</v>
      </c>
      <c r="F888" s="2">
        <v>45694</v>
      </c>
      <c r="G888" s="2">
        <v>45695</v>
      </c>
      <c r="H888" s="1" t="s">
        <v>23</v>
      </c>
      <c r="I888" s="1" t="s">
        <v>18</v>
      </c>
      <c r="J888" s="1">
        <v>4</v>
      </c>
      <c r="K888" s="1" t="s">
        <v>19</v>
      </c>
      <c r="L888" s="1" t="s">
        <v>52</v>
      </c>
      <c r="M888" s="1">
        <f>orders[[#This Row],[Ship Date]]-orders[[#This Row],[Order Date]]</f>
        <v>1</v>
      </c>
      <c r="N888" s="1">
        <f>WEEKNUM(orders[[#This Row],[Order Date]])</f>
        <v>6</v>
      </c>
      <c r="O888" s="1" t="str" cm="1">
        <f t="array" ref="O888">_xlfn.IFS(orders[[#This Row],[Customer Gender]]="M","Male", orders[[#This Row],[Customer Gender]]="F","Female", orders[[#This Row],[Customer Gender]]="O","Other", TRUE,"Unknown")</f>
        <v>Male</v>
      </c>
    </row>
    <row r="889" spans="1:15" x14ac:dyDescent="0.3">
      <c r="A889" t="s">
        <v>984</v>
      </c>
      <c r="B889" t="s">
        <v>76</v>
      </c>
      <c r="C889">
        <v>3</v>
      </c>
      <c r="D889">
        <v>25.8</v>
      </c>
      <c r="E889" s="1">
        <v>77.400000000000006</v>
      </c>
      <c r="F889" s="2">
        <v>45694</v>
      </c>
      <c r="G889" s="2">
        <v>45695</v>
      </c>
      <c r="H889" s="1" t="s">
        <v>27</v>
      </c>
      <c r="I889" s="1" t="s">
        <v>35</v>
      </c>
      <c r="J889" s="1">
        <v>3</v>
      </c>
      <c r="K889" s="1" t="s">
        <v>19</v>
      </c>
      <c r="L889" s="1" t="s">
        <v>55</v>
      </c>
      <c r="M889" s="1">
        <f>orders[[#This Row],[Ship Date]]-orders[[#This Row],[Order Date]]</f>
        <v>1</v>
      </c>
      <c r="N889" s="1">
        <f>WEEKNUM(orders[[#This Row],[Order Date]])</f>
        <v>6</v>
      </c>
      <c r="O889" s="1"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s="1">
        <v>23.2</v>
      </c>
      <c r="F890" s="2">
        <v>45694</v>
      </c>
      <c r="G890" s="2">
        <v>45698</v>
      </c>
      <c r="H890" s="1" t="s">
        <v>27</v>
      </c>
      <c r="I890" s="1" t="s">
        <v>35</v>
      </c>
      <c r="J890" s="1">
        <v>3</v>
      </c>
      <c r="K890" s="1" t="s">
        <v>19</v>
      </c>
      <c r="L890" s="1" t="s">
        <v>55</v>
      </c>
      <c r="M890" s="1">
        <f>orders[[#This Row],[Ship Date]]-orders[[#This Row],[Order Date]]</f>
        <v>4</v>
      </c>
      <c r="N890" s="1">
        <f>WEEKNUM(orders[[#This Row],[Order Date]])</f>
        <v>6</v>
      </c>
      <c r="O890" s="1"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s="1">
        <v>52.3</v>
      </c>
      <c r="F891" s="2">
        <v>45694</v>
      </c>
      <c r="G891" s="2">
        <v>45695</v>
      </c>
      <c r="H891" s="1" t="s">
        <v>27</v>
      </c>
      <c r="I891" s="1" t="s">
        <v>35</v>
      </c>
      <c r="J891" s="1">
        <v>4</v>
      </c>
      <c r="K891" s="1" t="s">
        <v>19</v>
      </c>
      <c r="L891" s="1" t="s">
        <v>62</v>
      </c>
      <c r="M891" s="1">
        <f>orders[[#This Row],[Ship Date]]-orders[[#This Row],[Order Date]]</f>
        <v>1</v>
      </c>
      <c r="N891" s="1">
        <f>WEEKNUM(orders[[#This Row],[Order Date]])</f>
        <v>6</v>
      </c>
      <c r="O891" s="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s="1">
        <v>1122</v>
      </c>
      <c r="F892" s="2">
        <v>45694</v>
      </c>
      <c r="G892" s="2">
        <v>45695</v>
      </c>
      <c r="H892" s="1" t="s">
        <v>27</v>
      </c>
      <c r="I892" s="1" t="s">
        <v>35</v>
      </c>
      <c r="J892" s="1">
        <v>3</v>
      </c>
      <c r="K892" s="1" t="s">
        <v>19</v>
      </c>
      <c r="L892" s="1" t="s">
        <v>62</v>
      </c>
      <c r="M892" s="1">
        <f>orders[[#This Row],[Ship Date]]-orders[[#This Row],[Order Date]]</f>
        <v>1</v>
      </c>
      <c r="N892" s="1">
        <f>WEEKNUM(orders[[#This Row],[Order Date]])</f>
        <v>6</v>
      </c>
      <c r="O892" s="1"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s="1">
        <v>173</v>
      </c>
      <c r="F893" s="2">
        <v>45694</v>
      </c>
      <c r="G893" s="2">
        <v>45696</v>
      </c>
      <c r="H893" s="1" t="s">
        <v>23</v>
      </c>
      <c r="I893" s="1" t="s">
        <v>40</v>
      </c>
      <c r="J893" s="1">
        <v>4</v>
      </c>
      <c r="K893" s="1" t="s">
        <v>19</v>
      </c>
      <c r="L893" s="1" t="s">
        <v>62</v>
      </c>
      <c r="M893" s="1">
        <f>orders[[#This Row],[Ship Date]]-orders[[#This Row],[Order Date]]</f>
        <v>2</v>
      </c>
      <c r="N893" s="1">
        <f>WEEKNUM(orders[[#This Row],[Order Date]])</f>
        <v>6</v>
      </c>
      <c r="O893" s="1"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s="1">
        <v>80.400000000000006</v>
      </c>
      <c r="F894" s="2">
        <v>45694</v>
      </c>
      <c r="G894" s="2">
        <v>45700</v>
      </c>
      <c r="H894" s="1" t="s">
        <v>23</v>
      </c>
      <c r="I894" s="1" t="s">
        <v>35</v>
      </c>
      <c r="J894" s="1">
        <v>5</v>
      </c>
      <c r="K894" s="1" t="s">
        <v>19</v>
      </c>
      <c r="L894" s="1" t="s">
        <v>62</v>
      </c>
      <c r="M894" s="1">
        <f>orders[[#This Row],[Ship Date]]-orders[[#This Row],[Order Date]]</f>
        <v>6</v>
      </c>
      <c r="N894" s="1">
        <f>WEEKNUM(orders[[#This Row],[Order Date]])</f>
        <v>6</v>
      </c>
      <c r="O894" s="1" t="str" cm="1">
        <f t="array" ref="O894">_xlfn.IFS(orders[[#This Row],[Customer Gender]]="M","Male", orders[[#This Row],[Customer Gender]]="F","Female", orders[[#This Row],[Customer Gender]]="O","Other", TRUE,"Unknown")</f>
        <v>Male</v>
      </c>
    </row>
    <row r="895" spans="1:15" x14ac:dyDescent="0.3">
      <c r="A895" t="s">
        <v>990</v>
      </c>
      <c r="B895" t="s">
        <v>26</v>
      </c>
      <c r="C895">
        <v>4</v>
      </c>
      <c r="D895">
        <v>56.4</v>
      </c>
      <c r="E895" s="1">
        <v>225.6</v>
      </c>
      <c r="F895" s="2">
        <v>45694</v>
      </c>
      <c r="G895" s="2">
        <v>45696</v>
      </c>
      <c r="H895" s="1" t="s">
        <v>27</v>
      </c>
      <c r="I895" s="1" t="s">
        <v>40</v>
      </c>
      <c r="J895" s="1">
        <v>4</v>
      </c>
      <c r="K895" s="1" t="s">
        <v>19</v>
      </c>
      <c r="L895" s="1" t="s">
        <v>74</v>
      </c>
      <c r="M895" s="1">
        <f>orders[[#This Row],[Ship Date]]-orders[[#This Row],[Order Date]]</f>
        <v>2</v>
      </c>
      <c r="N895" s="1">
        <f>WEEKNUM(orders[[#This Row],[Order Date]])</f>
        <v>6</v>
      </c>
      <c r="O895" s="1"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s="1">
        <v>497.7</v>
      </c>
      <c r="F896" s="2">
        <v>45694</v>
      </c>
      <c r="G896" s="2">
        <v>45696</v>
      </c>
      <c r="H896" s="1" t="s">
        <v>27</v>
      </c>
      <c r="I896" s="1" t="s">
        <v>35</v>
      </c>
      <c r="J896" s="1">
        <v>2</v>
      </c>
      <c r="K896" s="1" t="s">
        <v>19</v>
      </c>
      <c r="L896" s="1" t="s">
        <v>77</v>
      </c>
      <c r="M896" s="1">
        <f>orders[[#This Row],[Ship Date]]-orders[[#This Row],[Order Date]]</f>
        <v>2</v>
      </c>
      <c r="N896" s="1">
        <f>WEEKNUM(orders[[#This Row],[Order Date]])</f>
        <v>6</v>
      </c>
      <c r="O896" s="1"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s="1">
        <v>2114</v>
      </c>
      <c r="F897" s="2">
        <v>45694</v>
      </c>
      <c r="G897" s="2">
        <v>45695</v>
      </c>
      <c r="H897" s="1" t="s">
        <v>27</v>
      </c>
      <c r="I897" s="1" t="s">
        <v>18</v>
      </c>
      <c r="J897" s="1">
        <v>4</v>
      </c>
      <c r="K897" s="1" t="s">
        <v>19</v>
      </c>
      <c r="L897" s="1" t="s">
        <v>77</v>
      </c>
      <c r="M897" s="1">
        <f>orders[[#This Row],[Ship Date]]-orders[[#This Row],[Order Date]]</f>
        <v>1</v>
      </c>
      <c r="N897" s="1">
        <f>WEEKNUM(orders[[#This Row],[Order Date]])</f>
        <v>6</v>
      </c>
      <c r="O897" s="1"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s="1">
        <v>23.6</v>
      </c>
      <c r="F898" s="2">
        <v>45694</v>
      </c>
      <c r="G898" s="2">
        <v>45699</v>
      </c>
      <c r="H898" s="1" t="s">
        <v>27</v>
      </c>
      <c r="I898" s="1" t="s">
        <v>18</v>
      </c>
      <c r="J898" s="1">
        <v>4</v>
      </c>
      <c r="K898" s="1" t="s">
        <v>19</v>
      </c>
      <c r="L898" s="1" t="s">
        <v>110</v>
      </c>
      <c r="M898" s="1">
        <f>orders[[#This Row],[Ship Date]]-orders[[#This Row],[Order Date]]</f>
        <v>5</v>
      </c>
      <c r="N898" s="1">
        <f>WEEKNUM(orders[[#This Row],[Order Date]])</f>
        <v>6</v>
      </c>
      <c r="O898" s="1"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s="1">
        <v>141.4</v>
      </c>
      <c r="F899" s="2">
        <v>45694</v>
      </c>
      <c r="G899" s="2">
        <v>45696</v>
      </c>
      <c r="H899" s="1" t="s">
        <v>27</v>
      </c>
      <c r="I899" s="1" t="s">
        <v>40</v>
      </c>
      <c r="J899" s="1">
        <v>4</v>
      </c>
      <c r="K899" s="1" t="s">
        <v>19</v>
      </c>
      <c r="L899" s="1" t="s">
        <v>110</v>
      </c>
      <c r="M899" s="1">
        <f>orders[[#This Row],[Ship Date]]-orders[[#This Row],[Order Date]]</f>
        <v>2</v>
      </c>
      <c r="N899" s="1">
        <f>WEEKNUM(orders[[#This Row],[Order Date]])</f>
        <v>6</v>
      </c>
      <c r="O899" s="1"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s="1">
        <v>86.4</v>
      </c>
      <c r="F900" s="2">
        <v>45694</v>
      </c>
      <c r="G900" s="2">
        <v>45695</v>
      </c>
      <c r="H900" s="1" t="s">
        <v>27</v>
      </c>
      <c r="I900" s="1" t="s">
        <v>40</v>
      </c>
      <c r="J900" s="1">
        <v>4</v>
      </c>
      <c r="K900" s="1" t="s">
        <v>19</v>
      </c>
      <c r="L900" s="1" t="s">
        <v>292</v>
      </c>
      <c r="M900" s="1">
        <f>orders[[#This Row],[Ship Date]]-orders[[#This Row],[Order Date]]</f>
        <v>1</v>
      </c>
      <c r="N900" s="1">
        <f>WEEKNUM(orders[[#This Row],[Order Date]])</f>
        <v>6</v>
      </c>
      <c r="O900" s="1" t="str" cm="1">
        <f t="array" ref="O900">_xlfn.IFS(orders[[#This Row],[Customer Gender]]="M","Male", orders[[#This Row],[Customer Gender]]="F","Female", orders[[#This Row],[Customer Gender]]="O","Other", TRUE,"Unknown")</f>
        <v>Female</v>
      </c>
    </row>
    <row r="901" spans="1:15" x14ac:dyDescent="0.3">
      <c r="A901" t="s">
        <v>996</v>
      </c>
      <c r="B901" t="s">
        <v>46</v>
      </c>
      <c r="C901">
        <v>9</v>
      </c>
      <c r="D901">
        <v>70</v>
      </c>
      <c r="E901" s="1">
        <v>630</v>
      </c>
      <c r="F901" s="2">
        <v>45694</v>
      </c>
      <c r="G901" s="2">
        <v>45695</v>
      </c>
      <c r="H901" s="1" t="s">
        <v>17</v>
      </c>
      <c r="I901" s="1" t="s">
        <v>35</v>
      </c>
      <c r="J901" s="1">
        <v>4</v>
      </c>
      <c r="K901" s="1" t="s">
        <v>19</v>
      </c>
      <c r="L901" s="1" t="s">
        <v>997</v>
      </c>
      <c r="M901" s="1">
        <f>orders[[#This Row],[Ship Date]]-orders[[#This Row],[Order Date]]</f>
        <v>1</v>
      </c>
      <c r="N901" s="1">
        <f>WEEKNUM(orders[[#This Row],[Order Date]])</f>
        <v>6</v>
      </c>
      <c r="O901" s="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s="1">
        <v>41</v>
      </c>
      <c r="F902" s="2">
        <v>45694</v>
      </c>
      <c r="G902" s="2">
        <v>45696</v>
      </c>
      <c r="H902" s="1" t="s">
        <v>27</v>
      </c>
      <c r="I902" s="1" t="s">
        <v>40</v>
      </c>
      <c r="J902" s="1">
        <v>2</v>
      </c>
      <c r="K902" s="1" t="s">
        <v>19</v>
      </c>
      <c r="L902" s="1" t="s">
        <v>82</v>
      </c>
      <c r="M902" s="1">
        <f>orders[[#This Row],[Ship Date]]-orders[[#This Row],[Order Date]]</f>
        <v>2</v>
      </c>
      <c r="N902" s="1">
        <f>WEEKNUM(orders[[#This Row],[Order Date]])</f>
        <v>6</v>
      </c>
      <c r="O902" s="1"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s="1">
        <v>116.4</v>
      </c>
      <c r="F903" s="2">
        <v>45694</v>
      </c>
      <c r="G903" s="2">
        <v>45695</v>
      </c>
      <c r="H903" s="1" t="s">
        <v>27</v>
      </c>
      <c r="I903" s="1" t="s">
        <v>51</v>
      </c>
      <c r="J903" s="1">
        <v>4</v>
      </c>
      <c r="K903" s="1" t="s">
        <v>19</v>
      </c>
      <c r="L903" s="1" t="s">
        <v>243</v>
      </c>
      <c r="M903" s="1">
        <f>orders[[#This Row],[Ship Date]]-orders[[#This Row],[Order Date]]</f>
        <v>1</v>
      </c>
      <c r="N903" s="1">
        <f>WEEKNUM(orders[[#This Row],[Order Date]])</f>
        <v>6</v>
      </c>
      <c r="O903" s="1"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s="1">
        <v>482.40000000000003</v>
      </c>
      <c r="F904" s="2">
        <v>45694</v>
      </c>
      <c r="G904" s="2">
        <v>45695</v>
      </c>
      <c r="H904" s="1" t="s">
        <v>23</v>
      </c>
      <c r="I904" s="1" t="s">
        <v>40</v>
      </c>
      <c r="J904" s="1">
        <v>3</v>
      </c>
      <c r="K904" s="1" t="s">
        <v>19</v>
      </c>
      <c r="L904" s="1" t="s">
        <v>33</v>
      </c>
      <c r="M904" s="1">
        <f>orders[[#This Row],[Ship Date]]-orders[[#This Row],[Order Date]]</f>
        <v>1</v>
      </c>
      <c r="N904" s="1">
        <f>WEEKNUM(orders[[#This Row],[Order Date]])</f>
        <v>6</v>
      </c>
      <c r="O904" s="1" t="str" cm="1">
        <f t="array" ref="O904">_xlfn.IFS(orders[[#This Row],[Customer Gender]]="M","Male", orders[[#This Row],[Customer Gender]]="F","Female", orders[[#This Row],[Customer Gender]]="O","Other", TRUE,"Unknown")</f>
        <v>Male</v>
      </c>
    </row>
    <row r="905" spans="1:15" x14ac:dyDescent="0.3">
      <c r="A905" t="s">
        <v>1001</v>
      </c>
      <c r="B905" t="s">
        <v>39</v>
      </c>
      <c r="C905">
        <v>5</v>
      </c>
      <c r="D905">
        <v>72.3</v>
      </c>
      <c r="E905" s="1">
        <v>361.5</v>
      </c>
      <c r="F905" s="2">
        <v>45694</v>
      </c>
      <c r="G905" s="2">
        <v>45696</v>
      </c>
      <c r="H905" s="1" t="s">
        <v>27</v>
      </c>
      <c r="I905" s="1" t="s">
        <v>35</v>
      </c>
      <c r="J905" s="1">
        <v>4</v>
      </c>
      <c r="K905" s="1" t="s">
        <v>19</v>
      </c>
      <c r="L905" s="1" t="s">
        <v>33</v>
      </c>
      <c r="M905" s="1">
        <f>orders[[#This Row],[Ship Date]]-orders[[#This Row],[Order Date]]</f>
        <v>2</v>
      </c>
      <c r="N905" s="1">
        <f>WEEKNUM(orders[[#This Row],[Order Date]])</f>
        <v>6</v>
      </c>
      <c r="O905" s="1"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s="1">
        <v>90.4</v>
      </c>
      <c r="F906" s="2">
        <v>45694</v>
      </c>
      <c r="G906" s="2">
        <v>45697</v>
      </c>
      <c r="H906" s="1" t="s">
        <v>89</v>
      </c>
      <c r="I906" s="1" t="s">
        <v>18</v>
      </c>
      <c r="J906" s="1">
        <v>3</v>
      </c>
      <c r="K906" s="1" t="s">
        <v>19</v>
      </c>
      <c r="L906" s="1" t="s">
        <v>33</v>
      </c>
      <c r="M906" s="1">
        <f>orders[[#This Row],[Ship Date]]-orders[[#This Row],[Order Date]]</f>
        <v>3</v>
      </c>
      <c r="N906" s="1">
        <f>WEEKNUM(orders[[#This Row],[Order Date]])</f>
        <v>6</v>
      </c>
      <c r="O906" s="1"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s="1">
        <v>88.4</v>
      </c>
      <c r="F907" s="2">
        <v>45694</v>
      </c>
      <c r="G907" s="2">
        <v>45698</v>
      </c>
      <c r="H907" s="1" t="s">
        <v>17</v>
      </c>
      <c r="I907" s="1" t="s">
        <v>40</v>
      </c>
      <c r="J907" s="1">
        <v>2</v>
      </c>
      <c r="K907" s="1" t="s">
        <v>19</v>
      </c>
      <c r="L907" s="1" t="s">
        <v>33</v>
      </c>
      <c r="M907" s="1">
        <f>orders[[#This Row],[Ship Date]]-orders[[#This Row],[Order Date]]</f>
        <v>4</v>
      </c>
      <c r="N907" s="1">
        <f>WEEKNUM(orders[[#This Row],[Order Date]])</f>
        <v>6</v>
      </c>
      <c r="O907" s="1"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s="1">
        <v>282.29999999999995</v>
      </c>
      <c r="F908" s="2">
        <v>45694</v>
      </c>
      <c r="G908" s="2">
        <v>45707</v>
      </c>
      <c r="H908" s="1" t="s">
        <v>27</v>
      </c>
      <c r="I908" s="1" t="s">
        <v>40</v>
      </c>
      <c r="J908" s="1">
        <v>5</v>
      </c>
      <c r="K908" s="1" t="s">
        <v>19</v>
      </c>
      <c r="L908" s="1" t="s">
        <v>33</v>
      </c>
      <c r="M908" s="1">
        <f>orders[[#This Row],[Ship Date]]-orders[[#This Row],[Order Date]]</f>
        <v>13</v>
      </c>
      <c r="N908" s="1">
        <f>WEEKNUM(orders[[#This Row],[Order Date]])</f>
        <v>6</v>
      </c>
      <c r="O908" s="1"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s="1">
        <v>53.699999999999996</v>
      </c>
      <c r="F909" s="2">
        <v>45694</v>
      </c>
      <c r="G909" s="2">
        <v>45696</v>
      </c>
      <c r="H909" s="1" t="s">
        <v>23</v>
      </c>
      <c r="I909" s="1" t="s">
        <v>35</v>
      </c>
      <c r="J909" s="1">
        <v>3</v>
      </c>
      <c r="K909" s="1" t="s">
        <v>19</v>
      </c>
      <c r="L909" s="1" t="s">
        <v>33</v>
      </c>
      <c r="M909" s="1">
        <f>orders[[#This Row],[Ship Date]]-orders[[#This Row],[Order Date]]</f>
        <v>2</v>
      </c>
      <c r="N909" s="1">
        <f>WEEKNUM(orders[[#This Row],[Order Date]])</f>
        <v>6</v>
      </c>
      <c r="O909" s="1" t="str" cm="1">
        <f t="array" ref="O909">_xlfn.IFS(orders[[#This Row],[Customer Gender]]="M","Male", orders[[#This Row],[Customer Gender]]="F","Female", orders[[#This Row],[Customer Gender]]="O","Other", TRUE,"Unknown")</f>
        <v>Male</v>
      </c>
    </row>
    <row r="910" spans="1:15" x14ac:dyDescent="0.3">
      <c r="A910" t="s">
        <v>1006</v>
      </c>
      <c r="B910" t="s">
        <v>69</v>
      </c>
      <c r="C910">
        <v>7</v>
      </c>
      <c r="D910">
        <v>52.7</v>
      </c>
      <c r="E910" s="1">
        <v>368.90000000000003</v>
      </c>
      <c r="F910" s="2">
        <v>45694</v>
      </c>
      <c r="G910" s="2">
        <v>45695</v>
      </c>
      <c r="H910" s="1" t="s">
        <v>23</v>
      </c>
      <c r="I910" s="1" t="s">
        <v>35</v>
      </c>
      <c r="J910" s="1">
        <v>3</v>
      </c>
      <c r="K910" s="1" t="s">
        <v>19</v>
      </c>
      <c r="L910" s="1" t="s">
        <v>33</v>
      </c>
      <c r="M910" s="1">
        <f>orders[[#This Row],[Ship Date]]-orders[[#This Row],[Order Date]]</f>
        <v>1</v>
      </c>
      <c r="N910" s="1">
        <f>WEEKNUM(orders[[#This Row],[Order Date]])</f>
        <v>6</v>
      </c>
      <c r="O910" s="1"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s="1">
        <v>36.799999999999997</v>
      </c>
      <c r="F911" s="2">
        <v>45694</v>
      </c>
      <c r="G911" s="2">
        <v>45694</v>
      </c>
      <c r="H911" s="1" t="s">
        <v>17</v>
      </c>
      <c r="I911" s="1" t="s">
        <v>18</v>
      </c>
      <c r="J911" s="1">
        <v>5</v>
      </c>
      <c r="K911" s="1" t="s">
        <v>19</v>
      </c>
      <c r="L911" s="1" t="s">
        <v>33</v>
      </c>
      <c r="M911" s="1">
        <f>orders[[#This Row],[Ship Date]]-orders[[#This Row],[Order Date]]</f>
        <v>0</v>
      </c>
      <c r="N911" s="1">
        <f>WEEKNUM(orders[[#This Row],[Order Date]])</f>
        <v>6</v>
      </c>
      <c r="O911" s="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s="1">
        <v>52.5</v>
      </c>
      <c r="F912" s="2">
        <v>45694</v>
      </c>
      <c r="G912" s="2">
        <v>45695</v>
      </c>
      <c r="H912" s="1" t="s">
        <v>23</v>
      </c>
      <c r="I912" s="1" t="s">
        <v>18</v>
      </c>
      <c r="J912" s="1">
        <v>3</v>
      </c>
      <c r="K912" s="1" t="s">
        <v>19</v>
      </c>
      <c r="L912" s="1" t="s">
        <v>55</v>
      </c>
      <c r="M912" s="1">
        <f>orders[[#This Row],[Ship Date]]-orders[[#This Row],[Order Date]]</f>
        <v>1</v>
      </c>
      <c r="N912" s="1">
        <f>WEEKNUM(orders[[#This Row],[Order Date]])</f>
        <v>6</v>
      </c>
      <c r="O912" s="1"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s="1">
        <v>267.60000000000002</v>
      </c>
      <c r="F913" s="2">
        <v>45694</v>
      </c>
      <c r="G913" s="2">
        <v>45696</v>
      </c>
      <c r="H913" s="1" t="s">
        <v>23</v>
      </c>
      <c r="I913" s="1" t="s">
        <v>18</v>
      </c>
      <c r="J913" s="1">
        <v>3</v>
      </c>
      <c r="K913" s="1" t="s">
        <v>19</v>
      </c>
      <c r="L913" s="1" t="s">
        <v>59</v>
      </c>
      <c r="M913" s="1">
        <f>orders[[#This Row],[Ship Date]]-orders[[#This Row],[Order Date]]</f>
        <v>2</v>
      </c>
      <c r="N913" s="1">
        <f>WEEKNUM(orders[[#This Row],[Order Date]])</f>
        <v>6</v>
      </c>
      <c r="O913" s="1" t="str" cm="1">
        <f t="array" ref="O913">_xlfn.IFS(orders[[#This Row],[Customer Gender]]="M","Male", orders[[#This Row],[Customer Gender]]="F","Female", orders[[#This Row],[Customer Gender]]="O","Other", TRUE,"Unknown")</f>
        <v>Male</v>
      </c>
    </row>
    <row r="914" spans="1:15" x14ac:dyDescent="0.3">
      <c r="A914" t="s">
        <v>1010</v>
      </c>
      <c r="B914" t="s">
        <v>39</v>
      </c>
      <c r="C914">
        <v>2</v>
      </c>
      <c r="D914">
        <v>53.2</v>
      </c>
      <c r="E914" s="1">
        <v>106.4</v>
      </c>
      <c r="F914" s="2">
        <v>45694</v>
      </c>
      <c r="G914" s="2">
        <v>45696</v>
      </c>
      <c r="H914" s="1" t="s">
        <v>23</v>
      </c>
      <c r="I914" s="1" t="s">
        <v>18</v>
      </c>
      <c r="J914" s="1">
        <v>4</v>
      </c>
      <c r="K914" s="1" t="s">
        <v>19</v>
      </c>
      <c r="L914" s="1" t="s">
        <v>103</v>
      </c>
      <c r="M914" s="1">
        <f>orders[[#This Row],[Ship Date]]-orders[[#This Row],[Order Date]]</f>
        <v>2</v>
      </c>
      <c r="N914" s="1">
        <f>WEEKNUM(orders[[#This Row],[Order Date]])</f>
        <v>6</v>
      </c>
      <c r="O914" s="1" t="str" cm="1">
        <f t="array" ref="O914">_xlfn.IFS(orders[[#This Row],[Customer Gender]]="M","Male", orders[[#This Row],[Customer Gender]]="F","Female", orders[[#This Row],[Customer Gender]]="O","Other", TRUE,"Unknown")</f>
        <v>Male</v>
      </c>
    </row>
    <row r="915" spans="1:15" x14ac:dyDescent="0.3">
      <c r="A915" t="s">
        <v>1011</v>
      </c>
      <c r="B915" t="s">
        <v>81</v>
      </c>
      <c r="C915">
        <v>6</v>
      </c>
      <c r="D915">
        <v>18.7</v>
      </c>
      <c r="E915" s="1">
        <v>112.19999999999999</v>
      </c>
      <c r="F915" s="2">
        <v>45694</v>
      </c>
      <c r="G915" s="2">
        <v>45696</v>
      </c>
      <c r="H915" s="1" t="s">
        <v>17</v>
      </c>
      <c r="I915" s="1" t="s">
        <v>18</v>
      </c>
      <c r="J915" s="1">
        <v>3</v>
      </c>
      <c r="K915" s="1" t="s">
        <v>19</v>
      </c>
      <c r="L915" s="1" t="s">
        <v>74</v>
      </c>
      <c r="M915" s="1">
        <f>orders[[#This Row],[Ship Date]]-orders[[#This Row],[Order Date]]</f>
        <v>2</v>
      </c>
      <c r="N915" s="1">
        <f>WEEKNUM(orders[[#This Row],[Order Date]])</f>
        <v>6</v>
      </c>
      <c r="O915" s="1"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s="1">
        <v>435.2</v>
      </c>
      <c r="F916" s="2">
        <v>45694</v>
      </c>
      <c r="G916" s="2">
        <v>45695</v>
      </c>
      <c r="H916" s="1" t="s">
        <v>27</v>
      </c>
      <c r="I916" s="1" t="s">
        <v>51</v>
      </c>
      <c r="J916" s="1">
        <v>5</v>
      </c>
      <c r="K916" s="1" t="s">
        <v>19</v>
      </c>
      <c r="L916" s="1" t="s">
        <v>77</v>
      </c>
      <c r="M916" s="1">
        <f>orders[[#This Row],[Ship Date]]-orders[[#This Row],[Order Date]]</f>
        <v>1</v>
      </c>
      <c r="N916" s="1">
        <f>WEEKNUM(orders[[#This Row],[Order Date]])</f>
        <v>6</v>
      </c>
      <c r="O916" s="1"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s="1">
        <v>192.5</v>
      </c>
      <c r="F917" s="2">
        <v>45694</v>
      </c>
      <c r="G917" s="2">
        <v>45698</v>
      </c>
      <c r="H917" s="1" t="s">
        <v>27</v>
      </c>
      <c r="I917" s="1" t="s">
        <v>18</v>
      </c>
      <c r="J917" s="1">
        <v>3</v>
      </c>
      <c r="K917" s="1" t="s">
        <v>19</v>
      </c>
      <c r="L917" s="1" t="s">
        <v>84</v>
      </c>
      <c r="M917" s="1">
        <f>orders[[#This Row],[Ship Date]]-orders[[#This Row],[Order Date]]</f>
        <v>4</v>
      </c>
      <c r="N917" s="1">
        <f>WEEKNUM(orders[[#This Row],[Order Date]])</f>
        <v>6</v>
      </c>
      <c r="O917" s="1"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s="1">
        <v>465</v>
      </c>
      <c r="F918" s="2">
        <v>45694</v>
      </c>
      <c r="G918" s="2">
        <v>45696</v>
      </c>
      <c r="H918" s="1" t="s">
        <v>23</v>
      </c>
      <c r="I918" s="1" t="s">
        <v>40</v>
      </c>
      <c r="J918" s="1">
        <v>3</v>
      </c>
      <c r="K918" s="1" t="s">
        <v>19</v>
      </c>
      <c r="L918" s="1" t="s">
        <v>28</v>
      </c>
      <c r="M918" s="1">
        <f>orders[[#This Row],[Ship Date]]-orders[[#This Row],[Order Date]]</f>
        <v>2</v>
      </c>
      <c r="N918" s="1">
        <f>WEEKNUM(orders[[#This Row],[Order Date]])</f>
        <v>6</v>
      </c>
      <c r="O918" s="1" t="str" cm="1">
        <f t="array" ref="O918">_xlfn.IFS(orders[[#This Row],[Customer Gender]]="M","Male", orders[[#This Row],[Customer Gender]]="F","Female", orders[[#This Row],[Customer Gender]]="O","Other", TRUE,"Unknown")</f>
        <v>Male</v>
      </c>
    </row>
    <row r="919" spans="1:15" x14ac:dyDescent="0.3">
      <c r="A919" t="s">
        <v>1015</v>
      </c>
      <c r="B919" t="s">
        <v>26</v>
      </c>
      <c r="C919">
        <v>3</v>
      </c>
      <c r="D919">
        <v>75.8</v>
      </c>
      <c r="E919" s="1">
        <v>227.39999999999998</v>
      </c>
      <c r="F919" s="2">
        <v>45694</v>
      </c>
      <c r="G919" s="2">
        <v>45698</v>
      </c>
      <c r="H919" s="1" t="s">
        <v>27</v>
      </c>
      <c r="I919" s="1" t="s">
        <v>35</v>
      </c>
      <c r="J919" s="1">
        <v>2</v>
      </c>
      <c r="K919" s="1" t="s">
        <v>19</v>
      </c>
      <c r="L919" s="1" t="s">
        <v>587</v>
      </c>
      <c r="M919" s="1">
        <f>orders[[#This Row],[Ship Date]]-orders[[#This Row],[Order Date]]</f>
        <v>4</v>
      </c>
      <c r="N919" s="1">
        <f>WEEKNUM(orders[[#This Row],[Order Date]])</f>
        <v>6</v>
      </c>
      <c r="O919" s="1"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s="1">
        <v>20.9</v>
      </c>
      <c r="F920" s="2">
        <v>45694</v>
      </c>
      <c r="G920" s="2">
        <v>45698</v>
      </c>
      <c r="H920" s="1" t="s">
        <v>23</v>
      </c>
      <c r="I920" s="1" t="s">
        <v>18</v>
      </c>
      <c r="J920" s="1">
        <v>4</v>
      </c>
      <c r="K920" s="1" t="s">
        <v>19</v>
      </c>
      <c r="L920" s="1" t="s">
        <v>147</v>
      </c>
      <c r="M920" s="1">
        <f>orders[[#This Row],[Ship Date]]-orders[[#This Row],[Order Date]]</f>
        <v>4</v>
      </c>
      <c r="N920" s="1">
        <f>WEEKNUM(orders[[#This Row],[Order Date]])</f>
        <v>6</v>
      </c>
      <c r="O920" s="1"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s="1">
        <v>142.19999999999999</v>
      </c>
      <c r="F921" s="2">
        <v>45694</v>
      </c>
      <c r="G921" s="2">
        <v>45697</v>
      </c>
      <c r="H921" s="1" t="s">
        <v>27</v>
      </c>
      <c r="I921" s="1" t="s">
        <v>18</v>
      </c>
      <c r="J921" s="1">
        <v>4</v>
      </c>
      <c r="K921" s="1" t="s">
        <v>19</v>
      </c>
      <c r="L921" s="1" t="s">
        <v>33</v>
      </c>
      <c r="M921" s="1">
        <f>orders[[#This Row],[Ship Date]]-orders[[#This Row],[Order Date]]</f>
        <v>3</v>
      </c>
      <c r="N921" s="1">
        <f>WEEKNUM(orders[[#This Row],[Order Date]])</f>
        <v>6</v>
      </c>
      <c r="O921" s="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s="1">
        <v>107.6</v>
      </c>
      <c r="F922" s="2">
        <v>45694</v>
      </c>
      <c r="G922" s="2">
        <v>45695</v>
      </c>
      <c r="H922" s="1" t="s">
        <v>17</v>
      </c>
      <c r="I922" s="1" t="s">
        <v>18</v>
      </c>
      <c r="J922" s="1">
        <v>3</v>
      </c>
      <c r="K922" s="1" t="s">
        <v>19</v>
      </c>
      <c r="L922" s="1" t="s">
        <v>33</v>
      </c>
      <c r="M922" s="1">
        <f>orders[[#This Row],[Ship Date]]-orders[[#This Row],[Order Date]]</f>
        <v>1</v>
      </c>
      <c r="N922" s="1">
        <f>WEEKNUM(orders[[#This Row],[Order Date]])</f>
        <v>6</v>
      </c>
      <c r="O922" s="1"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s="1">
        <v>73.800000000000011</v>
      </c>
      <c r="F923" s="2">
        <v>45694</v>
      </c>
      <c r="G923" s="2">
        <v>45696</v>
      </c>
      <c r="H923" s="1" t="s">
        <v>89</v>
      </c>
      <c r="I923" s="1" t="s">
        <v>35</v>
      </c>
      <c r="J923" s="1">
        <v>5</v>
      </c>
      <c r="K923" s="1" t="s">
        <v>19</v>
      </c>
      <c r="L923" s="1" t="s">
        <v>33</v>
      </c>
      <c r="M923" s="1">
        <f>orders[[#This Row],[Ship Date]]-orders[[#This Row],[Order Date]]</f>
        <v>2</v>
      </c>
      <c r="N923" s="1">
        <f>WEEKNUM(orders[[#This Row],[Order Date]])</f>
        <v>6</v>
      </c>
      <c r="O923" s="1"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s="1">
        <v>212.70000000000002</v>
      </c>
      <c r="F924" s="2">
        <v>45694</v>
      </c>
      <c r="G924" s="2">
        <v>45699</v>
      </c>
      <c r="H924" s="1" t="s">
        <v>27</v>
      </c>
      <c r="I924" s="1" t="s">
        <v>40</v>
      </c>
      <c r="J924" s="1">
        <v>5</v>
      </c>
      <c r="K924" s="1" t="s">
        <v>19</v>
      </c>
      <c r="L924" s="1" t="s">
        <v>33</v>
      </c>
      <c r="M924" s="1">
        <f>orders[[#This Row],[Ship Date]]-orders[[#This Row],[Order Date]]</f>
        <v>5</v>
      </c>
      <c r="N924" s="1">
        <f>WEEKNUM(orders[[#This Row],[Order Date]])</f>
        <v>6</v>
      </c>
      <c r="O924" s="1"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s="1">
        <v>95.699999999999989</v>
      </c>
      <c r="F925" s="2">
        <v>45694</v>
      </c>
      <c r="G925" s="2">
        <v>45696</v>
      </c>
      <c r="H925" s="1" t="s">
        <v>27</v>
      </c>
      <c r="I925" s="1" t="s">
        <v>40</v>
      </c>
      <c r="J925" s="1">
        <v>5</v>
      </c>
      <c r="K925" s="1" t="s">
        <v>19</v>
      </c>
      <c r="L925" s="1" t="s">
        <v>33</v>
      </c>
      <c r="M925" s="1">
        <f>orders[[#This Row],[Ship Date]]-orders[[#This Row],[Order Date]]</f>
        <v>2</v>
      </c>
      <c r="N925" s="1">
        <f>WEEKNUM(orders[[#This Row],[Order Date]])</f>
        <v>6</v>
      </c>
      <c r="O925" s="1"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s="1">
        <v>40.799999999999997</v>
      </c>
      <c r="F926" s="2">
        <v>45694</v>
      </c>
      <c r="G926" s="2">
        <v>45698</v>
      </c>
      <c r="H926" s="1" t="s">
        <v>23</v>
      </c>
      <c r="I926" s="1" t="s">
        <v>51</v>
      </c>
      <c r="J926" s="1">
        <v>5</v>
      </c>
      <c r="K926" s="1" t="s">
        <v>19</v>
      </c>
      <c r="L926" s="1" t="s">
        <v>33</v>
      </c>
      <c r="M926" s="1">
        <f>orders[[#This Row],[Ship Date]]-orders[[#This Row],[Order Date]]</f>
        <v>4</v>
      </c>
      <c r="N926" s="1">
        <f>WEEKNUM(orders[[#This Row],[Order Date]])</f>
        <v>6</v>
      </c>
      <c r="O926" s="1"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s="1">
        <v>37.200000000000003</v>
      </c>
      <c r="F927" s="2">
        <v>45694</v>
      </c>
      <c r="G927" s="2">
        <v>45696</v>
      </c>
      <c r="H927" s="1" t="s">
        <v>17</v>
      </c>
      <c r="I927" s="1" t="s">
        <v>18</v>
      </c>
      <c r="J927" s="1">
        <v>3</v>
      </c>
      <c r="K927" s="1" t="s">
        <v>19</v>
      </c>
      <c r="L927" s="1" t="s">
        <v>33</v>
      </c>
      <c r="M927" s="1">
        <f>orders[[#This Row],[Ship Date]]-orders[[#This Row],[Order Date]]</f>
        <v>2</v>
      </c>
      <c r="N927" s="1">
        <f>WEEKNUM(orders[[#This Row],[Order Date]])</f>
        <v>6</v>
      </c>
      <c r="O927" s="1"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s="1">
        <v>241.5</v>
      </c>
      <c r="F928" s="2">
        <v>45694</v>
      </c>
      <c r="G928" s="2">
        <v>45696</v>
      </c>
      <c r="H928" s="1" t="s">
        <v>27</v>
      </c>
      <c r="I928" s="1" t="s">
        <v>35</v>
      </c>
      <c r="J928" s="1">
        <v>4</v>
      </c>
      <c r="K928" s="1" t="s">
        <v>19</v>
      </c>
      <c r="L928" s="1" t="s">
        <v>33</v>
      </c>
      <c r="M928" s="1">
        <f>orders[[#This Row],[Ship Date]]-orders[[#This Row],[Order Date]]</f>
        <v>2</v>
      </c>
      <c r="N928" s="1">
        <f>WEEKNUM(orders[[#This Row],[Order Date]])</f>
        <v>6</v>
      </c>
      <c r="O928" s="1"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s="1">
        <v>110.8</v>
      </c>
      <c r="F929" s="2">
        <v>45694</v>
      </c>
      <c r="G929" s="2">
        <v>45696</v>
      </c>
      <c r="H929" s="1" t="s">
        <v>27</v>
      </c>
      <c r="I929" s="1" t="s">
        <v>18</v>
      </c>
      <c r="J929" s="1">
        <v>4</v>
      </c>
      <c r="K929" s="1" t="s">
        <v>19</v>
      </c>
      <c r="L929" s="1" t="s">
        <v>33</v>
      </c>
      <c r="M929" s="1">
        <f>orders[[#This Row],[Ship Date]]-orders[[#This Row],[Order Date]]</f>
        <v>2</v>
      </c>
      <c r="N929" s="1">
        <f>WEEKNUM(orders[[#This Row],[Order Date]])</f>
        <v>6</v>
      </c>
      <c r="O929" s="1"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s="1">
        <v>112.5</v>
      </c>
      <c r="F930" s="2">
        <v>45694</v>
      </c>
      <c r="G930" s="2">
        <v>45696</v>
      </c>
      <c r="H930" s="1" t="s">
        <v>27</v>
      </c>
      <c r="I930" s="1" t="s">
        <v>70</v>
      </c>
      <c r="J930" s="1">
        <v>5</v>
      </c>
      <c r="K930" s="1" t="s">
        <v>19</v>
      </c>
      <c r="L930" s="1" t="s">
        <v>33</v>
      </c>
      <c r="M930" s="1">
        <f>orders[[#This Row],[Ship Date]]-orders[[#This Row],[Order Date]]</f>
        <v>2</v>
      </c>
      <c r="N930" s="1">
        <f>WEEKNUM(orders[[#This Row],[Order Date]])</f>
        <v>6</v>
      </c>
      <c r="O930" s="1"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s="1">
        <v>108</v>
      </c>
      <c r="F931" s="2">
        <v>45694</v>
      </c>
      <c r="G931" s="2">
        <v>45702</v>
      </c>
      <c r="H931" s="1" t="s">
        <v>27</v>
      </c>
      <c r="I931" s="1" t="s">
        <v>18</v>
      </c>
      <c r="J931" s="1">
        <v>3</v>
      </c>
      <c r="K931" s="1" t="s">
        <v>19</v>
      </c>
      <c r="L931" s="1" t="s">
        <v>33</v>
      </c>
      <c r="M931" s="1">
        <f>orders[[#This Row],[Ship Date]]-orders[[#This Row],[Order Date]]</f>
        <v>8</v>
      </c>
      <c r="N931" s="1">
        <f>WEEKNUM(orders[[#This Row],[Order Date]])</f>
        <v>6</v>
      </c>
      <c r="O931" s="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s="1">
        <v>184.1</v>
      </c>
      <c r="F932" s="2">
        <v>45694</v>
      </c>
      <c r="G932" s="2">
        <v>45694</v>
      </c>
      <c r="H932" s="1" t="s">
        <v>27</v>
      </c>
      <c r="I932" s="1" t="s">
        <v>40</v>
      </c>
      <c r="J932" s="1">
        <v>3</v>
      </c>
      <c r="K932" s="1" t="s">
        <v>19</v>
      </c>
      <c r="L932" s="1" t="s">
        <v>33</v>
      </c>
      <c r="M932" s="1">
        <f>orders[[#This Row],[Ship Date]]-orders[[#This Row],[Order Date]]</f>
        <v>0</v>
      </c>
      <c r="N932" s="1">
        <f>WEEKNUM(orders[[#This Row],[Order Date]])</f>
        <v>6</v>
      </c>
      <c r="O932" s="1"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s="1">
        <v>721</v>
      </c>
      <c r="F933" s="2">
        <v>45695</v>
      </c>
      <c r="G933" s="2">
        <v>45696</v>
      </c>
      <c r="H933" s="1" t="s">
        <v>23</v>
      </c>
      <c r="I933" s="1" t="s">
        <v>18</v>
      </c>
      <c r="J933" s="1">
        <v>5</v>
      </c>
      <c r="K933" s="1" t="s">
        <v>19</v>
      </c>
      <c r="L933" s="1" t="s">
        <v>55</v>
      </c>
      <c r="M933" s="1">
        <f>orders[[#This Row],[Ship Date]]-orders[[#This Row],[Order Date]]</f>
        <v>1</v>
      </c>
      <c r="N933" s="1">
        <f>WEEKNUM(orders[[#This Row],[Order Date]])</f>
        <v>6</v>
      </c>
      <c r="O933" s="1"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s="1">
        <v>699</v>
      </c>
      <c r="F934" s="2">
        <v>45695</v>
      </c>
      <c r="G934" s="2">
        <v>45696</v>
      </c>
      <c r="H934" s="1" t="s">
        <v>27</v>
      </c>
      <c r="I934" s="1" t="s">
        <v>18</v>
      </c>
      <c r="J934" s="1">
        <v>3</v>
      </c>
      <c r="K934" s="1" t="s">
        <v>19</v>
      </c>
      <c r="L934" s="1" t="s">
        <v>55</v>
      </c>
      <c r="M934" s="1">
        <f>orders[[#This Row],[Ship Date]]-orders[[#This Row],[Order Date]]</f>
        <v>1</v>
      </c>
      <c r="N934" s="1">
        <f>WEEKNUM(orders[[#This Row],[Order Date]])</f>
        <v>6</v>
      </c>
      <c r="O934" s="1"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s="1">
        <v>161</v>
      </c>
      <c r="F935" s="2">
        <v>45695</v>
      </c>
      <c r="G935" s="2">
        <v>45698</v>
      </c>
      <c r="H935" s="1" t="s">
        <v>27</v>
      </c>
      <c r="I935" s="1" t="s">
        <v>18</v>
      </c>
      <c r="J935" s="1">
        <v>5</v>
      </c>
      <c r="K935" s="1" t="s">
        <v>19</v>
      </c>
      <c r="L935" s="1" t="s">
        <v>342</v>
      </c>
      <c r="M935" s="1">
        <f>orders[[#This Row],[Ship Date]]-orders[[#This Row],[Order Date]]</f>
        <v>3</v>
      </c>
      <c r="N935" s="1">
        <f>WEEKNUM(orders[[#This Row],[Order Date]])</f>
        <v>6</v>
      </c>
      <c r="O935" s="1"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s="1">
        <v>66</v>
      </c>
      <c r="F936" s="2">
        <v>45695</v>
      </c>
      <c r="G936" s="2">
        <v>45702</v>
      </c>
      <c r="H936" s="1" t="s">
        <v>23</v>
      </c>
      <c r="I936" s="1" t="s">
        <v>35</v>
      </c>
      <c r="J936" s="1">
        <v>4</v>
      </c>
      <c r="K936" s="1" t="s">
        <v>19</v>
      </c>
      <c r="L936" s="1" t="s">
        <v>59</v>
      </c>
      <c r="M936" s="1">
        <f>orders[[#This Row],[Ship Date]]-orders[[#This Row],[Order Date]]</f>
        <v>7</v>
      </c>
      <c r="N936" s="1">
        <f>WEEKNUM(orders[[#This Row],[Order Date]])</f>
        <v>6</v>
      </c>
      <c r="O936" s="1" t="str" cm="1">
        <f t="array" ref="O936">_xlfn.IFS(orders[[#This Row],[Customer Gender]]="M","Male", orders[[#This Row],[Customer Gender]]="F","Female", orders[[#This Row],[Customer Gender]]="O","Other", TRUE,"Unknown")</f>
        <v>Male</v>
      </c>
    </row>
    <row r="937" spans="1:15" x14ac:dyDescent="0.3">
      <c r="A937" t="s">
        <v>1033</v>
      </c>
      <c r="B937" t="s">
        <v>16</v>
      </c>
      <c r="C937">
        <v>2</v>
      </c>
      <c r="D937">
        <v>25.2</v>
      </c>
      <c r="E937" s="1">
        <v>50.4</v>
      </c>
      <c r="F937" s="2">
        <v>45695</v>
      </c>
      <c r="G937" s="2">
        <v>45699</v>
      </c>
      <c r="H937" s="1" t="s">
        <v>27</v>
      </c>
      <c r="I937" s="1" t="s">
        <v>18</v>
      </c>
      <c r="J937" s="1">
        <v>4</v>
      </c>
      <c r="K937" s="1" t="s">
        <v>19</v>
      </c>
      <c r="L937" s="1" t="s">
        <v>59</v>
      </c>
      <c r="M937" s="1">
        <f>orders[[#This Row],[Ship Date]]-orders[[#This Row],[Order Date]]</f>
        <v>4</v>
      </c>
      <c r="N937" s="1">
        <f>WEEKNUM(orders[[#This Row],[Order Date]])</f>
        <v>6</v>
      </c>
      <c r="O937" s="1"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s="1">
        <v>412.20000000000005</v>
      </c>
      <c r="F938" s="2">
        <v>45695</v>
      </c>
      <c r="G938" s="2">
        <v>45697</v>
      </c>
      <c r="H938" s="1" t="s">
        <v>23</v>
      </c>
      <c r="I938" s="1" t="s">
        <v>70</v>
      </c>
      <c r="J938" s="1">
        <v>4</v>
      </c>
      <c r="K938" s="1" t="s">
        <v>19</v>
      </c>
      <c r="L938" s="1" t="s">
        <v>62</v>
      </c>
      <c r="M938" s="1">
        <f>orders[[#This Row],[Ship Date]]-orders[[#This Row],[Order Date]]</f>
        <v>2</v>
      </c>
      <c r="N938" s="1">
        <f>WEEKNUM(orders[[#This Row],[Order Date]])</f>
        <v>6</v>
      </c>
      <c r="O938" s="1" t="str" cm="1">
        <f t="array" ref="O938">_xlfn.IFS(orders[[#This Row],[Customer Gender]]="M","Male", orders[[#This Row],[Customer Gender]]="F","Female", orders[[#This Row],[Customer Gender]]="O","Other", TRUE,"Unknown")</f>
        <v>Male</v>
      </c>
    </row>
    <row r="939" spans="1:15" x14ac:dyDescent="0.3">
      <c r="A939" t="s">
        <v>1035</v>
      </c>
      <c r="B939" t="s">
        <v>16</v>
      </c>
      <c r="C939">
        <v>3</v>
      </c>
      <c r="D939">
        <v>22.2</v>
      </c>
      <c r="E939" s="1">
        <v>66.599999999999994</v>
      </c>
      <c r="F939" s="2">
        <v>45695</v>
      </c>
      <c r="G939" s="2">
        <v>45698</v>
      </c>
      <c r="H939" s="1" t="s">
        <v>23</v>
      </c>
      <c r="I939" s="1" t="s">
        <v>40</v>
      </c>
      <c r="J939" s="1">
        <v>5</v>
      </c>
      <c r="K939" s="1" t="s">
        <v>19</v>
      </c>
      <c r="L939" s="1" t="s">
        <v>62</v>
      </c>
      <c r="M939" s="1">
        <f>orders[[#This Row],[Ship Date]]-orders[[#This Row],[Order Date]]</f>
        <v>3</v>
      </c>
      <c r="N939" s="1">
        <f>WEEKNUM(orders[[#This Row],[Order Date]])</f>
        <v>6</v>
      </c>
      <c r="O939" s="1" t="str" cm="1">
        <f t="array" ref="O939">_xlfn.IFS(orders[[#This Row],[Customer Gender]]="M","Male", orders[[#This Row],[Customer Gender]]="F","Female", orders[[#This Row],[Customer Gender]]="O","Other", TRUE,"Unknown")</f>
        <v>Male</v>
      </c>
    </row>
    <row r="940" spans="1:15" x14ac:dyDescent="0.3">
      <c r="A940" t="s">
        <v>1036</v>
      </c>
      <c r="B940" t="s">
        <v>22</v>
      </c>
      <c r="C940">
        <v>7</v>
      </c>
      <c r="D940">
        <v>36</v>
      </c>
      <c r="E940" s="1">
        <v>252</v>
      </c>
      <c r="F940" s="2">
        <v>45695</v>
      </c>
      <c r="G940" s="2">
        <v>45696</v>
      </c>
      <c r="H940" s="1" t="s">
        <v>27</v>
      </c>
      <c r="I940" s="1" t="s">
        <v>35</v>
      </c>
      <c r="J940" s="1">
        <v>4</v>
      </c>
      <c r="K940" s="1" t="s">
        <v>19</v>
      </c>
      <c r="L940" s="1" t="s">
        <v>62</v>
      </c>
      <c r="M940" s="1">
        <f>orders[[#This Row],[Ship Date]]-orders[[#This Row],[Order Date]]</f>
        <v>1</v>
      </c>
      <c r="N940" s="1">
        <f>WEEKNUM(orders[[#This Row],[Order Date]])</f>
        <v>6</v>
      </c>
      <c r="O940" s="1"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s="1">
        <v>50.6</v>
      </c>
      <c r="F941" s="2">
        <v>45695</v>
      </c>
      <c r="G941" s="2">
        <v>45697</v>
      </c>
      <c r="H941" s="1" t="s">
        <v>27</v>
      </c>
      <c r="I941" s="1" t="s">
        <v>18</v>
      </c>
      <c r="J941" s="1">
        <v>3</v>
      </c>
      <c r="K941" s="1" t="s">
        <v>19</v>
      </c>
      <c r="L941" s="1" t="s">
        <v>62</v>
      </c>
      <c r="M941" s="1">
        <f>orders[[#This Row],[Ship Date]]-orders[[#This Row],[Order Date]]</f>
        <v>2</v>
      </c>
      <c r="N941" s="1">
        <f>WEEKNUM(orders[[#This Row],[Order Date]])</f>
        <v>6</v>
      </c>
      <c r="O941" s="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s="1">
        <v>89.8</v>
      </c>
      <c r="F942" s="2">
        <v>45695</v>
      </c>
      <c r="G942" s="2">
        <v>45697</v>
      </c>
      <c r="H942" s="1" t="s">
        <v>23</v>
      </c>
      <c r="I942" s="1" t="s">
        <v>18</v>
      </c>
      <c r="J942" s="1">
        <v>3</v>
      </c>
      <c r="K942" s="1" t="s">
        <v>19</v>
      </c>
      <c r="L942" s="1" t="s">
        <v>62</v>
      </c>
      <c r="M942" s="1">
        <f>orders[[#This Row],[Ship Date]]-orders[[#This Row],[Order Date]]</f>
        <v>2</v>
      </c>
      <c r="N942" s="1">
        <f>WEEKNUM(orders[[#This Row],[Order Date]])</f>
        <v>6</v>
      </c>
      <c r="O942" s="1"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s="1">
        <v>214.79999999999998</v>
      </c>
      <c r="F943" s="2">
        <v>45695</v>
      </c>
      <c r="G943" s="2">
        <v>45699</v>
      </c>
      <c r="H943" s="1" t="s">
        <v>23</v>
      </c>
      <c r="I943" s="1" t="s">
        <v>35</v>
      </c>
      <c r="J943" s="1">
        <v>5</v>
      </c>
      <c r="K943" s="1" t="s">
        <v>19</v>
      </c>
      <c r="L943" s="1" t="s">
        <v>74</v>
      </c>
      <c r="M943" s="1">
        <f>orders[[#This Row],[Ship Date]]-orders[[#This Row],[Order Date]]</f>
        <v>4</v>
      </c>
      <c r="N943" s="1">
        <f>WEEKNUM(orders[[#This Row],[Order Date]])</f>
        <v>6</v>
      </c>
      <c r="O943" s="1" t="str" cm="1">
        <f t="array" ref="O943">_xlfn.IFS(orders[[#This Row],[Customer Gender]]="M","Male", orders[[#This Row],[Customer Gender]]="F","Female", orders[[#This Row],[Customer Gender]]="O","Other", TRUE,"Unknown")</f>
        <v>Male</v>
      </c>
    </row>
    <row r="944" spans="1:15" x14ac:dyDescent="0.3">
      <c r="A944" t="s">
        <v>1040</v>
      </c>
      <c r="B944" t="s">
        <v>39</v>
      </c>
      <c r="C944">
        <v>6</v>
      </c>
      <c r="D944">
        <v>51.5</v>
      </c>
      <c r="E944" s="1">
        <v>309</v>
      </c>
      <c r="F944" s="2">
        <v>45695</v>
      </c>
      <c r="G944" s="2">
        <v>45697</v>
      </c>
      <c r="H944" s="1" t="s">
        <v>17</v>
      </c>
      <c r="I944" s="1" t="s">
        <v>70</v>
      </c>
      <c r="J944" s="1">
        <v>4</v>
      </c>
      <c r="K944" s="1" t="s">
        <v>19</v>
      </c>
      <c r="L944" s="1" t="s">
        <v>77</v>
      </c>
      <c r="M944" s="1">
        <f>orders[[#This Row],[Ship Date]]-orders[[#This Row],[Order Date]]</f>
        <v>2</v>
      </c>
      <c r="N944" s="1">
        <f>WEEKNUM(orders[[#This Row],[Order Date]])</f>
        <v>6</v>
      </c>
      <c r="O944" s="1"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s="1">
        <v>277.5</v>
      </c>
      <c r="F945" s="2">
        <v>45695</v>
      </c>
      <c r="G945" s="2">
        <v>45696</v>
      </c>
      <c r="H945" s="1" t="s">
        <v>23</v>
      </c>
      <c r="I945" s="1" t="s">
        <v>35</v>
      </c>
      <c r="J945" s="1">
        <v>3</v>
      </c>
      <c r="K945" s="1" t="s">
        <v>19</v>
      </c>
      <c r="L945" s="1" t="s">
        <v>77</v>
      </c>
      <c r="M945" s="1">
        <f>orders[[#This Row],[Ship Date]]-orders[[#This Row],[Order Date]]</f>
        <v>1</v>
      </c>
      <c r="N945" s="1">
        <f>WEEKNUM(orders[[#This Row],[Order Date]])</f>
        <v>6</v>
      </c>
      <c r="O945" s="1" t="str" cm="1">
        <f t="array" ref="O945">_xlfn.IFS(orders[[#This Row],[Customer Gender]]="M","Male", orders[[#This Row],[Customer Gender]]="F","Female", orders[[#This Row],[Customer Gender]]="O","Other", TRUE,"Unknown")</f>
        <v>Male</v>
      </c>
    </row>
    <row r="946" spans="1:15" x14ac:dyDescent="0.3">
      <c r="A946" t="s">
        <v>1042</v>
      </c>
      <c r="B946" t="s">
        <v>39</v>
      </c>
      <c r="C946">
        <v>1</v>
      </c>
      <c r="D946">
        <v>51.7</v>
      </c>
      <c r="E946" s="1">
        <v>51.7</v>
      </c>
      <c r="F946" s="2">
        <v>45695</v>
      </c>
      <c r="G946" s="2">
        <v>45709</v>
      </c>
      <c r="H946" s="1" t="s">
        <v>23</v>
      </c>
      <c r="I946" s="1" t="s">
        <v>40</v>
      </c>
      <c r="J946" s="1">
        <v>4</v>
      </c>
      <c r="K946" s="1" t="s">
        <v>19</v>
      </c>
      <c r="L946" s="1" t="s">
        <v>110</v>
      </c>
      <c r="M946" s="1">
        <f>orders[[#This Row],[Ship Date]]-orders[[#This Row],[Order Date]]</f>
        <v>14</v>
      </c>
      <c r="N946" s="1">
        <f>WEEKNUM(orders[[#This Row],[Order Date]])</f>
        <v>6</v>
      </c>
      <c r="O946" s="1"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s="1">
        <v>955.5</v>
      </c>
      <c r="F947" s="2">
        <v>45695</v>
      </c>
      <c r="G947" s="2">
        <v>45696</v>
      </c>
      <c r="H947" s="1" t="s">
        <v>27</v>
      </c>
      <c r="I947" s="1" t="s">
        <v>51</v>
      </c>
      <c r="J947" s="1">
        <v>5</v>
      </c>
      <c r="K947" s="1" t="s">
        <v>19</v>
      </c>
      <c r="L947" s="1" t="s">
        <v>110</v>
      </c>
      <c r="M947" s="1">
        <f>orders[[#This Row],[Ship Date]]-orders[[#This Row],[Order Date]]</f>
        <v>1</v>
      </c>
      <c r="N947" s="1">
        <f>WEEKNUM(orders[[#This Row],[Order Date]])</f>
        <v>6</v>
      </c>
      <c r="O947" s="1"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s="1">
        <v>67.599999999999994</v>
      </c>
      <c r="F948" s="2">
        <v>45695</v>
      </c>
      <c r="G948" s="2">
        <v>45701</v>
      </c>
      <c r="H948" s="1" t="s">
        <v>27</v>
      </c>
      <c r="I948" s="1" t="s">
        <v>51</v>
      </c>
      <c r="J948" s="1">
        <v>4</v>
      </c>
      <c r="K948" s="1" t="s">
        <v>19</v>
      </c>
      <c r="L948" s="1" t="s">
        <v>113</v>
      </c>
      <c r="M948" s="1">
        <f>orders[[#This Row],[Ship Date]]-orders[[#This Row],[Order Date]]</f>
        <v>6</v>
      </c>
      <c r="N948" s="1">
        <f>WEEKNUM(orders[[#This Row],[Order Date]])</f>
        <v>6</v>
      </c>
      <c r="O948" s="1"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s="1">
        <v>229.5</v>
      </c>
      <c r="F949" s="2">
        <v>45695</v>
      </c>
      <c r="G949" s="2">
        <v>45696</v>
      </c>
      <c r="H949" s="1" t="s">
        <v>27</v>
      </c>
      <c r="I949" s="1" t="s">
        <v>18</v>
      </c>
      <c r="J949" s="1">
        <v>3</v>
      </c>
      <c r="K949" s="1" t="s">
        <v>19</v>
      </c>
      <c r="L949" s="1" t="s">
        <v>115</v>
      </c>
      <c r="M949" s="1">
        <f>orders[[#This Row],[Ship Date]]-orders[[#This Row],[Order Date]]</f>
        <v>1</v>
      </c>
      <c r="N949" s="1">
        <f>WEEKNUM(orders[[#This Row],[Order Date]])</f>
        <v>6</v>
      </c>
      <c r="O949" s="1"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s="1">
        <v>127.80000000000001</v>
      </c>
      <c r="F950" s="2">
        <v>45695</v>
      </c>
      <c r="G950" s="2">
        <v>45701</v>
      </c>
      <c r="H950" s="1" t="s">
        <v>27</v>
      </c>
      <c r="I950" s="1" t="s">
        <v>40</v>
      </c>
      <c r="J950" s="1">
        <v>5</v>
      </c>
      <c r="K950" s="1" t="s">
        <v>19</v>
      </c>
      <c r="L950" s="1" t="s">
        <v>28</v>
      </c>
      <c r="M950" s="1">
        <f>orders[[#This Row],[Ship Date]]-orders[[#This Row],[Order Date]]</f>
        <v>6</v>
      </c>
      <c r="N950" s="1">
        <f>WEEKNUM(orders[[#This Row],[Order Date]])</f>
        <v>6</v>
      </c>
      <c r="O950" s="1"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s="1">
        <v>132.30000000000001</v>
      </c>
      <c r="F951" s="2">
        <v>45695</v>
      </c>
      <c r="G951" s="2">
        <v>45697</v>
      </c>
      <c r="H951" s="1" t="s">
        <v>27</v>
      </c>
      <c r="I951" s="1" t="s">
        <v>35</v>
      </c>
      <c r="J951" s="1">
        <v>3</v>
      </c>
      <c r="K951" s="1" t="s">
        <v>19</v>
      </c>
      <c r="L951" s="1" t="s">
        <v>147</v>
      </c>
      <c r="M951" s="1">
        <f>orders[[#This Row],[Ship Date]]-orders[[#This Row],[Order Date]]</f>
        <v>2</v>
      </c>
      <c r="N951" s="1">
        <f>WEEKNUM(orders[[#This Row],[Order Date]])</f>
        <v>6</v>
      </c>
      <c r="O951" s="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s="1">
        <v>81.8</v>
      </c>
      <c r="F952" s="2">
        <v>45695</v>
      </c>
      <c r="G952" s="2">
        <v>45699</v>
      </c>
      <c r="H952" s="1" t="s">
        <v>23</v>
      </c>
      <c r="I952" s="1" t="s">
        <v>18</v>
      </c>
      <c r="J952" s="1">
        <v>4</v>
      </c>
      <c r="K952" s="1" t="s">
        <v>19</v>
      </c>
      <c r="L952" s="1" t="s">
        <v>33</v>
      </c>
      <c r="M952" s="1">
        <f>orders[[#This Row],[Ship Date]]-orders[[#This Row],[Order Date]]</f>
        <v>4</v>
      </c>
      <c r="N952" s="1">
        <f>WEEKNUM(orders[[#This Row],[Order Date]])</f>
        <v>6</v>
      </c>
      <c r="O952" s="1" t="str" cm="1">
        <f t="array" ref="O952">_xlfn.IFS(orders[[#This Row],[Customer Gender]]="M","Male", orders[[#This Row],[Customer Gender]]="F","Female", orders[[#This Row],[Customer Gender]]="O","Other", TRUE,"Unknown")</f>
        <v>Male</v>
      </c>
    </row>
    <row r="953" spans="1:15" x14ac:dyDescent="0.3">
      <c r="A953" t="s">
        <v>1049</v>
      </c>
      <c r="B953" t="s">
        <v>46</v>
      </c>
      <c r="C953">
        <v>3</v>
      </c>
      <c r="D953">
        <v>49.1</v>
      </c>
      <c r="E953" s="1">
        <v>147.30000000000001</v>
      </c>
      <c r="F953" s="2">
        <v>45695</v>
      </c>
      <c r="G953" s="2">
        <v>45699</v>
      </c>
      <c r="H953" s="1" t="s">
        <v>27</v>
      </c>
      <c r="I953" s="1" t="s">
        <v>51</v>
      </c>
      <c r="J953" s="1">
        <v>3</v>
      </c>
      <c r="K953" s="1" t="s">
        <v>19</v>
      </c>
      <c r="L953" s="1" t="s">
        <v>33</v>
      </c>
      <c r="M953" s="1">
        <f>orders[[#This Row],[Ship Date]]-orders[[#This Row],[Order Date]]</f>
        <v>4</v>
      </c>
      <c r="N953" s="1">
        <f>WEEKNUM(orders[[#This Row],[Order Date]])</f>
        <v>6</v>
      </c>
      <c r="O953" s="1"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s="1">
        <v>85.3</v>
      </c>
      <c r="F954" s="2">
        <v>45695</v>
      </c>
      <c r="G954" s="2">
        <v>45699</v>
      </c>
      <c r="H954" s="1" t="s">
        <v>23</v>
      </c>
      <c r="I954" s="1" t="s">
        <v>35</v>
      </c>
      <c r="J954" s="1">
        <v>3</v>
      </c>
      <c r="K954" s="1" t="s">
        <v>19</v>
      </c>
      <c r="L954" s="1" t="s">
        <v>33</v>
      </c>
      <c r="M954" s="1">
        <f>orders[[#This Row],[Ship Date]]-orders[[#This Row],[Order Date]]</f>
        <v>4</v>
      </c>
      <c r="N954" s="1">
        <f>WEEKNUM(orders[[#This Row],[Order Date]])</f>
        <v>6</v>
      </c>
      <c r="O954" s="1" t="str" cm="1">
        <f t="array" ref="O954">_xlfn.IFS(orders[[#This Row],[Customer Gender]]="M","Male", orders[[#This Row],[Customer Gender]]="F","Female", orders[[#This Row],[Customer Gender]]="O","Other", TRUE,"Unknown")</f>
        <v>Male</v>
      </c>
    </row>
    <row r="955" spans="1:15" x14ac:dyDescent="0.3">
      <c r="A955" t="s">
        <v>1051</v>
      </c>
      <c r="B955" t="s">
        <v>39</v>
      </c>
      <c r="C955">
        <v>4</v>
      </c>
      <c r="D955">
        <v>43.1</v>
      </c>
      <c r="E955" s="1">
        <v>172.4</v>
      </c>
      <c r="F955" s="2">
        <v>45696</v>
      </c>
      <c r="G955" s="2">
        <v>45699</v>
      </c>
      <c r="H955" s="1" t="s">
        <v>23</v>
      </c>
      <c r="I955" s="1" t="s">
        <v>18</v>
      </c>
      <c r="J955" s="1">
        <v>4</v>
      </c>
      <c r="K955" s="1" t="s">
        <v>19</v>
      </c>
      <c r="L955" s="1" t="s">
        <v>33</v>
      </c>
      <c r="M955" s="1">
        <f>orders[[#This Row],[Ship Date]]-orders[[#This Row],[Order Date]]</f>
        <v>3</v>
      </c>
      <c r="N955" s="1">
        <f>WEEKNUM(orders[[#This Row],[Order Date]])</f>
        <v>6</v>
      </c>
      <c r="O955" s="1" t="str" cm="1">
        <f t="array" ref="O955">_xlfn.IFS(orders[[#This Row],[Customer Gender]]="M","Male", orders[[#This Row],[Customer Gender]]="F","Female", orders[[#This Row],[Customer Gender]]="O","Other", TRUE,"Unknown")</f>
        <v>Male</v>
      </c>
    </row>
    <row r="956" spans="1:15" x14ac:dyDescent="0.3">
      <c r="A956" t="s">
        <v>1052</v>
      </c>
      <c r="B956" t="s">
        <v>32</v>
      </c>
      <c r="C956">
        <v>4</v>
      </c>
      <c r="D956">
        <v>46.2</v>
      </c>
      <c r="E956" s="1">
        <v>184.8</v>
      </c>
      <c r="F956" s="2">
        <v>45696</v>
      </c>
      <c r="G956" s="2">
        <v>45697</v>
      </c>
      <c r="H956" s="1" t="s">
        <v>23</v>
      </c>
      <c r="I956" s="1" t="s">
        <v>40</v>
      </c>
      <c r="J956" s="1">
        <v>4</v>
      </c>
      <c r="K956" s="1" t="s">
        <v>19</v>
      </c>
      <c r="L956" s="1" t="s">
        <v>33</v>
      </c>
      <c r="M956" s="1">
        <f>orders[[#This Row],[Ship Date]]-orders[[#This Row],[Order Date]]</f>
        <v>1</v>
      </c>
      <c r="N956" s="1">
        <f>WEEKNUM(orders[[#This Row],[Order Date]])</f>
        <v>6</v>
      </c>
      <c r="O956" s="1"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s="1">
        <v>74.400000000000006</v>
      </c>
      <c r="F957" s="2">
        <v>45696</v>
      </c>
      <c r="G957" s="2">
        <v>45698</v>
      </c>
      <c r="H957" s="1" t="s">
        <v>23</v>
      </c>
      <c r="I957" s="1" t="s">
        <v>70</v>
      </c>
      <c r="J957" s="1">
        <v>5</v>
      </c>
      <c r="K957" s="1" t="s">
        <v>19</v>
      </c>
      <c r="L957" s="1" t="s">
        <v>33</v>
      </c>
      <c r="M957" s="1">
        <f>orders[[#This Row],[Ship Date]]-orders[[#This Row],[Order Date]]</f>
        <v>2</v>
      </c>
      <c r="N957" s="1">
        <f>WEEKNUM(orders[[#This Row],[Order Date]])</f>
        <v>6</v>
      </c>
      <c r="O957" s="1"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s="1">
        <v>102.4</v>
      </c>
      <c r="F958" s="2">
        <v>45696</v>
      </c>
      <c r="G958" s="2">
        <v>45697</v>
      </c>
      <c r="H958" s="1" t="s">
        <v>23</v>
      </c>
      <c r="I958" s="1" t="s">
        <v>35</v>
      </c>
      <c r="J958" s="1">
        <v>4</v>
      </c>
      <c r="K958" s="1" t="s">
        <v>19</v>
      </c>
      <c r="L958" s="1" t="s">
        <v>33</v>
      </c>
      <c r="M958" s="1">
        <f>orders[[#This Row],[Ship Date]]-orders[[#This Row],[Order Date]]</f>
        <v>1</v>
      </c>
      <c r="N958" s="1">
        <f>WEEKNUM(orders[[#This Row],[Order Date]])</f>
        <v>6</v>
      </c>
      <c r="O958" s="1" t="str" cm="1">
        <f t="array" ref="O958">_xlfn.IFS(orders[[#This Row],[Customer Gender]]="M","Male", orders[[#This Row],[Customer Gender]]="F","Female", orders[[#This Row],[Customer Gender]]="O","Other", TRUE,"Unknown")</f>
        <v>Male</v>
      </c>
    </row>
    <row r="959" spans="1:15" x14ac:dyDescent="0.3">
      <c r="A959" t="s">
        <v>1055</v>
      </c>
      <c r="B959" t="s">
        <v>81</v>
      </c>
      <c r="C959">
        <v>4</v>
      </c>
      <c r="D959">
        <v>11.8</v>
      </c>
      <c r="E959" s="1">
        <v>47.2</v>
      </c>
      <c r="F959" s="2">
        <v>45696</v>
      </c>
      <c r="G959" s="2">
        <v>45696</v>
      </c>
      <c r="H959" s="1" t="s">
        <v>23</v>
      </c>
      <c r="I959" s="1" t="s">
        <v>40</v>
      </c>
      <c r="J959" s="1">
        <v>4</v>
      </c>
      <c r="K959" s="1" t="s">
        <v>19</v>
      </c>
      <c r="L959" s="1" t="s">
        <v>33</v>
      </c>
      <c r="M959" s="1">
        <f>orders[[#This Row],[Ship Date]]-orders[[#This Row],[Order Date]]</f>
        <v>0</v>
      </c>
      <c r="N959" s="1">
        <f>WEEKNUM(orders[[#This Row],[Order Date]])</f>
        <v>6</v>
      </c>
      <c r="O959" s="1"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s="1">
        <v>1101.5999999999999</v>
      </c>
      <c r="F960" s="2">
        <v>45696</v>
      </c>
      <c r="G960" s="2">
        <v>45697</v>
      </c>
      <c r="H960" s="1" t="s">
        <v>27</v>
      </c>
      <c r="I960" s="1" t="s">
        <v>51</v>
      </c>
      <c r="J960" s="1">
        <v>5</v>
      </c>
      <c r="K960" s="1" t="s">
        <v>19</v>
      </c>
      <c r="L960" s="1" t="s">
        <v>33</v>
      </c>
      <c r="M960" s="1">
        <f>orders[[#This Row],[Ship Date]]-orders[[#This Row],[Order Date]]</f>
        <v>1</v>
      </c>
      <c r="N960" s="1">
        <f>WEEKNUM(orders[[#This Row],[Order Date]])</f>
        <v>6</v>
      </c>
      <c r="O960" s="1"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s="1">
        <v>24.7</v>
      </c>
      <c r="F961" s="2">
        <v>45696</v>
      </c>
      <c r="G961" s="2">
        <v>45698</v>
      </c>
      <c r="H961" s="1" t="s">
        <v>27</v>
      </c>
      <c r="I961" s="1" t="s">
        <v>40</v>
      </c>
      <c r="J961" s="1">
        <v>3</v>
      </c>
      <c r="K961" s="1" t="s">
        <v>19</v>
      </c>
      <c r="L961" s="1" t="s">
        <v>33</v>
      </c>
      <c r="M961" s="1">
        <f>orders[[#This Row],[Ship Date]]-orders[[#This Row],[Order Date]]</f>
        <v>2</v>
      </c>
      <c r="N961" s="1">
        <f>WEEKNUM(orders[[#This Row],[Order Date]])</f>
        <v>6</v>
      </c>
      <c r="O961" s="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s="1">
        <v>154.70000000000002</v>
      </c>
      <c r="F962" s="2">
        <v>45696</v>
      </c>
      <c r="G962" s="2">
        <v>45696</v>
      </c>
      <c r="H962" s="1" t="s">
        <v>27</v>
      </c>
      <c r="I962" s="1" t="s">
        <v>40</v>
      </c>
      <c r="J962" s="1">
        <v>2</v>
      </c>
      <c r="K962" s="1" t="s">
        <v>19</v>
      </c>
      <c r="L962" s="1" t="s">
        <v>33</v>
      </c>
      <c r="M962" s="1">
        <f>orders[[#This Row],[Ship Date]]-orders[[#This Row],[Order Date]]</f>
        <v>0</v>
      </c>
      <c r="N962" s="1">
        <f>WEEKNUM(orders[[#This Row],[Order Date]])</f>
        <v>6</v>
      </c>
      <c r="O962" s="1"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s="1">
        <v>18.100000000000001</v>
      </c>
      <c r="F963" s="2">
        <v>45696</v>
      </c>
      <c r="G963" s="2">
        <v>45700</v>
      </c>
      <c r="H963" s="1" t="s">
        <v>23</v>
      </c>
      <c r="I963" s="1" t="s">
        <v>51</v>
      </c>
      <c r="J963" s="1">
        <v>5</v>
      </c>
      <c r="K963" s="1" t="s">
        <v>19</v>
      </c>
      <c r="L963" s="1" t="s">
        <v>33</v>
      </c>
      <c r="M963" s="1">
        <f>orders[[#This Row],[Ship Date]]-orders[[#This Row],[Order Date]]</f>
        <v>4</v>
      </c>
      <c r="N963" s="1">
        <f>WEEKNUM(orders[[#This Row],[Order Date]])</f>
        <v>6</v>
      </c>
      <c r="O963" s="1"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s="1">
        <v>117.6</v>
      </c>
      <c r="F964" s="2">
        <v>45696</v>
      </c>
      <c r="G964" s="2">
        <v>45699</v>
      </c>
      <c r="H964" s="1" t="s">
        <v>27</v>
      </c>
      <c r="I964" s="1" t="s">
        <v>18</v>
      </c>
      <c r="J964" s="1">
        <v>4</v>
      </c>
      <c r="K964" s="1" t="s">
        <v>19</v>
      </c>
      <c r="L964" s="1" t="s">
        <v>188</v>
      </c>
      <c r="M964" s="1">
        <f>orders[[#This Row],[Ship Date]]-orders[[#This Row],[Order Date]]</f>
        <v>3</v>
      </c>
      <c r="N964" s="1">
        <f>WEEKNUM(orders[[#This Row],[Order Date]])</f>
        <v>6</v>
      </c>
      <c r="O964" s="1"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s="1">
        <v>61.6</v>
      </c>
      <c r="F965" s="2">
        <v>45696</v>
      </c>
      <c r="G965" s="2">
        <v>45697</v>
      </c>
      <c r="H965" s="1" t="s">
        <v>27</v>
      </c>
      <c r="I965" s="1" t="s">
        <v>18</v>
      </c>
      <c r="J965" s="1">
        <v>4</v>
      </c>
      <c r="K965" s="1" t="s">
        <v>19</v>
      </c>
      <c r="L965" s="1" t="s">
        <v>55</v>
      </c>
      <c r="M965" s="1">
        <f>orders[[#This Row],[Ship Date]]-orders[[#This Row],[Order Date]]</f>
        <v>1</v>
      </c>
      <c r="N965" s="1">
        <f>WEEKNUM(orders[[#This Row],[Order Date]])</f>
        <v>6</v>
      </c>
      <c r="O965" s="1"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s="1">
        <v>24</v>
      </c>
      <c r="F966" s="2">
        <v>45696</v>
      </c>
      <c r="G966" s="2">
        <v>45700</v>
      </c>
      <c r="H966" s="1" t="s">
        <v>27</v>
      </c>
      <c r="I966" s="1" t="s">
        <v>18</v>
      </c>
      <c r="J966" s="1">
        <v>4</v>
      </c>
      <c r="K966" s="1" t="s">
        <v>19</v>
      </c>
      <c r="L966" s="1" t="s">
        <v>55</v>
      </c>
      <c r="M966" s="1">
        <f>orders[[#This Row],[Ship Date]]-orders[[#This Row],[Order Date]]</f>
        <v>4</v>
      </c>
      <c r="N966" s="1">
        <f>WEEKNUM(orders[[#This Row],[Order Date]])</f>
        <v>6</v>
      </c>
      <c r="O966" s="1"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s="1">
        <v>54.4</v>
      </c>
      <c r="F967" s="2">
        <v>45696</v>
      </c>
      <c r="G967" s="2">
        <v>45699</v>
      </c>
      <c r="H967" s="1" t="s">
        <v>23</v>
      </c>
      <c r="I967" s="1" t="s">
        <v>40</v>
      </c>
      <c r="J967" s="1">
        <v>4</v>
      </c>
      <c r="K967" s="1" t="s">
        <v>19</v>
      </c>
      <c r="L967" s="1" t="s">
        <v>55</v>
      </c>
      <c r="M967" s="1">
        <f>orders[[#This Row],[Ship Date]]-orders[[#This Row],[Order Date]]</f>
        <v>3</v>
      </c>
      <c r="N967" s="1">
        <f>WEEKNUM(orders[[#This Row],[Order Date]])</f>
        <v>6</v>
      </c>
      <c r="O967" s="1"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s="1">
        <v>17.899999999999999</v>
      </c>
      <c r="F968" s="2">
        <v>45696</v>
      </c>
      <c r="G968" s="2">
        <v>45697</v>
      </c>
      <c r="H968" s="1" t="s">
        <v>23</v>
      </c>
      <c r="I968" s="1" t="s">
        <v>51</v>
      </c>
      <c r="J968" s="1">
        <v>4</v>
      </c>
      <c r="K968" s="1" t="s">
        <v>19</v>
      </c>
      <c r="L968" s="1" t="s">
        <v>55</v>
      </c>
      <c r="M968" s="1">
        <f>orders[[#This Row],[Ship Date]]-orders[[#This Row],[Order Date]]</f>
        <v>1</v>
      </c>
      <c r="N968" s="1">
        <f>WEEKNUM(orders[[#This Row],[Order Date]])</f>
        <v>6</v>
      </c>
      <c r="O968" s="1" t="str" cm="1">
        <f t="array" ref="O968">_xlfn.IFS(orders[[#This Row],[Customer Gender]]="M","Male", orders[[#This Row],[Customer Gender]]="F","Female", orders[[#This Row],[Customer Gender]]="O","Other", TRUE,"Unknown")</f>
        <v>Male</v>
      </c>
    </row>
    <row r="969" spans="1:15" x14ac:dyDescent="0.3">
      <c r="A969" t="s">
        <v>1065</v>
      </c>
      <c r="B969" t="s">
        <v>46</v>
      </c>
      <c r="C969">
        <v>2</v>
      </c>
      <c r="D969">
        <v>38.6</v>
      </c>
      <c r="E969" s="1">
        <v>77.2</v>
      </c>
      <c r="F969" s="2">
        <v>45696</v>
      </c>
      <c r="G969" s="2">
        <v>45700</v>
      </c>
      <c r="H969" s="1" t="s">
        <v>27</v>
      </c>
      <c r="I969" s="1" t="s">
        <v>70</v>
      </c>
      <c r="J969" s="1">
        <v>4</v>
      </c>
      <c r="K969" s="1" t="s">
        <v>19</v>
      </c>
      <c r="L969" s="1" t="s">
        <v>59</v>
      </c>
      <c r="M969" s="1">
        <f>orders[[#This Row],[Ship Date]]-orders[[#This Row],[Order Date]]</f>
        <v>4</v>
      </c>
      <c r="N969" s="1">
        <f>WEEKNUM(orders[[#This Row],[Order Date]])</f>
        <v>6</v>
      </c>
      <c r="O969" s="1"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s="1">
        <v>163.5</v>
      </c>
      <c r="F970" s="2">
        <v>45696</v>
      </c>
      <c r="G970" s="2">
        <v>45697</v>
      </c>
      <c r="H970" s="1" t="s">
        <v>23</v>
      </c>
      <c r="I970" s="1" t="s">
        <v>40</v>
      </c>
      <c r="J970" s="1">
        <v>5</v>
      </c>
      <c r="K970" s="1" t="s">
        <v>19</v>
      </c>
      <c r="L970" s="1" t="s">
        <v>62</v>
      </c>
      <c r="M970" s="1">
        <f>orders[[#This Row],[Ship Date]]-orders[[#This Row],[Order Date]]</f>
        <v>1</v>
      </c>
      <c r="N970" s="1">
        <f>WEEKNUM(orders[[#This Row],[Order Date]])</f>
        <v>6</v>
      </c>
      <c r="O970" s="1"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s="1">
        <v>222.8</v>
      </c>
      <c r="F971" s="2">
        <v>45696</v>
      </c>
      <c r="G971" s="2">
        <v>45697</v>
      </c>
      <c r="H971" s="1" t="s">
        <v>27</v>
      </c>
      <c r="I971" s="1" t="s">
        <v>35</v>
      </c>
      <c r="J971" s="1">
        <v>4</v>
      </c>
      <c r="K971" s="1" t="s">
        <v>19</v>
      </c>
      <c r="L971" s="1" t="s">
        <v>62</v>
      </c>
      <c r="M971" s="1">
        <f>orders[[#This Row],[Ship Date]]-orders[[#This Row],[Order Date]]</f>
        <v>1</v>
      </c>
      <c r="N971" s="1">
        <f>WEEKNUM(orders[[#This Row],[Order Date]])</f>
        <v>6</v>
      </c>
      <c r="O971" s="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s="1">
        <v>481.79999999999995</v>
      </c>
      <c r="F972" s="2">
        <v>45696</v>
      </c>
      <c r="G972" s="2">
        <v>45698</v>
      </c>
      <c r="H972" s="1" t="s">
        <v>27</v>
      </c>
      <c r="I972" s="1" t="s">
        <v>35</v>
      </c>
      <c r="J972" s="1">
        <v>4</v>
      </c>
      <c r="K972" s="1" t="s">
        <v>19</v>
      </c>
      <c r="L972" s="1" t="s">
        <v>62</v>
      </c>
      <c r="M972" s="1">
        <f>orders[[#This Row],[Ship Date]]-orders[[#This Row],[Order Date]]</f>
        <v>2</v>
      </c>
      <c r="N972" s="1">
        <f>WEEKNUM(orders[[#This Row],[Order Date]])</f>
        <v>6</v>
      </c>
      <c r="O972" s="1"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s="1">
        <v>117.8</v>
      </c>
      <c r="F973" s="2">
        <v>45696</v>
      </c>
      <c r="G973" s="2">
        <v>45697</v>
      </c>
      <c r="H973" s="1" t="s">
        <v>23</v>
      </c>
      <c r="I973" s="1" t="s">
        <v>35</v>
      </c>
      <c r="J973" s="1">
        <v>4</v>
      </c>
      <c r="K973" s="1" t="s">
        <v>19</v>
      </c>
      <c r="L973" s="1" t="s">
        <v>62</v>
      </c>
      <c r="M973" s="1">
        <f>orders[[#This Row],[Ship Date]]-orders[[#This Row],[Order Date]]</f>
        <v>1</v>
      </c>
      <c r="N973" s="1">
        <f>WEEKNUM(orders[[#This Row],[Order Date]])</f>
        <v>6</v>
      </c>
      <c r="O973" s="1" t="str" cm="1">
        <f t="array" ref="O973">_xlfn.IFS(orders[[#This Row],[Customer Gender]]="M","Male", orders[[#This Row],[Customer Gender]]="F","Female", orders[[#This Row],[Customer Gender]]="O","Other", TRUE,"Unknown")</f>
        <v>Male</v>
      </c>
    </row>
    <row r="974" spans="1:15" x14ac:dyDescent="0.3">
      <c r="A974" t="s">
        <v>1070</v>
      </c>
      <c r="B974" t="s">
        <v>39</v>
      </c>
      <c r="C974">
        <v>3</v>
      </c>
      <c r="D974">
        <v>51.9</v>
      </c>
      <c r="E974" s="1">
        <v>155.69999999999999</v>
      </c>
      <c r="F974" s="2">
        <v>45696</v>
      </c>
      <c r="G974" s="2">
        <v>45698</v>
      </c>
      <c r="H974" s="1" t="s">
        <v>27</v>
      </c>
      <c r="I974" s="1" t="s">
        <v>35</v>
      </c>
      <c r="J974" s="1">
        <v>2</v>
      </c>
      <c r="K974" s="1" t="s">
        <v>19</v>
      </c>
      <c r="L974" s="1" t="s">
        <v>62</v>
      </c>
      <c r="M974" s="1">
        <f>orders[[#This Row],[Ship Date]]-orders[[#This Row],[Order Date]]</f>
        <v>2</v>
      </c>
      <c r="N974" s="1">
        <f>WEEKNUM(orders[[#This Row],[Order Date]])</f>
        <v>6</v>
      </c>
      <c r="O974" s="1"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s="1">
        <v>150.89999999999998</v>
      </c>
      <c r="F975" s="2">
        <v>45696</v>
      </c>
      <c r="G975" s="2">
        <v>45697</v>
      </c>
      <c r="H975" s="1" t="s">
        <v>23</v>
      </c>
      <c r="I975" s="1" t="s">
        <v>40</v>
      </c>
      <c r="J975" s="1">
        <v>4</v>
      </c>
      <c r="K975" s="1" t="s">
        <v>19</v>
      </c>
      <c r="L975" s="1" t="s">
        <v>103</v>
      </c>
      <c r="M975" s="1">
        <f>orders[[#This Row],[Ship Date]]-orders[[#This Row],[Order Date]]</f>
        <v>1</v>
      </c>
      <c r="N975" s="1">
        <f>WEEKNUM(orders[[#This Row],[Order Date]])</f>
        <v>6</v>
      </c>
      <c r="O975" s="1" t="str" cm="1">
        <f t="array" ref="O975">_xlfn.IFS(orders[[#This Row],[Customer Gender]]="M","Male", orders[[#This Row],[Customer Gender]]="F","Female", orders[[#This Row],[Customer Gender]]="O","Other", TRUE,"Unknown")</f>
        <v>Male</v>
      </c>
    </row>
    <row r="976" spans="1:15" x14ac:dyDescent="0.3">
      <c r="A976" t="s">
        <v>1072</v>
      </c>
      <c r="B976" t="s">
        <v>67</v>
      </c>
      <c r="C976">
        <v>6</v>
      </c>
      <c r="D976">
        <v>45</v>
      </c>
      <c r="E976" s="1">
        <v>270</v>
      </c>
      <c r="F976" s="2">
        <v>45696</v>
      </c>
      <c r="G976" s="2">
        <v>45702</v>
      </c>
      <c r="H976" s="1" t="s">
        <v>27</v>
      </c>
      <c r="I976" s="1" t="s">
        <v>51</v>
      </c>
      <c r="J976" s="1">
        <v>4</v>
      </c>
      <c r="K976" s="1" t="s">
        <v>19</v>
      </c>
      <c r="L976" s="1" t="s">
        <v>72</v>
      </c>
      <c r="M976" s="1">
        <f>orders[[#This Row],[Ship Date]]-orders[[#This Row],[Order Date]]</f>
        <v>6</v>
      </c>
      <c r="N976" s="1">
        <f>WEEKNUM(orders[[#This Row],[Order Date]])</f>
        <v>6</v>
      </c>
      <c r="O976" s="1"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s="1">
        <v>268.20000000000005</v>
      </c>
      <c r="F977" s="2">
        <v>45696</v>
      </c>
      <c r="G977" s="2">
        <v>45698</v>
      </c>
      <c r="H977" s="1" t="s">
        <v>27</v>
      </c>
      <c r="I977" s="1" t="s">
        <v>40</v>
      </c>
      <c r="J977" s="1">
        <v>4</v>
      </c>
      <c r="K977" s="1" t="s">
        <v>19</v>
      </c>
      <c r="L977" s="1" t="s">
        <v>77</v>
      </c>
      <c r="M977" s="1">
        <f>orders[[#This Row],[Ship Date]]-orders[[#This Row],[Order Date]]</f>
        <v>2</v>
      </c>
      <c r="N977" s="1">
        <f>WEEKNUM(orders[[#This Row],[Order Date]])</f>
        <v>6</v>
      </c>
      <c r="O977" s="1"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s="1">
        <v>495</v>
      </c>
      <c r="F978" s="2">
        <v>45696</v>
      </c>
      <c r="G978" s="2">
        <v>45697</v>
      </c>
      <c r="H978" s="1" t="s">
        <v>27</v>
      </c>
      <c r="I978" s="1" t="s">
        <v>40</v>
      </c>
      <c r="J978" s="1">
        <v>4</v>
      </c>
      <c r="K978" s="1" t="s">
        <v>19</v>
      </c>
      <c r="L978" s="1" t="s">
        <v>77</v>
      </c>
      <c r="M978" s="1">
        <f>orders[[#This Row],[Ship Date]]-orders[[#This Row],[Order Date]]</f>
        <v>1</v>
      </c>
      <c r="N978" s="1">
        <f>WEEKNUM(orders[[#This Row],[Order Date]])</f>
        <v>6</v>
      </c>
      <c r="O978" s="1"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s="1">
        <v>224.5</v>
      </c>
      <c r="F979" s="2">
        <v>45696</v>
      </c>
      <c r="G979" s="2">
        <v>45699</v>
      </c>
      <c r="H979" s="1" t="s">
        <v>27</v>
      </c>
      <c r="I979" s="1" t="s">
        <v>40</v>
      </c>
      <c r="J979" s="1">
        <v>5</v>
      </c>
      <c r="K979" s="1" t="s">
        <v>19</v>
      </c>
      <c r="L979" s="1" t="s">
        <v>108</v>
      </c>
      <c r="M979" s="1">
        <f>orders[[#This Row],[Ship Date]]-orders[[#This Row],[Order Date]]</f>
        <v>3</v>
      </c>
      <c r="N979" s="1">
        <f>WEEKNUM(orders[[#This Row],[Order Date]])</f>
        <v>6</v>
      </c>
      <c r="O979" s="1"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s="1">
        <v>69.2</v>
      </c>
      <c r="F980" s="2">
        <v>45696</v>
      </c>
      <c r="G980" s="2">
        <v>45700</v>
      </c>
      <c r="H980" s="1" t="s">
        <v>27</v>
      </c>
      <c r="I980" s="1" t="s">
        <v>18</v>
      </c>
      <c r="J980" s="1">
        <v>3</v>
      </c>
      <c r="K980" s="1" t="s">
        <v>19</v>
      </c>
      <c r="L980" s="1" t="s">
        <v>110</v>
      </c>
      <c r="M980" s="1">
        <f>orders[[#This Row],[Ship Date]]-orders[[#This Row],[Order Date]]</f>
        <v>4</v>
      </c>
      <c r="N980" s="1">
        <f>WEEKNUM(orders[[#This Row],[Order Date]])</f>
        <v>6</v>
      </c>
      <c r="O980" s="1"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s="1">
        <v>329.7</v>
      </c>
      <c r="F981" s="2">
        <v>45696</v>
      </c>
      <c r="G981" s="2">
        <v>45701</v>
      </c>
      <c r="H981" s="1" t="s">
        <v>27</v>
      </c>
      <c r="I981" s="1" t="s">
        <v>18</v>
      </c>
      <c r="J981" s="1">
        <v>4</v>
      </c>
      <c r="K981" s="1" t="s">
        <v>19</v>
      </c>
      <c r="L981" s="1" t="s">
        <v>82</v>
      </c>
      <c r="M981" s="1">
        <f>orders[[#This Row],[Ship Date]]-orders[[#This Row],[Order Date]]</f>
        <v>5</v>
      </c>
      <c r="N981" s="1">
        <f>WEEKNUM(orders[[#This Row],[Order Date]])</f>
        <v>6</v>
      </c>
      <c r="O981" s="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s="1">
        <v>130.5</v>
      </c>
      <c r="F982" s="2">
        <v>45696</v>
      </c>
      <c r="G982" s="2">
        <v>45701</v>
      </c>
      <c r="H982" s="1" t="s">
        <v>23</v>
      </c>
      <c r="I982" s="1" t="s">
        <v>18</v>
      </c>
      <c r="J982" s="1">
        <v>5</v>
      </c>
      <c r="K982" s="1" t="s">
        <v>19</v>
      </c>
      <c r="L982" s="1" t="s">
        <v>115</v>
      </c>
      <c r="M982" s="1">
        <f>orders[[#This Row],[Ship Date]]-orders[[#This Row],[Order Date]]</f>
        <v>5</v>
      </c>
      <c r="N982" s="1">
        <f>WEEKNUM(orders[[#This Row],[Order Date]])</f>
        <v>6</v>
      </c>
      <c r="O982" s="1" t="str" cm="1">
        <f t="array" ref="O982">_xlfn.IFS(orders[[#This Row],[Customer Gender]]="M","Male", orders[[#This Row],[Customer Gender]]="F","Female", orders[[#This Row],[Customer Gender]]="O","Other", TRUE,"Unknown")</f>
        <v>Male</v>
      </c>
    </row>
    <row r="983" spans="1:15" x14ac:dyDescent="0.3">
      <c r="A983" t="s">
        <v>1079</v>
      </c>
      <c r="B983" t="s">
        <v>69</v>
      </c>
      <c r="C983">
        <v>5</v>
      </c>
      <c r="D983">
        <v>66.8</v>
      </c>
      <c r="E983" s="1">
        <v>334</v>
      </c>
      <c r="F983" s="2">
        <v>45696</v>
      </c>
      <c r="G983" s="2">
        <v>45699</v>
      </c>
      <c r="H983" s="1" t="s">
        <v>27</v>
      </c>
      <c r="I983" s="1" t="s">
        <v>18</v>
      </c>
      <c r="J983" s="1">
        <v>4</v>
      </c>
      <c r="K983" s="1" t="s">
        <v>19</v>
      </c>
      <c r="L983" s="1" t="s">
        <v>115</v>
      </c>
      <c r="M983" s="1">
        <f>orders[[#This Row],[Ship Date]]-orders[[#This Row],[Order Date]]</f>
        <v>3</v>
      </c>
      <c r="N983" s="1">
        <f>WEEKNUM(orders[[#This Row],[Order Date]])</f>
        <v>6</v>
      </c>
      <c r="O983" s="1"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s="1">
        <v>335.8</v>
      </c>
      <c r="F984" s="2">
        <v>45696</v>
      </c>
      <c r="G984" s="2">
        <v>45697</v>
      </c>
      <c r="H984" s="1" t="s">
        <v>27</v>
      </c>
      <c r="I984" s="1" t="s">
        <v>51</v>
      </c>
      <c r="J984" s="1">
        <v>5</v>
      </c>
      <c r="K984" s="1" t="s">
        <v>19</v>
      </c>
      <c r="L984" s="1" t="s">
        <v>115</v>
      </c>
      <c r="M984" s="1">
        <f>orders[[#This Row],[Ship Date]]-orders[[#This Row],[Order Date]]</f>
        <v>1</v>
      </c>
      <c r="N984" s="1">
        <f>WEEKNUM(orders[[#This Row],[Order Date]])</f>
        <v>6</v>
      </c>
      <c r="O984" s="1"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s="1">
        <v>311.40000000000003</v>
      </c>
      <c r="F985" s="2">
        <v>45696</v>
      </c>
      <c r="G985" s="2">
        <v>45697</v>
      </c>
      <c r="H985" s="1" t="s">
        <v>27</v>
      </c>
      <c r="I985" s="1" t="s">
        <v>40</v>
      </c>
      <c r="J985" s="1">
        <v>3</v>
      </c>
      <c r="K985" s="1" t="s">
        <v>19</v>
      </c>
      <c r="L985" s="1" t="s">
        <v>115</v>
      </c>
      <c r="M985" s="1">
        <f>orders[[#This Row],[Ship Date]]-orders[[#This Row],[Order Date]]</f>
        <v>1</v>
      </c>
      <c r="N985" s="1">
        <f>WEEKNUM(orders[[#This Row],[Order Date]])</f>
        <v>6</v>
      </c>
      <c r="O985" s="1"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s="1">
        <v>105.30000000000001</v>
      </c>
      <c r="F986" s="2">
        <v>45697</v>
      </c>
      <c r="G986" s="2">
        <v>45701</v>
      </c>
      <c r="H986" s="1" t="s">
        <v>23</v>
      </c>
      <c r="I986" s="1" t="s">
        <v>70</v>
      </c>
      <c r="J986" s="1">
        <v>5</v>
      </c>
      <c r="K986" s="1" t="s">
        <v>19</v>
      </c>
      <c r="L986" s="1" t="s">
        <v>24</v>
      </c>
      <c r="M986" s="1">
        <f>orders[[#This Row],[Ship Date]]-orders[[#This Row],[Order Date]]</f>
        <v>4</v>
      </c>
      <c r="N986" s="1">
        <f>WEEKNUM(orders[[#This Row],[Order Date]])</f>
        <v>7</v>
      </c>
      <c r="O986" s="1"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s="1">
        <v>418</v>
      </c>
      <c r="F987" s="2">
        <v>45697</v>
      </c>
      <c r="G987" s="2">
        <v>45698</v>
      </c>
      <c r="H987" s="1" t="s">
        <v>23</v>
      </c>
      <c r="I987" s="1" t="s">
        <v>35</v>
      </c>
      <c r="J987" s="1">
        <v>3</v>
      </c>
      <c r="K987" s="1" t="s">
        <v>19</v>
      </c>
      <c r="L987" s="1" t="s">
        <v>24</v>
      </c>
      <c r="M987" s="1">
        <f>orders[[#This Row],[Ship Date]]-orders[[#This Row],[Order Date]]</f>
        <v>1</v>
      </c>
      <c r="N987" s="1">
        <f>WEEKNUM(orders[[#This Row],[Order Date]])</f>
        <v>7</v>
      </c>
      <c r="O987" s="1" t="str" cm="1">
        <f t="array" ref="O987">_xlfn.IFS(orders[[#This Row],[Customer Gender]]="M","Male", orders[[#This Row],[Customer Gender]]="F","Female", orders[[#This Row],[Customer Gender]]="O","Other", TRUE,"Unknown")</f>
        <v>Male</v>
      </c>
    </row>
    <row r="988" spans="1:15" x14ac:dyDescent="0.3">
      <c r="A988" t="s">
        <v>1084</v>
      </c>
      <c r="B988" t="s">
        <v>44</v>
      </c>
      <c r="C988">
        <v>1</v>
      </c>
      <c r="D988">
        <v>37.9</v>
      </c>
      <c r="E988" s="1">
        <v>37.9</v>
      </c>
      <c r="F988" s="2">
        <v>45697</v>
      </c>
      <c r="G988" s="2">
        <v>45699</v>
      </c>
      <c r="H988" s="1" t="s">
        <v>17</v>
      </c>
      <c r="I988" s="1" t="s">
        <v>35</v>
      </c>
      <c r="J988" s="1">
        <v>5</v>
      </c>
      <c r="K988" s="1" t="s">
        <v>19</v>
      </c>
      <c r="L988" s="1" t="s">
        <v>28</v>
      </c>
      <c r="M988" s="1">
        <f>orders[[#This Row],[Ship Date]]-orders[[#This Row],[Order Date]]</f>
        <v>2</v>
      </c>
      <c r="N988" s="1">
        <f>WEEKNUM(orders[[#This Row],[Order Date]])</f>
        <v>7</v>
      </c>
      <c r="O988" s="1"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s="1">
        <v>76.5</v>
      </c>
      <c r="F989" s="2">
        <v>45697</v>
      </c>
      <c r="G989" s="2">
        <v>45700</v>
      </c>
      <c r="H989" s="1" t="s">
        <v>23</v>
      </c>
      <c r="I989" s="1" t="s">
        <v>51</v>
      </c>
      <c r="J989" s="1">
        <v>4</v>
      </c>
      <c r="K989" s="1" t="s">
        <v>19</v>
      </c>
      <c r="L989" s="1" t="s">
        <v>28</v>
      </c>
      <c r="M989" s="1">
        <f>orders[[#This Row],[Ship Date]]-orders[[#This Row],[Order Date]]</f>
        <v>3</v>
      </c>
      <c r="N989" s="1">
        <f>WEEKNUM(orders[[#This Row],[Order Date]])</f>
        <v>7</v>
      </c>
      <c r="O989" s="1" t="str" cm="1">
        <f t="array" ref="O989">_xlfn.IFS(orders[[#This Row],[Customer Gender]]="M","Male", orders[[#This Row],[Customer Gender]]="F","Female", orders[[#This Row],[Customer Gender]]="O","Other", TRUE,"Unknown")</f>
        <v>Male</v>
      </c>
    </row>
    <row r="990" spans="1:15" x14ac:dyDescent="0.3">
      <c r="A990" t="s">
        <v>1086</v>
      </c>
      <c r="B990" t="s">
        <v>16</v>
      </c>
      <c r="C990">
        <v>3</v>
      </c>
      <c r="D990">
        <v>32</v>
      </c>
      <c r="E990" s="1">
        <v>96</v>
      </c>
      <c r="F990" s="2">
        <v>45697</v>
      </c>
      <c r="G990" s="2">
        <v>45701</v>
      </c>
      <c r="H990" s="1" t="s">
        <v>27</v>
      </c>
      <c r="I990" s="1" t="s">
        <v>35</v>
      </c>
      <c r="J990" s="1">
        <v>4</v>
      </c>
      <c r="K990" s="1" t="s">
        <v>19</v>
      </c>
      <c r="L990" s="1" t="s">
        <v>147</v>
      </c>
      <c r="M990" s="1">
        <f>orders[[#This Row],[Ship Date]]-orders[[#This Row],[Order Date]]</f>
        <v>4</v>
      </c>
      <c r="N990" s="1">
        <f>WEEKNUM(orders[[#This Row],[Order Date]])</f>
        <v>7</v>
      </c>
      <c r="O990" s="1"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s="1">
        <v>47.1</v>
      </c>
      <c r="F991" s="2">
        <v>45697</v>
      </c>
      <c r="G991" s="2">
        <v>45698</v>
      </c>
      <c r="H991" s="1" t="s">
        <v>27</v>
      </c>
      <c r="I991" s="1" t="s">
        <v>18</v>
      </c>
      <c r="J991" s="1">
        <v>4</v>
      </c>
      <c r="K991" s="1" t="s">
        <v>19</v>
      </c>
      <c r="L991" s="1" t="s">
        <v>334</v>
      </c>
      <c r="M991" s="1">
        <f>orders[[#This Row],[Ship Date]]-orders[[#This Row],[Order Date]]</f>
        <v>1</v>
      </c>
      <c r="N991" s="1">
        <f>WEEKNUM(orders[[#This Row],[Order Date]])</f>
        <v>7</v>
      </c>
      <c r="O991" s="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s="1">
        <v>101.2</v>
      </c>
      <c r="F992" s="2">
        <v>45697</v>
      </c>
      <c r="G992" s="2">
        <v>45703</v>
      </c>
      <c r="H992" s="1" t="s">
        <v>17</v>
      </c>
      <c r="I992" s="1" t="s">
        <v>18</v>
      </c>
      <c r="J992" s="1">
        <v>4</v>
      </c>
      <c r="K992" s="1" t="s">
        <v>19</v>
      </c>
      <c r="L992" s="1" t="s">
        <v>33</v>
      </c>
      <c r="M992" s="1">
        <f>orders[[#This Row],[Ship Date]]-orders[[#This Row],[Order Date]]</f>
        <v>6</v>
      </c>
      <c r="N992" s="1">
        <f>WEEKNUM(orders[[#This Row],[Order Date]])</f>
        <v>7</v>
      </c>
      <c r="O992" s="1"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s="1">
        <v>408.5</v>
      </c>
      <c r="F993" s="2">
        <v>45697</v>
      </c>
      <c r="G993" s="2">
        <v>45698</v>
      </c>
      <c r="H993" s="1" t="s">
        <v>27</v>
      </c>
      <c r="I993" s="1" t="s">
        <v>35</v>
      </c>
      <c r="J993" s="1">
        <v>5</v>
      </c>
      <c r="K993" s="1" t="s">
        <v>19</v>
      </c>
      <c r="L993" s="1" t="s">
        <v>33</v>
      </c>
      <c r="M993" s="1">
        <f>orders[[#This Row],[Ship Date]]-orders[[#This Row],[Order Date]]</f>
        <v>1</v>
      </c>
      <c r="N993" s="1">
        <f>WEEKNUM(orders[[#This Row],[Order Date]])</f>
        <v>7</v>
      </c>
      <c r="O993" s="1"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s="1">
        <v>101.4</v>
      </c>
      <c r="F994" s="2">
        <v>45697</v>
      </c>
      <c r="G994" s="2">
        <v>45698</v>
      </c>
      <c r="H994" s="1" t="s">
        <v>89</v>
      </c>
      <c r="I994" s="1" t="s">
        <v>40</v>
      </c>
      <c r="J994" s="1">
        <v>5</v>
      </c>
      <c r="K994" s="1" t="s">
        <v>19</v>
      </c>
      <c r="L994" s="1" t="s">
        <v>33</v>
      </c>
      <c r="M994" s="1">
        <f>orders[[#This Row],[Ship Date]]-orders[[#This Row],[Order Date]]</f>
        <v>1</v>
      </c>
      <c r="N994" s="1">
        <f>WEEKNUM(orders[[#This Row],[Order Date]])</f>
        <v>7</v>
      </c>
      <c r="O994" s="1"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s="1">
        <v>1278.7</v>
      </c>
      <c r="F995" s="2">
        <v>45697</v>
      </c>
      <c r="G995" s="2">
        <v>45701</v>
      </c>
      <c r="H995" s="1" t="s">
        <v>27</v>
      </c>
      <c r="I995" s="1" t="s">
        <v>40</v>
      </c>
      <c r="J995" s="1">
        <v>4</v>
      </c>
      <c r="K995" s="1" t="s">
        <v>19</v>
      </c>
      <c r="L995" s="1" t="s">
        <v>33</v>
      </c>
      <c r="M995" s="1">
        <f>orders[[#This Row],[Ship Date]]-orders[[#This Row],[Order Date]]</f>
        <v>4</v>
      </c>
      <c r="N995" s="1">
        <f>WEEKNUM(orders[[#This Row],[Order Date]])</f>
        <v>7</v>
      </c>
      <c r="O995" s="1"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s="1">
        <v>259.2</v>
      </c>
      <c r="F996" s="2">
        <v>45697</v>
      </c>
      <c r="G996" s="2">
        <v>45700</v>
      </c>
      <c r="H996" s="1" t="s">
        <v>27</v>
      </c>
      <c r="I996" s="1" t="s">
        <v>51</v>
      </c>
      <c r="J996" s="1">
        <v>4</v>
      </c>
      <c r="K996" s="1" t="s">
        <v>19</v>
      </c>
      <c r="L996" s="1" t="s">
        <v>33</v>
      </c>
      <c r="M996" s="1">
        <f>orders[[#This Row],[Ship Date]]-orders[[#This Row],[Order Date]]</f>
        <v>3</v>
      </c>
      <c r="N996" s="1">
        <f>WEEKNUM(orders[[#This Row],[Order Date]])</f>
        <v>7</v>
      </c>
      <c r="O996" s="1"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s="1">
        <v>1348.6</v>
      </c>
      <c r="F997" s="2">
        <v>45697</v>
      </c>
      <c r="G997" s="2">
        <v>45698</v>
      </c>
      <c r="H997" s="1" t="s">
        <v>27</v>
      </c>
      <c r="I997" s="1" t="s">
        <v>18</v>
      </c>
      <c r="J997" s="1">
        <v>5</v>
      </c>
      <c r="K997" s="1" t="s">
        <v>19</v>
      </c>
      <c r="L997" s="1" t="s">
        <v>33</v>
      </c>
      <c r="M997" s="1">
        <f>orders[[#This Row],[Ship Date]]-orders[[#This Row],[Order Date]]</f>
        <v>1</v>
      </c>
      <c r="N997" s="1">
        <f>WEEKNUM(orders[[#This Row],[Order Date]])</f>
        <v>7</v>
      </c>
      <c r="O997" s="1"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s="1">
        <v>32.9</v>
      </c>
      <c r="F998" s="2">
        <v>45697</v>
      </c>
      <c r="G998" s="2">
        <v>45700</v>
      </c>
      <c r="H998" s="1" t="s">
        <v>27</v>
      </c>
      <c r="I998" s="1" t="s">
        <v>70</v>
      </c>
      <c r="J998" s="1">
        <v>4</v>
      </c>
      <c r="K998" s="1" t="s">
        <v>19</v>
      </c>
      <c r="L998" s="1" t="s">
        <v>33</v>
      </c>
      <c r="M998" s="1">
        <f>orders[[#This Row],[Ship Date]]-orders[[#This Row],[Order Date]]</f>
        <v>3</v>
      </c>
      <c r="N998" s="1">
        <f>WEEKNUM(orders[[#This Row],[Order Date]])</f>
        <v>7</v>
      </c>
      <c r="O998" s="1"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s="1">
        <v>201.6</v>
      </c>
      <c r="F999" s="2">
        <v>45697</v>
      </c>
      <c r="G999" s="2">
        <v>45700</v>
      </c>
      <c r="H999" s="1" t="s">
        <v>27</v>
      </c>
      <c r="I999" s="1" t="s">
        <v>18</v>
      </c>
      <c r="J999" s="1">
        <v>4</v>
      </c>
      <c r="K999" s="1" t="s">
        <v>19</v>
      </c>
      <c r="L999" s="1" t="s">
        <v>33</v>
      </c>
      <c r="M999" s="1">
        <f>orders[[#This Row],[Ship Date]]-orders[[#This Row],[Order Date]]</f>
        <v>3</v>
      </c>
      <c r="N999" s="1">
        <f>WEEKNUM(orders[[#This Row],[Order Date]])</f>
        <v>7</v>
      </c>
      <c r="O999" s="1"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s="1">
        <v>100.4</v>
      </c>
      <c r="F1000" s="2">
        <v>45697</v>
      </c>
      <c r="G1000" s="2">
        <v>45699</v>
      </c>
      <c r="H1000" s="1" t="s">
        <v>27</v>
      </c>
      <c r="I1000" s="1" t="s">
        <v>35</v>
      </c>
      <c r="J1000" s="1">
        <v>4</v>
      </c>
      <c r="K1000" s="1" t="s">
        <v>19</v>
      </c>
      <c r="L1000" s="1" t="s">
        <v>33</v>
      </c>
      <c r="M1000" s="1">
        <f>orders[[#This Row],[Ship Date]]-orders[[#This Row],[Order Date]]</f>
        <v>2</v>
      </c>
      <c r="N1000" s="1">
        <f>WEEKNUM(orders[[#This Row],[Order Date]])</f>
        <v>7</v>
      </c>
      <c r="O1000" s="1"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s="1">
        <v>48.5</v>
      </c>
      <c r="F1001" s="2">
        <v>45697</v>
      </c>
      <c r="G1001" s="2">
        <v>45698</v>
      </c>
      <c r="H1001" s="1" t="s">
        <v>27</v>
      </c>
      <c r="I1001" s="1" t="s">
        <v>18</v>
      </c>
      <c r="J1001" s="1">
        <v>3</v>
      </c>
      <c r="K1001" s="1" t="s">
        <v>19</v>
      </c>
      <c r="L1001" s="1" t="s">
        <v>33</v>
      </c>
      <c r="M1001" s="1">
        <f>orders[[#This Row],[Ship Date]]-orders[[#This Row],[Order Date]]</f>
        <v>1</v>
      </c>
      <c r="N1001" s="1">
        <f>WEEKNUM(orders[[#This Row],[Order Date]])</f>
        <v>7</v>
      </c>
      <c r="O1001" s="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s="1">
        <v>67.2</v>
      </c>
      <c r="F1002" s="2">
        <v>45697</v>
      </c>
      <c r="G1002" s="2">
        <v>45701</v>
      </c>
      <c r="H1002" s="1" t="s">
        <v>27</v>
      </c>
      <c r="I1002" s="1" t="s">
        <v>40</v>
      </c>
      <c r="J1002" s="1">
        <v>5</v>
      </c>
      <c r="K1002" s="1" t="s">
        <v>19</v>
      </c>
      <c r="L1002" s="1" t="s">
        <v>33</v>
      </c>
      <c r="M1002" s="1">
        <f>orders[[#This Row],[Ship Date]]-orders[[#This Row],[Order Date]]</f>
        <v>4</v>
      </c>
      <c r="N1002" s="1">
        <f>WEEKNUM(orders[[#This Row],[Order Date]])</f>
        <v>7</v>
      </c>
      <c r="O1002" s="1"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s="1">
        <v>39.299999999999997</v>
      </c>
      <c r="F1003" s="2">
        <v>45697</v>
      </c>
      <c r="G1003" s="2">
        <v>45708</v>
      </c>
      <c r="H1003" s="1" t="s">
        <v>27</v>
      </c>
      <c r="I1003" s="1" t="s">
        <v>35</v>
      </c>
      <c r="J1003" s="1">
        <v>3</v>
      </c>
      <c r="K1003" s="1" t="s">
        <v>19</v>
      </c>
      <c r="L1003" s="1" t="s">
        <v>802</v>
      </c>
      <c r="M1003" s="1">
        <f>orders[[#This Row],[Ship Date]]-orders[[#This Row],[Order Date]]</f>
        <v>11</v>
      </c>
      <c r="N1003" s="1">
        <f>WEEKNUM(orders[[#This Row],[Order Date]])</f>
        <v>7</v>
      </c>
      <c r="O1003" s="1"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s="1">
        <v>488</v>
      </c>
      <c r="F1004" s="2">
        <v>45697</v>
      </c>
      <c r="G1004" s="2">
        <v>45699</v>
      </c>
      <c r="H1004" s="1" t="s">
        <v>27</v>
      </c>
      <c r="I1004" s="1" t="s">
        <v>51</v>
      </c>
      <c r="J1004" s="1">
        <v>3</v>
      </c>
      <c r="K1004" s="1" t="s">
        <v>19</v>
      </c>
      <c r="L1004" s="1" t="s">
        <v>188</v>
      </c>
      <c r="M1004" s="1">
        <f>orders[[#This Row],[Ship Date]]-orders[[#This Row],[Order Date]]</f>
        <v>2</v>
      </c>
      <c r="N1004" s="1">
        <f>WEEKNUM(orders[[#This Row],[Order Date]])</f>
        <v>7</v>
      </c>
      <c r="O1004" s="1"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s="1">
        <v>582.4</v>
      </c>
      <c r="F1005" s="2">
        <v>45697</v>
      </c>
      <c r="G1005" s="2">
        <v>45699</v>
      </c>
      <c r="H1005" s="1" t="s">
        <v>23</v>
      </c>
      <c r="I1005" s="1" t="s">
        <v>35</v>
      </c>
      <c r="J1005" s="1">
        <v>5</v>
      </c>
      <c r="K1005" s="1" t="s">
        <v>19</v>
      </c>
      <c r="L1005" s="1" t="s">
        <v>52</v>
      </c>
      <c r="M1005" s="1">
        <f>orders[[#This Row],[Ship Date]]-orders[[#This Row],[Order Date]]</f>
        <v>2</v>
      </c>
      <c r="N1005" s="1">
        <f>WEEKNUM(orders[[#This Row],[Order Date]])</f>
        <v>7</v>
      </c>
      <c r="O1005" s="1"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s="1">
        <v>369.6</v>
      </c>
      <c r="F1006" s="2">
        <v>45697</v>
      </c>
      <c r="G1006" s="2">
        <v>45698</v>
      </c>
      <c r="H1006" s="1" t="s">
        <v>23</v>
      </c>
      <c r="I1006" s="1" t="s">
        <v>51</v>
      </c>
      <c r="J1006" s="1">
        <v>2</v>
      </c>
      <c r="K1006" s="1" t="s">
        <v>19</v>
      </c>
      <c r="L1006" s="1" t="s">
        <v>52</v>
      </c>
      <c r="M1006" s="1">
        <f>orders[[#This Row],[Ship Date]]-orders[[#This Row],[Order Date]]</f>
        <v>1</v>
      </c>
      <c r="N1006" s="1">
        <f>WEEKNUM(orders[[#This Row],[Order Date]])</f>
        <v>7</v>
      </c>
      <c r="O1006" s="1"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s="1">
        <v>41.4</v>
      </c>
      <c r="F1007" s="2">
        <v>45697</v>
      </c>
      <c r="G1007" s="2">
        <v>45698</v>
      </c>
      <c r="H1007" s="1" t="s">
        <v>27</v>
      </c>
      <c r="I1007" s="1" t="s">
        <v>40</v>
      </c>
      <c r="J1007" s="1">
        <v>1</v>
      </c>
      <c r="K1007" s="1" t="s">
        <v>19</v>
      </c>
      <c r="L1007" s="1" t="s">
        <v>55</v>
      </c>
      <c r="M1007" s="1">
        <f>orders[[#This Row],[Ship Date]]-orders[[#This Row],[Order Date]]</f>
        <v>1</v>
      </c>
      <c r="N1007" s="1">
        <f>WEEKNUM(orders[[#This Row],[Order Date]])</f>
        <v>7</v>
      </c>
      <c r="O1007" s="1"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s="1">
        <v>35.700000000000003</v>
      </c>
      <c r="F1008" s="2">
        <v>45697</v>
      </c>
      <c r="G1008" s="2">
        <v>45699</v>
      </c>
      <c r="H1008" s="1" t="s">
        <v>27</v>
      </c>
      <c r="I1008" s="1" t="s">
        <v>51</v>
      </c>
      <c r="J1008" s="1">
        <v>4</v>
      </c>
      <c r="K1008" s="1" t="s">
        <v>19</v>
      </c>
      <c r="L1008" s="1" t="s">
        <v>55</v>
      </c>
      <c r="M1008" s="1">
        <f>orders[[#This Row],[Ship Date]]-orders[[#This Row],[Order Date]]</f>
        <v>2</v>
      </c>
      <c r="N1008" s="1">
        <f>WEEKNUM(orders[[#This Row],[Order Date]])</f>
        <v>7</v>
      </c>
      <c r="O1008" s="1"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s="1">
        <v>2659.2</v>
      </c>
      <c r="F1009" s="2">
        <v>45697</v>
      </c>
      <c r="G1009" s="2">
        <v>45699</v>
      </c>
      <c r="H1009" s="1" t="s">
        <v>17</v>
      </c>
      <c r="I1009" s="1" t="s">
        <v>40</v>
      </c>
      <c r="J1009" s="1">
        <v>4</v>
      </c>
      <c r="K1009" s="1" t="s">
        <v>19</v>
      </c>
      <c r="L1009" s="1" t="s">
        <v>59</v>
      </c>
      <c r="M1009" s="1">
        <f>orders[[#This Row],[Ship Date]]-orders[[#This Row],[Order Date]]</f>
        <v>2</v>
      </c>
      <c r="N1009" s="1">
        <f>WEEKNUM(orders[[#This Row],[Order Date]])</f>
        <v>7</v>
      </c>
      <c r="O1009" s="1"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s="1">
        <v>343.2</v>
      </c>
      <c r="F1010" s="2">
        <v>45697</v>
      </c>
      <c r="G1010" s="2">
        <v>45698</v>
      </c>
      <c r="H1010" s="1" t="s">
        <v>27</v>
      </c>
      <c r="I1010" s="1" t="s">
        <v>35</v>
      </c>
      <c r="J1010" s="1">
        <v>3</v>
      </c>
      <c r="K1010" s="1" t="s">
        <v>19</v>
      </c>
      <c r="L1010" s="1" t="s">
        <v>59</v>
      </c>
      <c r="M1010" s="1">
        <f>orders[[#This Row],[Ship Date]]-orders[[#This Row],[Order Date]]</f>
        <v>1</v>
      </c>
      <c r="N1010" s="1">
        <f>WEEKNUM(orders[[#This Row],[Order Date]])</f>
        <v>7</v>
      </c>
      <c r="O1010" s="1"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s="1">
        <v>78</v>
      </c>
      <c r="F1011" s="2">
        <v>45697</v>
      </c>
      <c r="G1011" s="2">
        <v>45699</v>
      </c>
      <c r="H1011" s="1" t="s">
        <v>89</v>
      </c>
      <c r="I1011" s="1" t="s">
        <v>35</v>
      </c>
      <c r="J1011" s="1">
        <v>4</v>
      </c>
      <c r="K1011" s="1" t="s">
        <v>19</v>
      </c>
      <c r="L1011" s="1" t="s">
        <v>59</v>
      </c>
      <c r="M1011" s="1">
        <f>orders[[#This Row],[Ship Date]]-orders[[#This Row],[Order Date]]</f>
        <v>2</v>
      </c>
      <c r="N1011" s="1">
        <f>WEEKNUM(orders[[#This Row],[Order Date]])</f>
        <v>7</v>
      </c>
      <c r="O1011" s="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s="1">
        <v>1515.8</v>
      </c>
      <c r="F1012" s="2">
        <v>45697</v>
      </c>
      <c r="G1012" s="2">
        <v>45700</v>
      </c>
      <c r="H1012" s="1" t="s">
        <v>27</v>
      </c>
      <c r="I1012" s="1" t="s">
        <v>18</v>
      </c>
      <c r="J1012" s="1">
        <v>4</v>
      </c>
      <c r="K1012" s="1" t="s">
        <v>19</v>
      </c>
      <c r="L1012" s="1" t="s">
        <v>62</v>
      </c>
      <c r="M1012" s="1">
        <f>orders[[#This Row],[Ship Date]]-orders[[#This Row],[Order Date]]</f>
        <v>3</v>
      </c>
      <c r="N1012" s="1">
        <f>WEEKNUM(orders[[#This Row],[Order Date]])</f>
        <v>7</v>
      </c>
      <c r="O1012" s="1"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s="1">
        <v>377.3</v>
      </c>
      <c r="F1013" s="2">
        <v>45697</v>
      </c>
      <c r="G1013" s="2">
        <v>45700</v>
      </c>
      <c r="H1013" s="1" t="s">
        <v>89</v>
      </c>
      <c r="I1013" s="1" t="s">
        <v>18</v>
      </c>
      <c r="J1013" s="1">
        <v>5</v>
      </c>
      <c r="K1013" s="1" t="s">
        <v>19</v>
      </c>
      <c r="L1013" s="1" t="s">
        <v>62</v>
      </c>
      <c r="M1013" s="1">
        <f>orders[[#This Row],[Ship Date]]-orders[[#This Row],[Order Date]]</f>
        <v>3</v>
      </c>
      <c r="N1013" s="1">
        <f>WEEKNUM(orders[[#This Row],[Order Date]])</f>
        <v>7</v>
      </c>
      <c r="O1013" s="1"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s="1">
        <v>361.5</v>
      </c>
      <c r="F1014" s="2">
        <v>45697</v>
      </c>
      <c r="G1014" s="2">
        <v>45699</v>
      </c>
      <c r="H1014" s="1" t="s">
        <v>17</v>
      </c>
      <c r="I1014" s="1" t="s">
        <v>40</v>
      </c>
      <c r="J1014" s="1">
        <v>5</v>
      </c>
      <c r="K1014" s="1" t="s">
        <v>19</v>
      </c>
      <c r="L1014" s="1" t="s">
        <v>62</v>
      </c>
      <c r="M1014" s="1">
        <f>orders[[#This Row],[Ship Date]]-orders[[#This Row],[Order Date]]</f>
        <v>2</v>
      </c>
      <c r="N1014" s="1">
        <f>WEEKNUM(orders[[#This Row],[Order Date]])</f>
        <v>7</v>
      </c>
      <c r="O1014" s="1"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s="1">
        <v>62.8</v>
      </c>
      <c r="F1015" s="2">
        <v>45697</v>
      </c>
      <c r="G1015" s="2">
        <v>45699</v>
      </c>
      <c r="H1015" s="1" t="s">
        <v>27</v>
      </c>
      <c r="I1015" s="1" t="s">
        <v>18</v>
      </c>
      <c r="J1015" s="1">
        <v>4</v>
      </c>
      <c r="K1015" s="1" t="s">
        <v>19</v>
      </c>
      <c r="L1015" s="1" t="s">
        <v>62</v>
      </c>
      <c r="M1015" s="1">
        <f>orders[[#This Row],[Ship Date]]-orders[[#This Row],[Order Date]]</f>
        <v>2</v>
      </c>
      <c r="N1015" s="1">
        <f>WEEKNUM(orders[[#This Row],[Order Date]])</f>
        <v>7</v>
      </c>
      <c r="O1015" s="1"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s="1">
        <v>106.2</v>
      </c>
      <c r="F1016" s="2">
        <v>45697</v>
      </c>
      <c r="G1016" s="2">
        <v>45700</v>
      </c>
      <c r="H1016" s="1" t="s">
        <v>23</v>
      </c>
      <c r="I1016" s="1" t="s">
        <v>35</v>
      </c>
      <c r="J1016" s="1">
        <v>4</v>
      </c>
      <c r="K1016" s="1" t="s">
        <v>19</v>
      </c>
      <c r="L1016" s="1" t="s">
        <v>62</v>
      </c>
      <c r="M1016" s="1">
        <f>orders[[#This Row],[Ship Date]]-orders[[#This Row],[Order Date]]</f>
        <v>3</v>
      </c>
      <c r="N1016" s="1">
        <f>WEEKNUM(orders[[#This Row],[Order Date]])</f>
        <v>7</v>
      </c>
      <c r="O1016" s="1"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s="1">
        <v>224.8</v>
      </c>
      <c r="F1017" s="2">
        <v>45697</v>
      </c>
      <c r="G1017" s="2">
        <v>45698</v>
      </c>
      <c r="H1017" s="1" t="s">
        <v>27</v>
      </c>
      <c r="I1017" s="1" t="s">
        <v>18</v>
      </c>
      <c r="J1017" s="1">
        <v>4</v>
      </c>
      <c r="K1017" s="1" t="s">
        <v>19</v>
      </c>
      <c r="L1017" s="1" t="s">
        <v>62</v>
      </c>
      <c r="M1017" s="1">
        <f>orders[[#This Row],[Ship Date]]-orders[[#This Row],[Order Date]]</f>
        <v>1</v>
      </c>
      <c r="N1017" s="1">
        <f>WEEKNUM(orders[[#This Row],[Order Date]])</f>
        <v>7</v>
      </c>
      <c r="O1017" s="1"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s="1">
        <v>773</v>
      </c>
      <c r="F1018" s="2">
        <v>45697</v>
      </c>
      <c r="G1018" s="2">
        <v>45698</v>
      </c>
      <c r="H1018" s="1" t="s">
        <v>27</v>
      </c>
      <c r="I1018" s="1" t="s">
        <v>40</v>
      </c>
      <c r="J1018" s="1">
        <v>4</v>
      </c>
      <c r="K1018" s="1" t="s">
        <v>19</v>
      </c>
      <c r="L1018" s="1" t="s">
        <v>77</v>
      </c>
      <c r="M1018" s="1">
        <f>orders[[#This Row],[Ship Date]]-orders[[#This Row],[Order Date]]</f>
        <v>1</v>
      </c>
      <c r="N1018" s="1">
        <f>WEEKNUM(orders[[#This Row],[Order Date]])</f>
        <v>7</v>
      </c>
      <c r="O1018" s="1"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s="1">
        <v>751.4</v>
      </c>
      <c r="F1019" s="2">
        <v>45697</v>
      </c>
      <c r="G1019" s="2">
        <v>45698</v>
      </c>
      <c r="H1019" s="1" t="s">
        <v>17</v>
      </c>
      <c r="I1019" s="1" t="s">
        <v>18</v>
      </c>
      <c r="J1019" s="1">
        <v>4</v>
      </c>
      <c r="K1019" s="1" t="s">
        <v>19</v>
      </c>
      <c r="L1019" s="1" t="s">
        <v>1116</v>
      </c>
      <c r="M1019" s="1">
        <f>orders[[#This Row],[Ship Date]]-orders[[#This Row],[Order Date]]</f>
        <v>1</v>
      </c>
      <c r="N1019" s="1">
        <f>WEEKNUM(orders[[#This Row],[Order Date]])</f>
        <v>7</v>
      </c>
      <c r="O1019" s="1"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s="1">
        <v>631.5</v>
      </c>
      <c r="F1020" s="2">
        <v>45697</v>
      </c>
      <c r="G1020" s="2">
        <v>45699</v>
      </c>
      <c r="H1020" s="1" t="s">
        <v>27</v>
      </c>
      <c r="I1020" s="1" t="s">
        <v>35</v>
      </c>
      <c r="J1020" s="1">
        <v>3</v>
      </c>
      <c r="K1020" s="1" t="s">
        <v>19</v>
      </c>
      <c r="L1020" s="1" t="s">
        <v>1116</v>
      </c>
      <c r="M1020" s="1">
        <f>orders[[#This Row],[Ship Date]]-orders[[#This Row],[Order Date]]</f>
        <v>2</v>
      </c>
      <c r="N1020" s="1">
        <f>WEEKNUM(orders[[#This Row],[Order Date]])</f>
        <v>7</v>
      </c>
      <c r="O1020" s="1"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s="1">
        <v>205.20000000000002</v>
      </c>
      <c r="F1021" s="2">
        <v>45697</v>
      </c>
      <c r="G1021" s="2">
        <v>45701</v>
      </c>
      <c r="H1021" s="1" t="s">
        <v>23</v>
      </c>
      <c r="I1021" s="1" t="s">
        <v>40</v>
      </c>
      <c r="J1021" s="1">
        <v>5</v>
      </c>
      <c r="K1021" s="1" t="s">
        <v>19</v>
      </c>
      <c r="L1021" s="1" t="s">
        <v>110</v>
      </c>
      <c r="M1021" s="1">
        <f>orders[[#This Row],[Ship Date]]-orders[[#This Row],[Order Date]]</f>
        <v>4</v>
      </c>
      <c r="N1021" s="1">
        <f>WEEKNUM(orders[[#This Row],[Order Date]])</f>
        <v>7</v>
      </c>
      <c r="O1021" s="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s="1">
        <v>513.29999999999995</v>
      </c>
      <c r="F1022" s="2">
        <v>45698</v>
      </c>
      <c r="G1022" s="2">
        <v>45705</v>
      </c>
      <c r="H1022" s="1" t="s">
        <v>27</v>
      </c>
      <c r="I1022" s="1" t="s">
        <v>40</v>
      </c>
      <c r="J1022" s="1">
        <v>3</v>
      </c>
      <c r="K1022" s="1" t="s">
        <v>19</v>
      </c>
      <c r="L1022" s="1" t="s">
        <v>110</v>
      </c>
      <c r="M1022" s="1">
        <f>orders[[#This Row],[Ship Date]]-orders[[#This Row],[Order Date]]</f>
        <v>7</v>
      </c>
      <c r="N1022" s="1">
        <f>WEEKNUM(orders[[#This Row],[Order Date]])</f>
        <v>7</v>
      </c>
      <c r="O1022" s="1"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s="1">
        <v>28</v>
      </c>
      <c r="F1023" s="2">
        <v>45698</v>
      </c>
      <c r="G1023" s="2">
        <v>45700</v>
      </c>
      <c r="H1023" s="1" t="s">
        <v>23</v>
      </c>
      <c r="I1023" s="1" t="s">
        <v>40</v>
      </c>
      <c r="J1023" s="1">
        <v>5</v>
      </c>
      <c r="K1023" s="1" t="s">
        <v>19</v>
      </c>
      <c r="L1023" s="1" t="s">
        <v>115</v>
      </c>
      <c r="M1023" s="1">
        <f>orders[[#This Row],[Ship Date]]-orders[[#This Row],[Order Date]]</f>
        <v>2</v>
      </c>
      <c r="N1023" s="1">
        <f>WEEKNUM(orders[[#This Row],[Order Date]])</f>
        <v>7</v>
      </c>
      <c r="O1023" s="1"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s="1">
        <v>351.40000000000003</v>
      </c>
      <c r="F1024" s="2">
        <v>45698</v>
      </c>
      <c r="G1024" s="2">
        <v>45700</v>
      </c>
      <c r="H1024" s="1" t="s">
        <v>23</v>
      </c>
      <c r="I1024" s="1" t="s">
        <v>40</v>
      </c>
      <c r="J1024" s="1">
        <v>4</v>
      </c>
      <c r="K1024" s="1" t="s">
        <v>19</v>
      </c>
      <c r="L1024" s="1" t="s">
        <v>115</v>
      </c>
      <c r="M1024" s="1">
        <f>orders[[#This Row],[Ship Date]]-orders[[#This Row],[Order Date]]</f>
        <v>2</v>
      </c>
      <c r="N1024" s="1">
        <f>WEEKNUM(orders[[#This Row],[Order Date]])</f>
        <v>7</v>
      </c>
      <c r="O1024" s="1"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s="1">
        <v>112</v>
      </c>
      <c r="F1025" s="2">
        <v>45698</v>
      </c>
      <c r="G1025" s="2">
        <v>45698</v>
      </c>
      <c r="H1025" s="1" t="s">
        <v>23</v>
      </c>
      <c r="I1025" s="1" t="s">
        <v>18</v>
      </c>
      <c r="J1025" s="1">
        <v>5</v>
      </c>
      <c r="K1025" s="1" t="s">
        <v>19</v>
      </c>
      <c r="L1025" s="1" t="s">
        <v>147</v>
      </c>
      <c r="M1025" s="1">
        <f>orders[[#This Row],[Ship Date]]-orders[[#This Row],[Order Date]]</f>
        <v>0</v>
      </c>
      <c r="N1025" s="1">
        <f>WEEKNUM(orders[[#This Row],[Order Date]])</f>
        <v>7</v>
      </c>
      <c r="O1025" s="1"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s="1">
        <v>76.599999999999994</v>
      </c>
      <c r="F1026" s="2">
        <v>45698</v>
      </c>
      <c r="G1026" s="2">
        <v>45699</v>
      </c>
      <c r="H1026" s="1" t="s">
        <v>27</v>
      </c>
      <c r="I1026" s="1" t="s">
        <v>35</v>
      </c>
      <c r="J1026" s="1">
        <v>4</v>
      </c>
      <c r="K1026" s="1" t="s">
        <v>19</v>
      </c>
      <c r="L1026" s="1" t="s">
        <v>33</v>
      </c>
      <c r="M1026" s="1">
        <f>orders[[#This Row],[Ship Date]]-orders[[#This Row],[Order Date]]</f>
        <v>1</v>
      </c>
      <c r="N1026" s="1">
        <f>WEEKNUM(orders[[#This Row],[Order Date]])</f>
        <v>7</v>
      </c>
      <c r="O1026" s="1"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s="1">
        <v>111.5</v>
      </c>
      <c r="F1027" s="2">
        <v>45698</v>
      </c>
      <c r="G1027" s="2">
        <v>45702</v>
      </c>
      <c r="H1027" s="1" t="s">
        <v>27</v>
      </c>
      <c r="I1027" s="1" t="s">
        <v>40</v>
      </c>
      <c r="J1027" s="1">
        <v>3</v>
      </c>
      <c r="K1027" s="1" t="s">
        <v>19</v>
      </c>
      <c r="L1027" s="1" t="s">
        <v>33</v>
      </c>
      <c r="M1027" s="1">
        <f>orders[[#This Row],[Ship Date]]-orders[[#This Row],[Order Date]]</f>
        <v>4</v>
      </c>
      <c r="N1027" s="1">
        <f>WEEKNUM(orders[[#This Row],[Order Date]])</f>
        <v>7</v>
      </c>
      <c r="O1027" s="1"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s="1">
        <v>66.900000000000006</v>
      </c>
      <c r="F1028" s="2">
        <v>45698</v>
      </c>
      <c r="G1028" s="2">
        <v>45701</v>
      </c>
      <c r="H1028" s="1" t="s">
        <v>27</v>
      </c>
      <c r="I1028" s="1" t="s">
        <v>40</v>
      </c>
      <c r="J1028" s="1">
        <v>4</v>
      </c>
      <c r="K1028" s="1" t="s">
        <v>19</v>
      </c>
      <c r="L1028" s="1" t="s">
        <v>33</v>
      </c>
      <c r="M1028" s="1">
        <f>orders[[#This Row],[Ship Date]]-orders[[#This Row],[Order Date]]</f>
        <v>3</v>
      </c>
      <c r="N1028" s="1">
        <f>WEEKNUM(orders[[#This Row],[Order Date]])</f>
        <v>7</v>
      </c>
      <c r="O1028" s="1"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s="1">
        <v>32.9</v>
      </c>
      <c r="F1029" s="2">
        <v>45698</v>
      </c>
      <c r="G1029" s="2">
        <v>45703</v>
      </c>
      <c r="H1029" s="1" t="s">
        <v>27</v>
      </c>
      <c r="I1029" s="1" t="s">
        <v>18</v>
      </c>
      <c r="J1029" s="1">
        <v>4</v>
      </c>
      <c r="K1029" s="1" t="s">
        <v>19</v>
      </c>
      <c r="L1029" s="1" t="s">
        <v>33</v>
      </c>
      <c r="M1029" s="1">
        <f>orders[[#This Row],[Ship Date]]-orders[[#This Row],[Order Date]]</f>
        <v>5</v>
      </c>
      <c r="N1029" s="1">
        <f>WEEKNUM(orders[[#This Row],[Order Date]])</f>
        <v>7</v>
      </c>
      <c r="O1029" s="1"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s="1">
        <v>95.699999999999989</v>
      </c>
      <c r="F1030" s="2">
        <v>45698</v>
      </c>
      <c r="G1030" s="2">
        <v>45703</v>
      </c>
      <c r="H1030" s="1" t="s">
        <v>27</v>
      </c>
      <c r="I1030" s="1" t="s">
        <v>18</v>
      </c>
      <c r="J1030" s="1">
        <v>4</v>
      </c>
      <c r="K1030" s="1" t="s">
        <v>19</v>
      </c>
      <c r="L1030" s="1" t="s">
        <v>33</v>
      </c>
      <c r="M1030" s="1">
        <f>orders[[#This Row],[Ship Date]]-orders[[#This Row],[Order Date]]</f>
        <v>5</v>
      </c>
      <c r="N1030" s="1">
        <f>WEEKNUM(orders[[#This Row],[Order Date]])</f>
        <v>7</v>
      </c>
      <c r="O1030" s="1"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s="1">
        <v>188</v>
      </c>
      <c r="F1031" s="2">
        <v>45698</v>
      </c>
      <c r="G1031" s="2">
        <v>45699</v>
      </c>
      <c r="H1031" s="1" t="s">
        <v>23</v>
      </c>
      <c r="I1031" s="1" t="s">
        <v>40</v>
      </c>
      <c r="J1031" s="1">
        <v>5</v>
      </c>
      <c r="K1031" s="1" t="s">
        <v>19</v>
      </c>
      <c r="L1031" s="1" t="s">
        <v>33</v>
      </c>
      <c r="M1031" s="1">
        <f>orders[[#This Row],[Ship Date]]-orders[[#This Row],[Order Date]]</f>
        <v>1</v>
      </c>
      <c r="N1031" s="1">
        <f>WEEKNUM(orders[[#This Row],[Order Date]])</f>
        <v>7</v>
      </c>
      <c r="O1031" s="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s="1">
        <v>61.4</v>
      </c>
      <c r="F1032" s="2">
        <v>45698</v>
      </c>
      <c r="G1032" s="2">
        <v>45699</v>
      </c>
      <c r="H1032" s="1" t="s">
        <v>27</v>
      </c>
      <c r="I1032" s="1" t="s">
        <v>18</v>
      </c>
      <c r="J1032" s="1">
        <v>3</v>
      </c>
      <c r="K1032" s="1" t="s">
        <v>19</v>
      </c>
      <c r="L1032" s="1" t="s">
        <v>33</v>
      </c>
      <c r="M1032" s="1">
        <f>orders[[#This Row],[Ship Date]]-orders[[#This Row],[Order Date]]</f>
        <v>1</v>
      </c>
      <c r="N1032" s="1">
        <f>WEEKNUM(orders[[#This Row],[Order Date]])</f>
        <v>7</v>
      </c>
      <c r="O1032" s="1"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s="1">
        <v>452.5</v>
      </c>
      <c r="F1033" s="2">
        <v>45698</v>
      </c>
      <c r="G1033" s="2">
        <v>45705</v>
      </c>
      <c r="H1033" s="1" t="s">
        <v>23</v>
      </c>
      <c r="I1033" s="1" t="s">
        <v>18</v>
      </c>
      <c r="J1033" s="1">
        <v>5</v>
      </c>
      <c r="K1033" s="1" t="s">
        <v>19</v>
      </c>
      <c r="L1033" s="1" t="s">
        <v>33</v>
      </c>
      <c r="M1033" s="1">
        <f>orders[[#This Row],[Ship Date]]-orders[[#This Row],[Order Date]]</f>
        <v>7</v>
      </c>
      <c r="N1033" s="1">
        <f>WEEKNUM(orders[[#This Row],[Order Date]])</f>
        <v>7</v>
      </c>
      <c r="O1033" s="1"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s="1">
        <v>126.5</v>
      </c>
      <c r="F1034" s="2">
        <v>45698</v>
      </c>
      <c r="G1034" s="2">
        <v>45702</v>
      </c>
      <c r="H1034" s="1" t="s">
        <v>27</v>
      </c>
      <c r="I1034" s="1" t="s">
        <v>18</v>
      </c>
      <c r="J1034" s="1">
        <v>5</v>
      </c>
      <c r="K1034" s="1" t="s">
        <v>19</v>
      </c>
      <c r="L1034" s="1" t="s">
        <v>33</v>
      </c>
      <c r="M1034" s="1">
        <f>orders[[#This Row],[Ship Date]]-orders[[#This Row],[Order Date]]</f>
        <v>4</v>
      </c>
      <c r="N1034" s="1">
        <f>WEEKNUM(orders[[#This Row],[Order Date]])</f>
        <v>7</v>
      </c>
      <c r="O1034" s="1"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s="1">
        <v>174.3</v>
      </c>
      <c r="F1035" s="2">
        <v>45698</v>
      </c>
      <c r="G1035" s="2">
        <v>45702</v>
      </c>
      <c r="H1035" s="1" t="s">
        <v>17</v>
      </c>
      <c r="I1035" s="1" t="s">
        <v>18</v>
      </c>
      <c r="J1035" s="1">
        <v>5</v>
      </c>
      <c r="K1035" s="1" t="s">
        <v>19</v>
      </c>
      <c r="L1035" s="1" t="s">
        <v>33</v>
      </c>
      <c r="M1035" s="1">
        <f>orders[[#This Row],[Ship Date]]-orders[[#This Row],[Order Date]]</f>
        <v>4</v>
      </c>
      <c r="N1035" s="1">
        <f>WEEKNUM(orders[[#This Row],[Order Date]])</f>
        <v>7</v>
      </c>
      <c r="O1035" s="1"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s="1">
        <v>224.70000000000002</v>
      </c>
      <c r="F1036" s="2">
        <v>45698</v>
      </c>
      <c r="G1036" s="2">
        <v>45699</v>
      </c>
      <c r="H1036" s="1" t="s">
        <v>27</v>
      </c>
      <c r="I1036" s="1" t="s">
        <v>70</v>
      </c>
      <c r="J1036" s="1">
        <v>4</v>
      </c>
      <c r="K1036" s="1" t="s">
        <v>19</v>
      </c>
      <c r="L1036" s="1" t="s">
        <v>33</v>
      </c>
      <c r="M1036" s="1">
        <f>orders[[#This Row],[Ship Date]]-orders[[#This Row],[Order Date]]</f>
        <v>1</v>
      </c>
      <c r="N1036" s="1">
        <f>WEEKNUM(orders[[#This Row],[Order Date]])</f>
        <v>7</v>
      </c>
      <c r="O1036" s="1"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s="1">
        <v>65</v>
      </c>
      <c r="F1037" s="2">
        <v>45698</v>
      </c>
      <c r="G1037" s="2">
        <v>45699</v>
      </c>
      <c r="H1037" s="1" t="s">
        <v>23</v>
      </c>
      <c r="I1037" s="1" t="s">
        <v>40</v>
      </c>
      <c r="J1037" s="1">
        <v>5</v>
      </c>
      <c r="K1037" s="1" t="s">
        <v>19</v>
      </c>
      <c r="L1037" s="1" t="s">
        <v>545</v>
      </c>
      <c r="M1037" s="1">
        <f>orders[[#This Row],[Ship Date]]-orders[[#This Row],[Order Date]]</f>
        <v>1</v>
      </c>
      <c r="N1037" s="1">
        <f>WEEKNUM(orders[[#This Row],[Order Date]])</f>
        <v>7</v>
      </c>
      <c r="O1037" s="1"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s="1">
        <v>310</v>
      </c>
      <c r="F1038" s="2">
        <v>45698</v>
      </c>
      <c r="G1038" s="2">
        <v>45699</v>
      </c>
      <c r="H1038" s="1" t="s">
        <v>23</v>
      </c>
      <c r="I1038" s="1" t="s">
        <v>70</v>
      </c>
      <c r="J1038" s="1">
        <v>5</v>
      </c>
      <c r="K1038" s="1" t="s">
        <v>19</v>
      </c>
      <c r="L1038" s="1" t="s">
        <v>188</v>
      </c>
      <c r="M1038" s="1">
        <f>orders[[#This Row],[Ship Date]]-orders[[#This Row],[Order Date]]</f>
        <v>1</v>
      </c>
      <c r="N1038" s="1">
        <f>WEEKNUM(orders[[#This Row],[Order Date]])</f>
        <v>7</v>
      </c>
      <c r="O1038" s="1"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s="1">
        <v>173.39999999999998</v>
      </c>
      <c r="F1039" s="2">
        <v>45698</v>
      </c>
      <c r="G1039" s="2">
        <v>45701</v>
      </c>
      <c r="H1039" s="1" t="s">
        <v>27</v>
      </c>
      <c r="I1039" s="1" t="s">
        <v>18</v>
      </c>
      <c r="J1039" s="1">
        <v>3</v>
      </c>
      <c r="K1039" s="1" t="s">
        <v>19</v>
      </c>
      <c r="L1039" s="1" t="s">
        <v>55</v>
      </c>
      <c r="M1039" s="1">
        <f>orders[[#This Row],[Ship Date]]-orders[[#This Row],[Order Date]]</f>
        <v>3</v>
      </c>
      <c r="N1039" s="1">
        <f>WEEKNUM(orders[[#This Row],[Order Date]])</f>
        <v>7</v>
      </c>
      <c r="O1039" s="1"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s="1">
        <v>342.4</v>
      </c>
      <c r="F1040" s="2">
        <v>45698</v>
      </c>
      <c r="G1040" s="2">
        <v>45700</v>
      </c>
      <c r="H1040" s="1" t="s">
        <v>27</v>
      </c>
      <c r="I1040" s="1" t="s">
        <v>18</v>
      </c>
      <c r="J1040" s="1">
        <v>5</v>
      </c>
      <c r="K1040" s="1" t="s">
        <v>19</v>
      </c>
      <c r="L1040" s="1" t="s">
        <v>55</v>
      </c>
      <c r="M1040" s="1">
        <f>orders[[#This Row],[Ship Date]]-orders[[#This Row],[Order Date]]</f>
        <v>2</v>
      </c>
      <c r="N1040" s="1">
        <f>WEEKNUM(orders[[#This Row],[Order Date]])</f>
        <v>7</v>
      </c>
      <c r="O1040" s="1"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s="1">
        <v>315.2</v>
      </c>
      <c r="F1041" s="2">
        <v>45698</v>
      </c>
      <c r="G1041" s="2">
        <v>45700</v>
      </c>
      <c r="H1041" s="1" t="s">
        <v>23</v>
      </c>
      <c r="I1041" s="1" t="s">
        <v>18</v>
      </c>
      <c r="J1041" s="1">
        <v>4</v>
      </c>
      <c r="K1041" s="1" t="s">
        <v>19</v>
      </c>
      <c r="L1041" s="1" t="s">
        <v>342</v>
      </c>
      <c r="M1041" s="1">
        <f>orders[[#This Row],[Ship Date]]-orders[[#This Row],[Order Date]]</f>
        <v>2</v>
      </c>
      <c r="N1041" s="1">
        <f>WEEKNUM(orders[[#This Row],[Order Date]])</f>
        <v>7</v>
      </c>
      <c r="O1041" s="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s="1">
        <v>199.20000000000002</v>
      </c>
      <c r="F1042" s="2">
        <v>45698</v>
      </c>
      <c r="G1042" s="2">
        <v>45699</v>
      </c>
      <c r="H1042" s="1" t="s">
        <v>17</v>
      </c>
      <c r="I1042" s="1" t="s">
        <v>40</v>
      </c>
      <c r="J1042" s="1">
        <v>3</v>
      </c>
      <c r="K1042" s="1" t="s">
        <v>19</v>
      </c>
      <c r="L1042" s="1" t="s">
        <v>59</v>
      </c>
      <c r="M1042" s="1">
        <f>orders[[#This Row],[Ship Date]]-orders[[#This Row],[Order Date]]</f>
        <v>1</v>
      </c>
      <c r="N1042" s="1">
        <f>WEEKNUM(orders[[#This Row],[Order Date]])</f>
        <v>7</v>
      </c>
      <c r="O1042" s="1"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s="1">
        <v>143.6</v>
      </c>
      <c r="F1043" s="2">
        <v>45698</v>
      </c>
      <c r="G1043" s="2">
        <v>45705</v>
      </c>
      <c r="H1043" s="1" t="s">
        <v>27</v>
      </c>
      <c r="I1043" s="1" t="s">
        <v>35</v>
      </c>
      <c r="J1043" s="1">
        <v>4</v>
      </c>
      <c r="K1043" s="1" t="s">
        <v>19</v>
      </c>
      <c r="L1043" s="1" t="s">
        <v>59</v>
      </c>
      <c r="M1043" s="1">
        <f>orders[[#This Row],[Ship Date]]-orders[[#This Row],[Order Date]]</f>
        <v>7</v>
      </c>
      <c r="N1043" s="1">
        <f>WEEKNUM(orders[[#This Row],[Order Date]])</f>
        <v>7</v>
      </c>
      <c r="O1043" s="1"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s="1">
        <v>107.6</v>
      </c>
      <c r="F1044" s="2">
        <v>45698</v>
      </c>
      <c r="G1044" s="2">
        <v>45699</v>
      </c>
      <c r="H1044" s="1" t="s">
        <v>23</v>
      </c>
      <c r="I1044" s="1" t="s">
        <v>35</v>
      </c>
      <c r="J1044" s="1">
        <v>4</v>
      </c>
      <c r="K1044" s="1" t="s">
        <v>19</v>
      </c>
      <c r="L1044" s="1" t="s">
        <v>59</v>
      </c>
      <c r="M1044" s="1">
        <f>orders[[#This Row],[Ship Date]]-orders[[#This Row],[Order Date]]</f>
        <v>1</v>
      </c>
      <c r="N1044" s="1">
        <f>WEEKNUM(orders[[#This Row],[Order Date]])</f>
        <v>7</v>
      </c>
      <c r="O1044" s="1"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s="1">
        <v>55.1</v>
      </c>
      <c r="F1045" s="2">
        <v>45698</v>
      </c>
      <c r="G1045" s="2">
        <v>45699</v>
      </c>
      <c r="H1045" s="1" t="s">
        <v>27</v>
      </c>
      <c r="I1045" s="1" t="s">
        <v>18</v>
      </c>
      <c r="J1045" s="1">
        <v>4</v>
      </c>
      <c r="K1045" s="1" t="s">
        <v>19</v>
      </c>
      <c r="L1045" s="1" t="s">
        <v>59</v>
      </c>
      <c r="M1045" s="1">
        <f>orders[[#This Row],[Ship Date]]-orders[[#This Row],[Order Date]]</f>
        <v>1</v>
      </c>
      <c r="N1045" s="1">
        <f>WEEKNUM(orders[[#This Row],[Order Date]])</f>
        <v>7</v>
      </c>
      <c r="O1045" s="1"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s="1">
        <v>47.8</v>
      </c>
      <c r="F1046" s="2">
        <v>45698</v>
      </c>
      <c r="G1046" s="2">
        <v>45699</v>
      </c>
      <c r="H1046" s="1" t="s">
        <v>23</v>
      </c>
      <c r="I1046" s="1" t="s">
        <v>18</v>
      </c>
      <c r="J1046" s="1">
        <v>5</v>
      </c>
      <c r="K1046" s="1" t="s">
        <v>19</v>
      </c>
      <c r="L1046" s="1" t="s">
        <v>62</v>
      </c>
      <c r="M1046" s="1">
        <f>orders[[#This Row],[Ship Date]]-orders[[#This Row],[Order Date]]</f>
        <v>1</v>
      </c>
      <c r="N1046" s="1">
        <f>WEEKNUM(orders[[#This Row],[Order Date]])</f>
        <v>7</v>
      </c>
      <c r="O1046" s="1"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s="1">
        <v>274.3</v>
      </c>
      <c r="F1047" s="2">
        <v>45698</v>
      </c>
      <c r="G1047" s="2">
        <v>45706</v>
      </c>
      <c r="H1047" s="1" t="s">
        <v>27</v>
      </c>
      <c r="I1047" s="1" t="s">
        <v>18</v>
      </c>
      <c r="J1047" s="1">
        <v>3</v>
      </c>
      <c r="K1047" s="1" t="s">
        <v>19</v>
      </c>
      <c r="L1047" s="1" t="s">
        <v>62</v>
      </c>
      <c r="M1047" s="1">
        <f>orders[[#This Row],[Ship Date]]-orders[[#This Row],[Order Date]]</f>
        <v>8</v>
      </c>
      <c r="N1047" s="1">
        <f>WEEKNUM(orders[[#This Row],[Order Date]])</f>
        <v>7</v>
      </c>
      <c r="O1047" s="1"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s="1">
        <v>169</v>
      </c>
      <c r="F1048" s="2">
        <v>45698</v>
      </c>
      <c r="G1048" s="2">
        <v>45700</v>
      </c>
      <c r="H1048" s="1" t="s">
        <v>27</v>
      </c>
      <c r="I1048" s="1" t="s">
        <v>18</v>
      </c>
      <c r="J1048" s="1">
        <v>4</v>
      </c>
      <c r="K1048" s="1" t="s">
        <v>19</v>
      </c>
      <c r="L1048" s="1" t="s">
        <v>62</v>
      </c>
      <c r="M1048" s="1">
        <f>orders[[#This Row],[Ship Date]]-orders[[#This Row],[Order Date]]</f>
        <v>2</v>
      </c>
      <c r="N1048" s="1">
        <f>WEEKNUM(orders[[#This Row],[Order Date]])</f>
        <v>7</v>
      </c>
      <c r="O1048" s="1"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s="1">
        <v>224.4</v>
      </c>
      <c r="F1049" s="2">
        <v>45698</v>
      </c>
      <c r="G1049" s="2">
        <v>45698</v>
      </c>
      <c r="H1049" s="1" t="s">
        <v>27</v>
      </c>
      <c r="I1049" s="1" t="s">
        <v>51</v>
      </c>
      <c r="J1049" s="1">
        <v>5</v>
      </c>
      <c r="K1049" s="1" t="s">
        <v>19</v>
      </c>
      <c r="L1049" s="1" t="s">
        <v>72</v>
      </c>
      <c r="M1049" s="1">
        <f>orders[[#This Row],[Ship Date]]-orders[[#This Row],[Order Date]]</f>
        <v>0</v>
      </c>
      <c r="N1049" s="1">
        <f>WEEKNUM(orders[[#This Row],[Order Date]])</f>
        <v>7</v>
      </c>
      <c r="O1049" s="1"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s="1">
        <v>58.5</v>
      </c>
      <c r="F1050" s="2">
        <v>45699</v>
      </c>
      <c r="G1050" s="2">
        <v>45703</v>
      </c>
      <c r="H1050" s="1" t="s">
        <v>27</v>
      </c>
      <c r="I1050" s="1" t="s">
        <v>35</v>
      </c>
      <c r="J1050" s="1">
        <v>5</v>
      </c>
      <c r="K1050" s="1" t="s">
        <v>19</v>
      </c>
      <c r="L1050" s="1" t="s">
        <v>72</v>
      </c>
      <c r="M1050" s="1">
        <f>orders[[#This Row],[Ship Date]]-orders[[#This Row],[Order Date]]</f>
        <v>4</v>
      </c>
      <c r="N1050" s="1">
        <f>WEEKNUM(orders[[#This Row],[Order Date]])</f>
        <v>7</v>
      </c>
      <c r="O1050" s="1"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s="1">
        <v>84.2</v>
      </c>
      <c r="F1051" s="2">
        <v>45699</v>
      </c>
      <c r="G1051" s="2">
        <v>45701</v>
      </c>
      <c r="H1051" s="1" t="s">
        <v>23</v>
      </c>
      <c r="I1051" s="1" t="s">
        <v>51</v>
      </c>
      <c r="J1051" s="1">
        <v>4</v>
      </c>
      <c r="K1051" s="1" t="s">
        <v>19</v>
      </c>
      <c r="L1051" s="1" t="s">
        <v>77</v>
      </c>
      <c r="M1051" s="1">
        <f>orders[[#This Row],[Ship Date]]-orders[[#This Row],[Order Date]]</f>
        <v>2</v>
      </c>
      <c r="N1051" s="1">
        <f>WEEKNUM(orders[[#This Row],[Order Date]])</f>
        <v>7</v>
      </c>
      <c r="O1051" s="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s="1">
        <v>208</v>
      </c>
      <c r="F1052" s="2">
        <v>45699</v>
      </c>
      <c r="G1052" s="2">
        <v>45702</v>
      </c>
      <c r="H1052" s="1" t="s">
        <v>23</v>
      </c>
      <c r="I1052" s="1" t="s">
        <v>18</v>
      </c>
      <c r="J1052" s="1">
        <v>4</v>
      </c>
      <c r="K1052" s="1" t="s">
        <v>19</v>
      </c>
      <c r="L1052" s="1" t="s">
        <v>77</v>
      </c>
      <c r="M1052" s="1">
        <f>orders[[#This Row],[Ship Date]]-orders[[#This Row],[Order Date]]</f>
        <v>3</v>
      </c>
      <c r="N1052" s="1">
        <f>WEEKNUM(orders[[#This Row],[Order Date]])</f>
        <v>7</v>
      </c>
      <c r="O1052" s="1"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s="1">
        <v>157.5</v>
      </c>
      <c r="F1053" s="2">
        <v>45699</v>
      </c>
      <c r="G1053" s="2">
        <v>45700</v>
      </c>
      <c r="H1053" s="1" t="s">
        <v>27</v>
      </c>
      <c r="I1053" s="1" t="s">
        <v>18</v>
      </c>
      <c r="J1053" s="1">
        <v>5</v>
      </c>
      <c r="K1053" s="1" t="s">
        <v>19</v>
      </c>
      <c r="L1053" s="1" t="s">
        <v>77</v>
      </c>
      <c r="M1053" s="1">
        <f>orders[[#This Row],[Ship Date]]-orders[[#This Row],[Order Date]]</f>
        <v>1</v>
      </c>
      <c r="N1053" s="1">
        <f>WEEKNUM(orders[[#This Row],[Order Date]])</f>
        <v>7</v>
      </c>
      <c r="O1053" s="1"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s="1">
        <v>138.60000000000002</v>
      </c>
      <c r="F1054" s="2">
        <v>45699</v>
      </c>
      <c r="G1054" s="2">
        <v>45700</v>
      </c>
      <c r="H1054" s="1" t="s">
        <v>23</v>
      </c>
      <c r="I1054" s="1" t="s">
        <v>18</v>
      </c>
      <c r="J1054" s="1">
        <v>4</v>
      </c>
      <c r="K1054" s="1" t="s">
        <v>19</v>
      </c>
      <c r="L1054" s="1" t="s">
        <v>1116</v>
      </c>
      <c r="M1054" s="1">
        <f>orders[[#This Row],[Ship Date]]-orders[[#This Row],[Order Date]]</f>
        <v>1</v>
      </c>
      <c r="N1054" s="1">
        <f>WEEKNUM(orders[[#This Row],[Order Date]])</f>
        <v>7</v>
      </c>
      <c r="O1054" s="1"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s="1">
        <v>810</v>
      </c>
      <c r="F1055" s="2">
        <v>45699</v>
      </c>
      <c r="G1055" s="2">
        <v>45700</v>
      </c>
      <c r="H1055" s="1" t="s">
        <v>27</v>
      </c>
      <c r="I1055" s="1" t="s">
        <v>35</v>
      </c>
      <c r="J1055" s="1">
        <v>5</v>
      </c>
      <c r="K1055" s="1" t="s">
        <v>19</v>
      </c>
      <c r="L1055" s="1" t="s">
        <v>108</v>
      </c>
      <c r="M1055" s="1">
        <f>orders[[#This Row],[Ship Date]]-orders[[#This Row],[Order Date]]</f>
        <v>1</v>
      </c>
      <c r="N1055" s="1">
        <f>WEEKNUM(orders[[#This Row],[Order Date]])</f>
        <v>7</v>
      </c>
      <c r="O1055" s="1"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s="1">
        <v>276.60000000000002</v>
      </c>
      <c r="F1056" s="2">
        <v>45699</v>
      </c>
      <c r="G1056" s="2">
        <v>45703</v>
      </c>
      <c r="H1056" s="1" t="s">
        <v>23</v>
      </c>
      <c r="I1056" s="1" t="s">
        <v>18</v>
      </c>
      <c r="J1056" s="1">
        <v>4</v>
      </c>
      <c r="K1056" s="1" t="s">
        <v>19</v>
      </c>
      <c r="L1056" s="1" t="s">
        <v>115</v>
      </c>
      <c r="M1056" s="1">
        <f>orders[[#This Row],[Ship Date]]-orders[[#This Row],[Order Date]]</f>
        <v>4</v>
      </c>
      <c r="N1056" s="1">
        <f>WEEKNUM(orders[[#This Row],[Order Date]])</f>
        <v>7</v>
      </c>
      <c r="O1056" s="1"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s="1">
        <v>36.6</v>
      </c>
      <c r="F1057" s="2">
        <v>45699</v>
      </c>
      <c r="G1057" s="2">
        <v>45701</v>
      </c>
      <c r="H1057" s="1" t="s">
        <v>23</v>
      </c>
      <c r="I1057" s="1" t="s">
        <v>40</v>
      </c>
      <c r="J1057" s="1">
        <v>5</v>
      </c>
      <c r="K1057" s="1" t="s">
        <v>19</v>
      </c>
      <c r="L1057" s="1" t="s">
        <v>115</v>
      </c>
      <c r="M1057" s="1">
        <f>orders[[#This Row],[Ship Date]]-orders[[#This Row],[Order Date]]</f>
        <v>2</v>
      </c>
      <c r="N1057" s="1">
        <f>WEEKNUM(orders[[#This Row],[Order Date]])</f>
        <v>7</v>
      </c>
      <c r="O1057" s="1"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s="1">
        <v>101.2</v>
      </c>
      <c r="F1058" s="2">
        <v>45699</v>
      </c>
      <c r="G1058" s="2">
        <v>45702</v>
      </c>
      <c r="H1058" s="1" t="s">
        <v>27</v>
      </c>
      <c r="I1058" s="1" t="s">
        <v>18</v>
      </c>
      <c r="J1058" s="1">
        <v>4</v>
      </c>
      <c r="K1058" s="1" t="s">
        <v>19</v>
      </c>
      <c r="L1058" s="1" t="s">
        <v>28</v>
      </c>
      <c r="M1058" s="1">
        <f>orders[[#This Row],[Ship Date]]-orders[[#This Row],[Order Date]]</f>
        <v>3</v>
      </c>
      <c r="N1058" s="1">
        <f>WEEKNUM(orders[[#This Row],[Order Date]])</f>
        <v>7</v>
      </c>
      <c r="O1058" s="1"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s="1">
        <v>396.90000000000003</v>
      </c>
      <c r="F1059" s="2">
        <v>45699</v>
      </c>
      <c r="G1059" s="2">
        <v>45702</v>
      </c>
      <c r="H1059" s="1" t="s">
        <v>27</v>
      </c>
      <c r="I1059" s="1" t="s">
        <v>18</v>
      </c>
      <c r="J1059" s="1">
        <v>4</v>
      </c>
      <c r="K1059" s="1" t="s">
        <v>19</v>
      </c>
      <c r="L1059" s="1" t="s">
        <v>28</v>
      </c>
      <c r="M1059" s="1">
        <f>orders[[#This Row],[Ship Date]]-orders[[#This Row],[Order Date]]</f>
        <v>3</v>
      </c>
      <c r="N1059" s="1">
        <f>WEEKNUM(orders[[#This Row],[Order Date]])</f>
        <v>7</v>
      </c>
      <c r="O1059" s="1"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s="1">
        <v>297.7</v>
      </c>
      <c r="F1060" s="2">
        <v>45699</v>
      </c>
      <c r="G1060" s="2">
        <v>45700</v>
      </c>
      <c r="H1060" s="1" t="s">
        <v>27</v>
      </c>
      <c r="I1060" s="1" t="s">
        <v>18</v>
      </c>
      <c r="J1060" s="1">
        <v>3</v>
      </c>
      <c r="K1060" s="1" t="s">
        <v>19</v>
      </c>
      <c r="L1060" s="1" t="s">
        <v>587</v>
      </c>
      <c r="M1060" s="1">
        <f>orders[[#This Row],[Ship Date]]-orders[[#This Row],[Order Date]]</f>
        <v>1</v>
      </c>
      <c r="N1060" s="1">
        <f>WEEKNUM(orders[[#This Row],[Order Date]])</f>
        <v>7</v>
      </c>
      <c r="O1060" s="1"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s="1">
        <v>1018.4</v>
      </c>
      <c r="F1061" s="2">
        <v>45699</v>
      </c>
      <c r="G1061" s="2">
        <v>45700</v>
      </c>
      <c r="H1061" s="1" t="s">
        <v>23</v>
      </c>
      <c r="I1061" s="1" t="s">
        <v>18</v>
      </c>
      <c r="J1061" s="1">
        <v>4</v>
      </c>
      <c r="K1061" s="1" t="s">
        <v>19</v>
      </c>
      <c r="L1061" s="1" t="s">
        <v>147</v>
      </c>
      <c r="M1061" s="1">
        <f>orders[[#This Row],[Ship Date]]-orders[[#This Row],[Order Date]]</f>
        <v>1</v>
      </c>
      <c r="N1061" s="1">
        <f>WEEKNUM(orders[[#This Row],[Order Date]])</f>
        <v>7</v>
      </c>
      <c r="O1061" s="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s="1">
        <v>60.4</v>
      </c>
      <c r="F1062" s="2">
        <v>45699</v>
      </c>
      <c r="G1062" s="2">
        <v>45701</v>
      </c>
      <c r="H1062" s="1" t="s">
        <v>17</v>
      </c>
      <c r="I1062" s="1" t="s">
        <v>40</v>
      </c>
      <c r="J1062" s="1">
        <v>5</v>
      </c>
      <c r="K1062" s="1" t="s">
        <v>19</v>
      </c>
      <c r="L1062" s="1" t="s">
        <v>33</v>
      </c>
      <c r="M1062" s="1">
        <f>orders[[#This Row],[Ship Date]]-orders[[#This Row],[Order Date]]</f>
        <v>2</v>
      </c>
      <c r="N1062" s="1">
        <f>WEEKNUM(orders[[#This Row],[Order Date]])</f>
        <v>7</v>
      </c>
      <c r="O1062" s="1"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s="1">
        <v>500.40000000000003</v>
      </c>
      <c r="F1063" s="2">
        <v>45699</v>
      </c>
      <c r="G1063" s="2">
        <v>45700</v>
      </c>
      <c r="H1063" s="1" t="s">
        <v>23</v>
      </c>
      <c r="I1063" s="1" t="s">
        <v>35</v>
      </c>
      <c r="J1063" s="1">
        <v>5</v>
      </c>
      <c r="K1063" s="1" t="s">
        <v>19</v>
      </c>
      <c r="L1063" s="1" t="s">
        <v>33</v>
      </c>
      <c r="M1063" s="1">
        <f>orders[[#This Row],[Ship Date]]-orders[[#This Row],[Order Date]]</f>
        <v>1</v>
      </c>
      <c r="N1063" s="1">
        <f>WEEKNUM(orders[[#This Row],[Order Date]])</f>
        <v>7</v>
      </c>
      <c r="O1063" s="1"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s="1">
        <v>199.20000000000002</v>
      </c>
      <c r="F1064" s="2">
        <v>45699</v>
      </c>
      <c r="G1064" s="2">
        <v>45701</v>
      </c>
      <c r="H1064" s="1" t="s">
        <v>23</v>
      </c>
      <c r="I1064" s="1" t="s">
        <v>35</v>
      </c>
      <c r="J1064" s="1">
        <v>4</v>
      </c>
      <c r="K1064" s="1" t="s">
        <v>19</v>
      </c>
      <c r="L1064" s="1" t="s">
        <v>33</v>
      </c>
      <c r="M1064" s="1">
        <f>orders[[#This Row],[Ship Date]]-orders[[#This Row],[Order Date]]</f>
        <v>2</v>
      </c>
      <c r="N1064" s="1">
        <f>WEEKNUM(orders[[#This Row],[Order Date]])</f>
        <v>7</v>
      </c>
      <c r="O1064" s="1"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s="1">
        <v>372.29999999999995</v>
      </c>
      <c r="F1065" s="2">
        <v>45699</v>
      </c>
      <c r="G1065" s="2">
        <v>45701</v>
      </c>
      <c r="H1065" s="1" t="s">
        <v>27</v>
      </c>
      <c r="I1065" s="1" t="s">
        <v>70</v>
      </c>
      <c r="J1065" s="1">
        <v>3</v>
      </c>
      <c r="K1065" s="1" t="s">
        <v>19</v>
      </c>
      <c r="L1065" s="1" t="s">
        <v>33</v>
      </c>
      <c r="M1065" s="1">
        <f>orders[[#This Row],[Ship Date]]-orders[[#This Row],[Order Date]]</f>
        <v>2</v>
      </c>
      <c r="N1065" s="1">
        <f>WEEKNUM(orders[[#This Row],[Order Date]])</f>
        <v>7</v>
      </c>
      <c r="O1065" s="1"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s="1">
        <v>946.39999999999986</v>
      </c>
      <c r="F1066" s="2">
        <v>45699</v>
      </c>
      <c r="G1066" s="2">
        <v>45701</v>
      </c>
      <c r="H1066" s="1" t="s">
        <v>23</v>
      </c>
      <c r="I1066" s="1" t="s">
        <v>40</v>
      </c>
      <c r="J1066" s="1">
        <v>2</v>
      </c>
      <c r="K1066" s="1" t="s">
        <v>19</v>
      </c>
      <c r="L1066" s="1" t="s">
        <v>33</v>
      </c>
      <c r="M1066" s="1">
        <f>orders[[#This Row],[Ship Date]]-orders[[#This Row],[Order Date]]</f>
        <v>2</v>
      </c>
      <c r="N1066" s="1">
        <f>WEEKNUM(orders[[#This Row],[Order Date]])</f>
        <v>7</v>
      </c>
      <c r="O1066" s="1"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s="1">
        <v>106.4</v>
      </c>
      <c r="F1067" s="2">
        <v>45699</v>
      </c>
      <c r="G1067" s="2">
        <v>45699</v>
      </c>
      <c r="H1067" s="1" t="s">
        <v>23</v>
      </c>
      <c r="I1067" s="1" t="s">
        <v>35</v>
      </c>
      <c r="J1067" s="1">
        <v>4</v>
      </c>
      <c r="K1067" s="1" t="s">
        <v>19</v>
      </c>
      <c r="L1067" s="1" t="s">
        <v>33</v>
      </c>
      <c r="M1067" s="1">
        <f>orders[[#This Row],[Ship Date]]-orders[[#This Row],[Order Date]]</f>
        <v>0</v>
      </c>
      <c r="N1067" s="1">
        <f>WEEKNUM(orders[[#This Row],[Order Date]])</f>
        <v>7</v>
      </c>
      <c r="O1067" s="1"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s="1">
        <v>353.4</v>
      </c>
      <c r="F1068" s="2">
        <v>45699</v>
      </c>
      <c r="G1068" s="2">
        <v>45702</v>
      </c>
      <c r="H1068" s="1" t="s">
        <v>27</v>
      </c>
      <c r="I1068" s="1" t="s">
        <v>40</v>
      </c>
      <c r="J1068" s="1">
        <v>4</v>
      </c>
      <c r="K1068" s="1" t="s">
        <v>19</v>
      </c>
      <c r="L1068" s="1" t="s">
        <v>33</v>
      </c>
      <c r="M1068" s="1">
        <f>orders[[#This Row],[Ship Date]]-orders[[#This Row],[Order Date]]</f>
        <v>3</v>
      </c>
      <c r="N1068" s="1">
        <f>WEEKNUM(orders[[#This Row],[Order Date]])</f>
        <v>7</v>
      </c>
      <c r="O1068" s="1"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s="1">
        <v>162</v>
      </c>
      <c r="F1069" s="2">
        <v>45699</v>
      </c>
      <c r="G1069" s="2">
        <v>45702</v>
      </c>
      <c r="H1069" s="1" t="s">
        <v>23</v>
      </c>
      <c r="I1069" s="1" t="s">
        <v>18</v>
      </c>
      <c r="J1069" s="1">
        <v>3</v>
      </c>
      <c r="K1069" s="1" t="s">
        <v>19</v>
      </c>
      <c r="L1069" s="1" t="s">
        <v>33</v>
      </c>
      <c r="M1069" s="1">
        <f>orders[[#This Row],[Ship Date]]-orders[[#This Row],[Order Date]]</f>
        <v>3</v>
      </c>
      <c r="N1069" s="1">
        <f>WEEKNUM(orders[[#This Row],[Order Date]])</f>
        <v>7</v>
      </c>
      <c r="O1069" s="1"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s="1">
        <v>140.19999999999999</v>
      </c>
      <c r="F1070" s="2">
        <v>45699</v>
      </c>
      <c r="G1070" s="2">
        <v>45707</v>
      </c>
      <c r="H1070" s="1" t="s">
        <v>27</v>
      </c>
      <c r="I1070" s="1" t="s">
        <v>51</v>
      </c>
      <c r="J1070" s="1">
        <v>5</v>
      </c>
      <c r="K1070" s="1" t="s">
        <v>19</v>
      </c>
      <c r="L1070" s="1" t="s">
        <v>33</v>
      </c>
      <c r="M1070" s="1">
        <f>orders[[#This Row],[Ship Date]]-orders[[#This Row],[Order Date]]</f>
        <v>8</v>
      </c>
      <c r="N1070" s="1">
        <f>WEEKNUM(orders[[#This Row],[Order Date]])</f>
        <v>7</v>
      </c>
      <c r="O1070" s="1"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s="1">
        <v>26.5</v>
      </c>
      <c r="F1071" s="2">
        <v>45699</v>
      </c>
      <c r="G1071" s="2">
        <v>45701</v>
      </c>
      <c r="H1071" s="1" t="s">
        <v>27</v>
      </c>
      <c r="I1071" s="1" t="s">
        <v>35</v>
      </c>
      <c r="J1071" s="1">
        <v>4</v>
      </c>
      <c r="K1071" s="1" t="s">
        <v>19</v>
      </c>
      <c r="L1071" s="1" t="s">
        <v>33</v>
      </c>
      <c r="M1071" s="1">
        <f>orders[[#This Row],[Ship Date]]-orders[[#This Row],[Order Date]]</f>
        <v>2</v>
      </c>
      <c r="N1071" s="1">
        <f>WEEKNUM(orders[[#This Row],[Order Date]])</f>
        <v>7</v>
      </c>
      <c r="O1071" s="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s="1">
        <v>445</v>
      </c>
      <c r="F1072" s="2">
        <v>45699</v>
      </c>
      <c r="G1072" s="2">
        <v>45701</v>
      </c>
      <c r="H1072" s="1" t="s">
        <v>23</v>
      </c>
      <c r="I1072" s="1" t="s">
        <v>40</v>
      </c>
      <c r="J1072" s="1">
        <v>2</v>
      </c>
      <c r="K1072" s="1" t="s">
        <v>19</v>
      </c>
      <c r="L1072" s="1" t="s">
        <v>33</v>
      </c>
      <c r="M1072" s="1">
        <f>orders[[#This Row],[Ship Date]]-orders[[#This Row],[Order Date]]</f>
        <v>2</v>
      </c>
      <c r="N1072" s="1">
        <f>WEEKNUM(orders[[#This Row],[Order Date]])</f>
        <v>7</v>
      </c>
      <c r="O1072" s="1"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s="1">
        <v>282</v>
      </c>
      <c r="F1073" s="2">
        <v>45699</v>
      </c>
      <c r="G1073" s="2">
        <v>45702</v>
      </c>
      <c r="H1073" s="1" t="s">
        <v>27</v>
      </c>
      <c r="I1073" s="1" t="s">
        <v>51</v>
      </c>
      <c r="J1073" s="1">
        <v>4</v>
      </c>
      <c r="K1073" s="1" t="s">
        <v>19</v>
      </c>
      <c r="L1073" s="1" t="s">
        <v>186</v>
      </c>
      <c r="M1073" s="1">
        <f>orders[[#This Row],[Ship Date]]-orders[[#This Row],[Order Date]]</f>
        <v>3</v>
      </c>
      <c r="N1073" s="1">
        <f>WEEKNUM(orders[[#This Row],[Order Date]])</f>
        <v>7</v>
      </c>
      <c r="O1073" s="1"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s="1">
        <v>110.4</v>
      </c>
      <c r="F1074" s="2">
        <v>45699</v>
      </c>
      <c r="G1074" s="2">
        <v>45702</v>
      </c>
      <c r="H1074" s="1" t="s">
        <v>23</v>
      </c>
      <c r="I1074" s="1" t="s">
        <v>35</v>
      </c>
      <c r="J1074" s="1">
        <v>3</v>
      </c>
      <c r="K1074" s="1" t="s">
        <v>19</v>
      </c>
      <c r="L1074" s="1" t="s">
        <v>55</v>
      </c>
      <c r="M1074" s="1">
        <f>orders[[#This Row],[Ship Date]]-orders[[#This Row],[Order Date]]</f>
        <v>3</v>
      </c>
      <c r="N1074" s="1">
        <f>WEEKNUM(orders[[#This Row],[Order Date]])</f>
        <v>7</v>
      </c>
      <c r="O1074" s="1"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s="1">
        <v>1398.6</v>
      </c>
      <c r="F1075" s="2">
        <v>45699</v>
      </c>
      <c r="G1075" s="2">
        <v>45713</v>
      </c>
      <c r="H1075" s="1" t="s">
        <v>23</v>
      </c>
      <c r="I1075" s="1" t="s">
        <v>35</v>
      </c>
      <c r="J1075" s="1">
        <v>5</v>
      </c>
      <c r="K1075" s="1" t="s">
        <v>19</v>
      </c>
      <c r="L1075" s="1" t="s">
        <v>55</v>
      </c>
      <c r="M1075" s="1">
        <f>orders[[#This Row],[Ship Date]]-orders[[#This Row],[Order Date]]</f>
        <v>14</v>
      </c>
      <c r="N1075" s="1">
        <f>WEEKNUM(orders[[#This Row],[Order Date]])</f>
        <v>7</v>
      </c>
      <c r="O1075" s="1"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s="1">
        <v>443.6</v>
      </c>
      <c r="F1076" s="2">
        <v>45700</v>
      </c>
      <c r="G1076" s="2">
        <v>45700</v>
      </c>
      <c r="H1076" s="1" t="s">
        <v>23</v>
      </c>
      <c r="I1076" s="1" t="s">
        <v>40</v>
      </c>
      <c r="J1076" s="1">
        <v>2</v>
      </c>
      <c r="K1076" s="1" t="s">
        <v>19</v>
      </c>
      <c r="L1076" s="1" t="s">
        <v>55</v>
      </c>
      <c r="M1076" s="1">
        <f>orders[[#This Row],[Ship Date]]-orders[[#This Row],[Order Date]]</f>
        <v>0</v>
      </c>
      <c r="N1076" s="1">
        <f>WEEKNUM(orders[[#This Row],[Order Date]])</f>
        <v>7</v>
      </c>
      <c r="O1076" s="1"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s="1">
        <v>403.79999999999995</v>
      </c>
      <c r="F1077" s="2">
        <v>45700</v>
      </c>
      <c r="G1077" s="2">
        <v>45701</v>
      </c>
      <c r="H1077" s="1" t="s">
        <v>23</v>
      </c>
      <c r="I1077" s="1" t="s">
        <v>18</v>
      </c>
      <c r="J1077" s="1">
        <v>4</v>
      </c>
      <c r="K1077" s="1" t="s">
        <v>19</v>
      </c>
      <c r="L1077" s="1" t="s">
        <v>62</v>
      </c>
      <c r="M1077" s="1">
        <f>orders[[#This Row],[Ship Date]]-orders[[#This Row],[Order Date]]</f>
        <v>1</v>
      </c>
      <c r="N1077" s="1">
        <f>WEEKNUM(orders[[#This Row],[Order Date]])</f>
        <v>7</v>
      </c>
      <c r="O1077" s="1"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s="1">
        <v>209.10000000000002</v>
      </c>
      <c r="F1078" s="2">
        <v>45700</v>
      </c>
      <c r="G1078" s="2">
        <v>45701</v>
      </c>
      <c r="H1078" s="1" t="s">
        <v>23</v>
      </c>
      <c r="I1078" s="1" t="s">
        <v>40</v>
      </c>
      <c r="J1078" s="1">
        <v>3</v>
      </c>
      <c r="K1078" s="1" t="s">
        <v>19</v>
      </c>
      <c r="L1078" s="1" t="s">
        <v>62</v>
      </c>
      <c r="M1078" s="1">
        <f>orders[[#This Row],[Ship Date]]-orders[[#This Row],[Order Date]]</f>
        <v>1</v>
      </c>
      <c r="N1078" s="1">
        <f>WEEKNUM(orders[[#This Row],[Order Date]])</f>
        <v>7</v>
      </c>
      <c r="O1078" s="1"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s="1">
        <v>39.1</v>
      </c>
      <c r="F1079" s="2">
        <v>45700</v>
      </c>
      <c r="G1079" s="2">
        <v>45705</v>
      </c>
      <c r="H1079" s="1" t="s">
        <v>23</v>
      </c>
      <c r="I1079" s="1" t="s">
        <v>18</v>
      </c>
      <c r="J1079" s="1">
        <v>3</v>
      </c>
      <c r="K1079" s="1" t="s">
        <v>19</v>
      </c>
      <c r="L1079" s="1" t="s">
        <v>103</v>
      </c>
      <c r="M1079" s="1">
        <f>orders[[#This Row],[Ship Date]]-orders[[#This Row],[Order Date]]</f>
        <v>5</v>
      </c>
      <c r="N1079" s="1">
        <f>WEEKNUM(orders[[#This Row],[Order Date]])</f>
        <v>7</v>
      </c>
      <c r="O1079" s="1"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s="1">
        <v>625.79999999999995</v>
      </c>
      <c r="F1080" s="2">
        <v>45700</v>
      </c>
      <c r="G1080" s="2">
        <v>45700</v>
      </c>
      <c r="H1080" s="1" t="s">
        <v>23</v>
      </c>
      <c r="I1080" s="1" t="s">
        <v>70</v>
      </c>
      <c r="J1080" s="1">
        <v>5</v>
      </c>
      <c r="K1080" s="1" t="s">
        <v>19</v>
      </c>
      <c r="L1080" s="1" t="s">
        <v>103</v>
      </c>
      <c r="M1080" s="1">
        <f>orders[[#This Row],[Ship Date]]-orders[[#This Row],[Order Date]]</f>
        <v>0</v>
      </c>
      <c r="N1080" s="1">
        <f>WEEKNUM(orders[[#This Row],[Order Date]])</f>
        <v>7</v>
      </c>
      <c r="O1080" s="1"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s="1">
        <v>83.4</v>
      </c>
      <c r="F1081" s="2">
        <v>45700</v>
      </c>
      <c r="G1081" s="2">
        <v>45701</v>
      </c>
      <c r="H1081" s="1" t="s">
        <v>23</v>
      </c>
      <c r="I1081" s="1" t="s">
        <v>51</v>
      </c>
      <c r="J1081" s="1">
        <v>3</v>
      </c>
      <c r="K1081" s="1" t="s">
        <v>19</v>
      </c>
      <c r="L1081" s="1" t="s">
        <v>77</v>
      </c>
      <c r="M1081" s="1">
        <f>orders[[#This Row],[Ship Date]]-orders[[#This Row],[Order Date]]</f>
        <v>1</v>
      </c>
      <c r="N1081" s="1">
        <f>WEEKNUM(orders[[#This Row],[Order Date]])</f>
        <v>7</v>
      </c>
      <c r="O1081" s="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s="1">
        <v>147</v>
      </c>
      <c r="F1082" s="2">
        <v>45700</v>
      </c>
      <c r="G1082" s="2">
        <v>45702</v>
      </c>
      <c r="H1082" s="1" t="s">
        <v>27</v>
      </c>
      <c r="I1082" s="1" t="s">
        <v>18</v>
      </c>
      <c r="J1082" s="1">
        <v>4</v>
      </c>
      <c r="K1082" s="1" t="s">
        <v>19</v>
      </c>
      <c r="L1082" s="1" t="s">
        <v>77</v>
      </c>
      <c r="M1082" s="1">
        <f>orders[[#This Row],[Ship Date]]-orders[[#This Row],[Order Date]]</f>
        <v>2</v>
      </c>
      <c r="N1082" s="1">
        <f>WEEKNUM(orders[[#This Row],[Order Date]])</f>
        <v>7</v>
      </c>
      <c r="O1082" s="1"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s="1">
        <v>58.4</v>
      </c>
      <c r="F1083" s="2">
        <v>45700</v>
      </c>
      <c r="G1083" s="2">
        <v>45702</v>
      </c>
      <c r="H1083" s="1" t="s">
        <v>27</v>
      </c>
      <c r="I1083" s="1" t="s">
        <v>35</v>
      </c>
      <c r="J1083" s="1">
        <v>5</v>
      </c>
      <c r="K1083" s="1" t="s">
        <v>19</v>
      </c>
      <c r="L1083" s="1" t="s">
        <v>113</v>
      </c>
      <c r="M1083" s="1">
        <f>orders[[#This Row],[Ship Date]]-orders[[#This Row],[Order Date]]</f>
        <v>2</v>
      </c>
      <c r="N1083" s="1">
        <f>WEEKNUM(orders[[#This Row],[Order Date]])</f>
        <v>7</v>
      </c>
      <c r="O1083" s="1"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s="1">
        <v>132.5</v>
      </c>
      <c r="F1084" s="2">
        <v>45700</v>
      </c>
      <c r="G1084" s="2">
        <v>45702</v>
      </c>
      <c r="H1084" s="1" t="s">
        <v>27</v>
      </c>
      <c r="I1084" s="1" t="s">
        <v>18</v>
      </c>
      <c r="J1084" s="1">
        <v>4</v>
      </c>
      <c r="K1084" s="1" t="s">
        <v>19</v>
      </c>
      <c r="L1084" s="1" t="s">
        <v>997</v>
      </c>
      <c r="M1084" s="1">
        <f>orders[[#This Row],[Ship Date]]-orders[[#This Row],[Order Date]]</f>
        <v>2</v>
      </c>
      <c r="N1084" s="1">
        <f>WEEKNUM(orders[[#This Row],[Order Date]])</f>
        <v>7</v>
      </c>
      <c r="O1084" s="1"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s="1">
        <v>30.3</v>
      </c>
      <c r="F1085" s="2">
        <v>45700</v>
      </c>
      <c r="G1085" s="2">
        <v>45701</v>
      </c>
      <c r="H1085" s="1" t="s">
        <v>27</v>
      </c>
      <c r="I1085" s="1" t="s">
        <v>70</v>
      </c>
      <c r="J1085" s="1">
        <v>3</v>
      </c>
      <c r="K1085" s="1" t="s">
        <v>19</v>
      </c>
      <c r="L1085" s="1" t="s">
        <v>82</v>
      </c>
      <c r="M1085" s="1">
        <f>orders[[#This Row],[Ship Date]]-orders[[#This Row],[Order Date]]</f>
        <v>1</v>
      </c>
      <c r="N1085" s="1">
        <f>WEEKNUM(orders[[#This Row],[Order Date]])</f>
        <v>7</v>
      </c>
      <c r="O1085" s="1"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s="1">
        <v>476.40000000000003</v>
      </c>
      <c r="F1086" s="2">
        <v>45700</v>
      </c>
      <c r="G1086" s="2">
        <v>45701</v>
      </c>
      <c r="H1086" s="1" t="s">
        <v>27</v>
      </c>
      <c r="I1086" s="1" t="s">
        <v>18</v>
      </c>
      <c r="J1086" s="1">
        <v>4</v>
      </c>
      <c r="K1086" s="1" t="s">
        <v>19</v>
      </c>
      <c r="L1086" s="1" t="s">
        <v>115</v>
      </c>
      <c r="M1086" s="1">
        <f>orders[[#This Row],[Ship Date]]-orders[[#This Row],[Order Date]]</f>
        <v>1</v>
      </c>
      <c r="N1086" s="1">
        <f>WEEKNUM(orders[[#This Row],[Order Date]])</f>
        <v>7</v>
      </c>
      <c r="O1086" s="1"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s="1">
        <v>589</v>
      </c>
      <c r="F1087" s="2">
        <v>45700</v>
      </c>
      <c r="G1087" s="2">
        <v>45702</v>
      </c>
      <c r="H1087" s="1" t="s">
        <v>27</v>
      </c>
      <c r="I1087" s="1" t="s">
        <v>35</v>
      </c>
      <c r="J1087" s="1">
        <v>2</v>
      </c>
      <c r="K1087" s="1" t="s">
        <v>19</v>
      </c>
      <c r="L1087" s="1" t="s">
        <v>115</v>
      </c>
      <c r="M1087" s="1">
        <f>orders[[#This Row],[Ship Date]]-orders[[#This Row],[Order Date]]</f>
        <v>2</v>
      </c>
      <c r="N1087" s="1">
        <f>WEEKNUM(orders[[#This Row],[Order Date]])</f>
        <v>7</v>
      </c>
      <c r="O1087" s="1"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s="1">
        <v>348.2</v>
      </c>
      <c r="F1088" s="2">
        <v>45700</v>
      </c>
      <c r="G1088" s="2">
        <v>45702</v>
      </c>
      <c r="H1088" s="1" t="s">
        <v>27</v>
      </c>
      <c r="I1088" s="1" t="s">
        <v>18</v>
      </c>
      <c r="J1088" s="1">
        <v>3</v>
      </c>
      <c r="K1088" s="1" t="s">
        <v>19</v>
      </c>
      <c r="L1088" s="1" t="s">
        <v>641</v>
      </c>
      <c r="M1088" s="1">
        <f>orders[[#This Row],[Ship Date]]-orders[[#This Row],[Order Date]]</f>
        <v>2</v>
      </c>
      <c r="N1088" s="1">
        <f>WEEKNUM(orders[[#This Row],[Order Date]])</f>
        <v>7</v>
      </c>
      <c r="O1088" s="1"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s="1">
        <v>141.6</v>
      </c>
      <c r="F1089" s="2">
        <v>45700</v>
      </c>
      <c r="G1089" s="2">
        <v>45703</v>
      </c>
      <c r="H1089" s="1" t="s">
        <v>23</v>
      </c>
      <c r="I1089" s="1" t="s">
        <v>40</v>
      </c>
      <c r="J1089" s="1">
        <v>4</v>
      </c>
      <c r="K1089" s="1" t="s">
        <v>19</v>
      </c>
      <c r="L1089" s="1" t="s">
        <v>147</v>
      </c>
      <c r="M1089" s="1">
        <f>orders[[#This Row],[Ship Date]]-orders[[#This Row],[Order Date]]</f>
        <v>3</v>
      </c>
      <c r="N1089" s="1">
        <f>WEEKNUM(orders[[#This Row],[Order Date]])</f>
        <v>7</v>
      </c>
      <c r="O1089" s="1"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s="1">
        <v>114.8</v>
      </c>
      <c r="F1090" s="2">
        <v>45700</v>
      </c>
      <c r="G1090" s="2">
        <v>45702</v>
      </c>
      <c r="H1090" s="1" t="s">
        <v>27</v>
      </c>
      <c r="I1090" s="1" t="s">
        <v>35</v>
      </c>
      <c r="J1090" s="1">
        <v>3</v>
      </c>
      <c r="K1090" s="1" t="s">
        <v>19</v>
      </c>
      <c r="L1090" s="1" t="s">
        <v>334</v>
      </c>
      <c r="M1090" s="1">
        <f>orders[[#This Row],[Ship Date]]-orders[[#This Row],[Order Date]]</f>
        <v>2</v>
      </c>
      <c r="N1090" s="1">
        <f>WEEKNUM(orders[[#This Row],[Order Date]])</f>
        <v>7</v>
      </c>
      <c r="O1090" s="1"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s="1">
        <v>57</v>
      </c>
      <c r="F1091" s="2">
        <v>45700</v>
      </c>
      <c r="G1091" s="2">
        <v>45702</v>
      </c>
      <c r="H1091" s="1" t="s">
        <v>23</v>
      </c>
      <c r="I1091" s="1" t="s">
        <v>51</v>
      </c>
      <c r="J1091" s="1">
        <v>3</v>
      </c>
      <c r="K1091" s="1" t="s">
        <v>19</v>
      </c>
      <c r="L1091" s="1" t="s">
        <v>33</v>
      </c>
      <c r="M1091" s="1">
        <f>orders[[#This Row],[Ship Date]]-orders[[#This Row],[Order Date]]</f>
        <v>2</v>
      </c>
      <c r="N1091" s="1">
        <f>WEEKNUM(orders[[#This Row],[Order Date]])</f>
        <v>7</v>
      </c>
      <c r="O1091" s="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s="1">
        <v>2132</v>
      </c>
      <c r="F1092" s="2">
        <v>45700</v>
      </c>
      <c r="G1092" s="2">
        <v>45701</v>
      </c>
      <c r="H1092" s="1" t="s">
        <v>17</v>
      </c>
      <c r="I1092" s="1" t="s">
        <v>35</v>
      </c>
      <c r="J1092" s="1">
        <v>2</v>
      </c>
      <c r="K1092" s="1" t="s">
        <v>19</v>
      </c>
      <c r="L1092" s="1" t="s">
        <v>33</v>
      </c>
      <c r="M1092" s="1">
        <f>orders[[#This Row],[Ship Date]]-orders[[#This Row],[Order Date]]</f>
        <v>1</v>
      </c>
      <c r="N1092" s="1">
        <f>WEEKNUM(orders[[#This Row],[Order Date]])</f>
        <v>7</v>
      </c>
      <c r="O1092" s="1"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s="1">
        <v>359.1</v>
      </c>
      <c r="F1093" s="2">
        <v>45700</v>
      </c>
      <c r="G1093" s="2">
        <v>45701</v>
      </c>
      <c r="H1093" s="1" t="s">
        <v>27</v>
      </c>
      <c r="I1093" s="1" t="s">
        <v>35</v>
      </c>
      <c r="J1093" s="1">
        <v>2</v>
      </c>
      <c r="K1093" s="1" t="s">
        <v>19</v>
      </c>
      <c r="L1093" s="1" t="s">
        <v>33</v>
      </c>
      <c r="M1093" s="1">
        <f>orders[[#This Row],[Ship Date]]-orders[[#This Row],[Order Date]]</f>
        <v>1</v>
      </c>
      <c r="N1093" s="1">
        <f>WEEKNUM(orders[[#This Row],[Order Date]])</f>
        <v>7</v>
      </c>
      <c r="O1093" s="1"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s="1">
        <v>73.3</v>
      </c>
      <c r="F1094" s="2">
        <v>45700</v>
      </c>
      <c r="G1094" s="2">
        <v>45705</v>
      </c>
      <c r="H1094" s="1" t="s">
        <v>27</v>
      </c>
      <c r="I1094" s="1" t="s">
        <v>18</v>
      </c>
      <c r="J1094" s="1">
        <v>5</v>
      </c>
      <c r="K1094" s="1" t="s">
        <v>19</v>
      </c>
      <c r="L1094" s="1" t="s">
        <v>33</v>
      </c>
      <c r="M1094" s="1">
        <f>orders[[#This Row],[Ship Date]]-orders[[#This Row],[Order Date]]</f>
        <v>5</v>
      </c>
      <c r="N1094" s="1">
        <f>WEEKNUM(orders[[#This Row],[Order Date]])</f>
        <v>7</v>
      </c>
      <c r="O1094" s="1"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s="1">
        <v>51.6</v>
      </c>
      <c r="F1095" s="2">
        <v>45700</v>
      </c>
      <c r="G1095" s="2">
        <v>45714</v>
      </c>
      <c r="H1095" s="1" t="s">
        <v>23</v>
      </c>
      <c r="I1095" s="1" t="s">
        <v>40</v>
      </c>
      <c r="J1095" s="1">
        <v>4</v>
      </c>
      <c r="K1095" s="1" t="s">
        <v>19</v>
      </c>
      <c r="L1095" s="1" t="s">
        <v>33</v>
      </c>
      <c r="M1095" s="1">
        <f>orders[[#This Row],[Ship Date]]-orders[[#This Row],[Order Date]]</f>
        <v>14</v>
      </c>
      <c r="N1095" s="1">
        <f>WEEKNUM(orders[[#This Row],[Order Date]])</f>
        <v>7</v>
      </c>
      <c r="O1095" s="1"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s="1">
        <v>147.30000000000001</v>
      </c>
      <c r="F1096" s="2">
        <v>45700</v>
      </c>
      <c r="G1096" s="2">
        <v>45702</v>
      </c>
      <c r="H1096" s="1" t="s">
        <v>27</v>
      </c>
      <c r="I1096" s="1" t="s">
        <v>18</v>
      </c>
      <c r="J1096" s="1">
        <v>4</v>
      </c>
      <c r="K1096" s="1" t="s">
        <v>19</v>
      </c>
      <c r="L1096" s="1" t="s">
        <v>186</v>
      </c>
      <c r="M1096" s="1">
        <f>orders[[#This Row],[Ship Date]]-orders[[#This Row],[Order Date]]</f>
        <v>2</v>
      </c>
      <c r="N1096" s="1">
        <f>WEEKNUM(orders[[#This Row],[Order Date]])</f>
        <v>7</v>
      </c>
      <c r="O1096" s="1"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s="1">
        <v>44.9</v>
      </c>
      <c r="F1097" s="2">
        <v>45700</v>
      </c>
      <c r="G1097" s="2">
        <v>45703</v>
      </c>
      <c r="H1097" s="1" t="s">
        <v>27</v>
      </c>
      <c r="I1097" s="1" t="s">
        <v>51</v>
      </c>
      <c r="J1097" s="1">
        <v>5</v>
      </c>
      <c r="K1097" s="1" t="s">
        <v>19</v>
      </c>
      <c r="L1097" s="1" t="s">
        <v>55</v>
      </c>
      <c r="M1097" s="1">
        <f>orders[[#This Row],[Ship Date]]-orders[[#This Row],[Order Date]]</f>
        <v>3</v>
      </c>
      <c r="N1097" s="1">
        <f>WEEKNUM(orders[[#This Row],[Order Date]])</f>
        <v>7</v>
      </c>
      <c r="O1097" s="1"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s="1">
        <v>209.29999999999998</v>
      </c>
      <c r="F1098" s="2">
        <v>45700</v>
      </c>
      <c r="G1098" s="2">
        <v>45701</v>
      </c>
      <c r="H1098" s="1" t="s">
        <v>27</v>
      </c>
      <c r="I1098" s="1" t="s">
        <v>18</v>
      </c>
      <c r="J1098" s="1">
        <v>4</v>
      </c>
      <c r="K1098" s="1" t="s">
        <v>19</v>
      </c>
      <c r="L1098" s="1" t="s">
        <v>55</v>
      </c>
      <c r="M1098" s="1">
        <f>orders[[#This Row],[Ship Date]]-orders[[#This Row],[Order Date]]</f>
        <v>1</v>
      </c>
      <c r="N1098" s="1">
        <f>WEEKNUM(orders[[#This Row],[Order Date]])</f>
        <v>7</v>
      </c>
      <c r="O1098" s="1"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s="1">
        <v>108.6</v>
      </c>
      <c r="F1099" s="2">
        <v>45701</v>
      </c>
      <c r="G1099" s="2">
        <v>45702</v>
      </c>
      <c r="H1099" s="1" t="s">
        <v>23</v>
      </c>
      <c r="I1099" s="1" t="s">
        <v>51</v>
      </c>
      <c r="J1099" s="1">
        <v>4</v>
      </c>
      <c r="K1099" s="1" t="s">
        <v>19</v>
      </c>
      <c r="L1099" s="1" t="s">
        <v>342</v>
      </c>
      <c r="M1099" s="1">
        <f>orders[[#This Row],[Ship Date]]-orders[[#This Row],[Order Date]]</f>
        <v>1</v>
      </c>
      <c r="N1099" s="1">
        <f>WEEKNUM(orders[[#This Row],[Order Date]])</f>
        <v>7</v>
      </c>
      <c r="O1099" s="1"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s="1">
        <v>228</v>
      </c>
      <c r="F1100" s="2">
        <v>45701</v>
      </c>
      <c r="G1100" s="2">
        <v>45703</v>
      </c>
      <c r="H1100" s="1" t="s">
        <v>27</v>
      </c>
      <c r="I1100" s="1" t="s">
        <v>18</v>
      </c>
      <c r="J1100" s="1">
        <v>4</v>
      </c>
      <c r="K1100" s="1" t="s">
        <v>19</v>
      </c>
      <c r="L1100" s="1" t="s">
        <v>62</v>
      </c>
      <c r="M1100" s="1">
        <f>orders[[#This Row],[Ship Date]]-orders[[#This Row],[Order Date]]</f>
        <v>2</v>
      </c>
      <c r="N1100" s="1">
        <f>WEEKNUM(orders[[#This Row],[Order Date]])</f>
        <v>7</v>
      </c>
      <c r="O1100" s="1"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s="1">
        <v>139.19999999999999</v>
      </c>
      <c r="F1101" s="2">
        <v>45701</v>
      </c>
      <c r="G1101" s="2">
        <v>45702</v>
      </c>
      <c r="H1101" s="1" t="s">
        <v>27</v>
      </c>
      <c r="I1101" s="1" t="s">
        <v>51</v>
      </c>
      <c r="J1101" s="1">
        <v>5</v>
      </c>
      <c r="K1101" s="1" t="s">
        <v>19</v>
      </c>
      <c r="L1101" s="1" t="s">
        <v>62</v>
      </c>
      <c r="M1101" s="1">
        <f>orders[[#This Row],[Ship Date]]-orders[[#This Row],[Order Date]]</f>
        <v>1</v>
      </c>
      <c r="N1101" s="1">
        <f>WEEKNUM(orders[[#This Row],[Order Date]])</f>
        <v>7</v>
      </c>
      <c r="O1101" s="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s="1">
        <v>33</v>
      </c>
      <c r="F1102" s="2">
        <v>45701</v>
      </c>
      <c r="G1102" s="2">
        <v>45704</v>
      </c>
      <c r="H1102" s="1" t="s">
        <v>27</v>
      </c>
      <c r="I1102" s="1" t="s">
        <v>18</v>
      </c>
      <c r="J1102" s="1">
        <v>5</v>
      </c>
      <c r="K1102" s="1" t="s">
        <v>19</v>
      </c>
      <c r="L1102" s="1" t="s">
        <v>62</v>
      </c>
      <c r="M1102" s="1">
        <f>orders[[#This Row],[Ship Date]]-orders[[#This Row],[Order Date]]</f>
        <v>3</v>
      </c>
      <c r="N1102" s="1">
        <f>WEEKNUM(orders[[#This Row],[Order Date]])</f>
        <v>7</v>
      </c>
      <c r="O1102" s="1"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s="1">
        <v>481.20000000000005</v>
      </c>
      <c r="F1103" s="2">
        <v>45701</v>
      </c>
      <c r="G1103" s="2">
        <v>45703</v>
      </c>
      <c r="H1103" s="1" t="s">
        <v>23</v>
      </c>
      <c r="I1103" s="1" t="s">
        <v>35</v>
      </c>
      <c r="J1103" s="1">
        <v>2</v>
      </c>
      <c r="K1103" s="1" t="s">
        <v>19</v>
      </c>
      <c r="L1103" s="1" t="s">
        <v>62</v>
      </c>
      <c r="M1103" s="1">
        <f>orders[[#This Row],[Ship Date]]-orders[[#This Row],[Order Date]]</f>
        <v>2</v>
      </c>
      <c r="N1103" s="1">
        <f>WEEKNUM(orders[[#This Row],[Order Date]])</f>
        <v>7</v>
      </c>
      <c r="O1103" s="1"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s="1">
        <v>392</v>
      </c>
      <c r="F1104" s="2">
        <v>45701</v>
      </c>
      <c r="G1104" s="2">
        <v>45702</v>
      </c>
      <c r="H1104" s="1" t="s">
        <v>17</v>
      </c>
      <c r="I1104" s="1" t="s">
        <v>40</v>
      </c>
      <c r="J1104" s="1">
        <v>3</v>
      </c>
      <c r="K1104" s="1" t="s">
        <v>19</v>
      </c>
      <c r="L1104" s="1" t="s">
        <v>72</v>
      </c>
      <c r="M1104" s="1">
        <f>orders[[#This Row],[Ship Date]]-orders[[#This Row],[Order Date]]</f>
        <v>1</v>
      </c>
      <c r="N1104" s="1">
        <f>WEEKNUM(orders[[#This Row],[Order Date]])</f>
        <v>7</v>
      </c>
      <c r="O1104" s="1"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s="1">
        <v>417.6</v>
      </c>
      <c r="F1105" s="2">
        <v>45701</v>
      </c>
      <c r="G1105" s="2">
        <v>45701</v>
      </c>
      <c r="H1105" s="1" t="s">
        <v>27</v>
      </c>
      <c r="I1105" s="1" t="s">
        <v>18</v>
      </c>
      <c r="J1105" s="1">
        <v>4</v>
      </c>
      <c r="K1105" s="1" t="s">
        <v>19</v>
      </c>
      <c r="L1105" s="1" t="s">
        <v>72</v>
      </c>
      <c r="M1105" s="1">
        <f>orders[[#This Row],[Ship Date]]-orders[[#This Row],[Order Date]]</f>
        <v>0</v>
      </c>
      <c r="N1105" s="1">
        <f>WEEKNUM(orders[[#This Row],[Order Date]])</f>
        <v>7</v>
      </c>
      <c r="O1105" s="1"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s="1">
        <v>41.6</v>
      </c>
      <c r="F1106" s="2">
        <v>45701</v>
      </c>
      <c r="G1106" s="2">
        <v>45704</v>
      </c>
      <c r="H1106" s="1" t="s">
        <v>23</v>
      </c>
      <c r="I1106" s="1" t="s">
        <v>51</v>
      </c>
      <c r="J1106" s="1">
        <v>4</v>
      </c>
      <c r="K1106" s="1" t="s">
        <v>19</v>
      </c>
      <c r="L1106" s="1" t="s">
        <v>77</v>
      </c>
      <c r="M1106" s="1">
        <f>orders[[#This Row],[Ship Date]]-orders[[#This Row],[Order Date]]</f>
        <v>3</v>
      </c>
      <c r="N1106" s="1">
        <f>WEEKNUM(orders[[#This Row],[Order Date]])</f>
        <v>7</v>
      </c>
      <c r="O1106" s="1"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s="1">
        <v>32.799999999999997</v>
      </c>
      <c r="F1107" s="2">
        <v>45701</v>
      </c>
      <c r="G1107" s="2">
        <v>45702</v>
      </c>
      <c r="H1107" s="1" t="s">
        <v>89</v>
      </c>
      <c r="I1107" s="1" t="s">
        <v>18</v>
      </c>
      <c r="J1107" s="1">
        <v>5</v>
      </c>
      <c r="K1107" s="1" t="s">
        <v>19</v>
      </c>
      <c r="L1107" s="1" t="s">
        <v>77</v>
      </c>
      <c r="M1107" s="1">
        <f>orders[[#This Row],[Ship Date]]-orders[[#This Row],[Order Date]]</f>
        <v>1</v>
      </c>
      <c r="N1107" s="1">
        <f>WEEKNUM(orders[[#This Row],[Order Date]])</f>
        <v>7</v>
      </c>
      <c r="O1107" s="1"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s="1">
        <v>44</v>
      </c>
      <c r="F1108" s="2">
        <v>45701</v>
      </c>
      <c r="G1108" s="2">
        <v>45702</v>
      </c>
      <c r="H1108" s="1" t="s">
        <v>23</v>
      </c>
      <c r="I1108" s="1" t="s">
        <v>40</v>
      </c>
      <c r="J1108" s="1">
        <v>5</v>
      </c>
      <c r="K1108" s="1" t="s">
        <v>19</v>
      </c>
      <c r="L1108" s="1" t="s">
        <v>1116</v>
      </c>
      <c r="M1108" s="1">
        <f>orders[[#This Row],[Ship Date]]-orders[[#This Row],[Order Date]]</f>
        <v>1</v>
      </c>
      <c r="N1108" s="1">
        <f>WEEKNUM(orders[[#This Row],[Order Date]])</f>
        <v>7</v>
      </c>
      <c r="O1108" s="1"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s="1">
        <v>67.2</v>
      </c>
      <c r="F1109" s="2">
        <v>45701</v>
      </c>
      <c r="G1109" s="2">
        <v>45706</v>
      </c>
      <c r="H1109" s="1" t="s">
        <v>27</v>
      </c>
      <c r="I1109" s="1" t="s">
        <v>18</v>
      </c>
      <c r="J1109" s="1">
        <v>4</v>
      </c>
      <c r="K1109" s="1" t="s">
        <v>19</v>
      </c>
      <c r="L1109" s="1" t="s">
        <v>115</v>
      </c>
      <c r="M1109" s="1">
        <f>orders[[#This Row],[Ship Date]]-orders[[#This Row],[Order Date]]</f>
        <v>5</v>
      </c>
      <c r="N1109" s="1">
        <f>WEEKNUM(orders[[#This Row],[Order Date]])</f>
        <v>7</v>
      </c>
      <c r="O1109" s="1"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s="1">
        <v>258</v>
      </c>
      <c r="F1110" s="2">
        <v>45701</v>
      </c>
      <c r="G1110" s="2">
        <v>45702</v>
      </c>
      <c r="H1110" s="1" t="s">
        <v>27</v>
      </c>
      <c r="I1110" s="1" t="s">
        <v>40</v>
      </c>
      <c r="J1110" s="1">
        <v>4</v>
      </c>
      <c r="K1110" s="1" t="s">
        <v>19</v>
      </c>
      <c r="L1110" s="1" t="s">
        <v>115</v>
      </c>
      <c r="M1110" s="1">
        <f>orders[[#This Row],[Ship Date]]-orders[[#This Row],[Order Date]]</f>
        <v>1</v>
      </c>
      <c r="N1110" s="1">
        <f>WEEKNUM(orders[[#This Row],[Order Date]])</f>
        <v>7</v>
      </c>
      <c r="O1110" s="1"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s="1">
        <v>544</v>
      </c>
      <c r="F1111" s="2">
        <v>45701</v>
      </c>
      <c r="G1111" s="2">
        <v>45704</v>
      </c>
      <c r="H1111" s="1" t="s">
        <v>27</v>
      </c>
      <c r="I1111" s="1" t="s">
        <v>70</v>
      </c>
      <c r="J1111" s="1">
        <v>5</v>
      </c>
      <c r="K1111" s="1" t="s">
        <v>19</v>
      </c>
      <c r="L1111" s="1" t="s">
        <v>115</v>
      </c>
      <c r="M1111" s="1">
        <f>orders[[#This Row],[Ship Date]]-orders[[#This Row],[Order Date]]</f>
        <v>3</v>
      </c>
      <c r="N1111" s="1">
        <f>WEEKNUM(orders[[#This Row],[Order Date]])</f>
        <v>7</v>
      </c>
      <c r="O1111" s="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s="1">
        <v>263.7</v>
      </c>
      <c r="F1112" s="2">
        <v>45701</v>
      </c>
      <c r="G1112" s="2">
        <v>45703</v>
      </c>
      <c r="H1112" s="1" t="s">
        <v>23</v>
      </c>
      <c r="I1112" s="1" t="s">
        <v>70</v>
      </c>
      <c r="J1112" s="1">
        <v>5</v>
      </c>
      <c r="K1112" s="1" t="s">
        <v>19</v>
      </c>
      <c r="L1112" s="1" t="s">
        <v>115</v>
      </c>
      <c r="M1112" s="1">
        <f>orders[[#This Row],[Ship Date]]-orders[[#This Row],[Order Date]]</f>
        <v>2</v>
      </c>
      <c r="N1112" s="1">
        <f>WEEKNUM(orders[[#This Row],[Order Date]])</f>
        <v>7</v>
      </c>
      <c r="O1112" s="1"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s="1">
        <v>122.7</v>
      </c>
      <c r="F1113" s="2">
        <v>45701</v>
      </c>
      <c r="G1113" s="2">
        <v>45704</v>
      </c>
      <c r="H1113" s="1" t="s">
        <v>89</v>
      </c>
      <c r="I1113" s="1" t="s">
        <v>18</v>
      </c>
      <c r="J1113" s="1">
        <v>5</v>
      </c>
      <c r="K1113" s="1" t="s">
        <v>19</v>
      </c>
      <c r="L1113" s="1" t="s">
        <v>24</v>
      </c>
      <c r="M1113" s="1">
        <f>orders[[#This Row],[Ship Date]]-orders[[#This Row],[Order Date]]</f>
        <v>3</v>
      </c>
      <c r="N1113" s="1">
        <f>WEEKNUM(orders[[#This Row],[Order Date]])</f>
        <v>7</v>
      </c>
      <c r="O1113" s="1"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s="1">
        <v>160.29999999999998</v>
      </c>
      <c r="F1114" s="2">
        <v>45701</v>
      </c>
      <c r="G1114" s="2">
        <v>45702</v>
      </c>
      <c r="H1114" s="1" t="s">
        <v>27</v>
      </c>
      <c r="I1114" s="1" t="s">
        <v>18</v>
      </c>
      <c r="J1114" s="1">
        <v>4</v>
      </c>
      <c r="K1114" s="1" t="s">
        <v>19</v>
      </c>
      <c r="L1114" s="1" t="s">
        <v>437</v>
      </c>
      <c r="M1114" s="1">
        <f>orders[[#This Row],[Ship Date]]-orders[[#This Row],[Order Date]]</f>
        <v>1</v>
      </c>
      <c r="N1114" s="1">
        <f>WEEKNUM(orders[[#This Row],[Order Date]])</f>
        <v>7</v>
      </c>
      <c r="O1114" s="1"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s="1">
        <v>255</v>
      </c>
      <c r="F1115" s="2">
        <v>45701</v>
      </c>
      <c r="G1115" s="2">
        <v>45708</v>
      </c>
      <c r="H1115" s="1" t="s">
        <v>27</v>
      </c>
      <c r="I1115" s="1" t="s">
        <v>18</v>
      </c>
      <c r="J1115" s="1">
        <v>4</v>
      </c>
      <c r="K1115" s="1" t="s">
        <v>19</v>
      </c>
      <c r="L1115" s="1" t="s">
        <v>331</v>
      </c>
      <c r="M1115" s="1">
        <f>orders[[#This Row],[Ship Date]]-orders[[#This Row],[Order Date]]</f>
        <v>7</v>
      </c>
      <c r="N1115" s="1">
        <f>WEEKNUM(orders[[#This Row],[Order Date]])</f>
        <v>7</v>
      </c>
      <c r="O1115" s="1"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s="1">
        <v>70.199999999999989</v>
      </c>
      <c r="F1116" s="2">
        <v>45701</v>
      </c>
      <c r="G1116" s="2">
        <v>45705</v>
      </c>
      <c r="H1116" s="1" t="s">
        <v>27</v>
      </c>
      <c r="I1116" s="1" t="s">
        <v>18</v>
      </c>
      <c r="J1116" s="1">
        <v>5</v>
      </c>
      <c r="K1116" s="1" t="s">
        <v>19</v>
      </c>
      <c r="L1116" s="1" t="s">
        <v>33</v>
      </c>
      <c r="M1116" s="1">
        <f>orders[[#This Row],[Ship Date]]-orders[[#This Row],[Order Date]]</f>
        <v>4</v>
      </c>
      <c r="N1116" s="1">
        <f>WEEKNUM(orders[[#This Row],[Order Date]])</f>
        <v>7</v>
      </c>
      <c r="O1116" s="1"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s="1">
        <v>219.2</v>
      </c>
      <c r="F1117" s="2">
        <v>45701</v>
      </c>
      <c r="G1117" s="2">
        <v>45704</v>
      </c>
      <c r="H1117" s="1" t="s">
        <v>27</v>
      </c>
      <c r="I1117" s="1" t="s">
        <v>40</v>
      </c>
      <c r="J1117" s="1">
        <v>4</v>
      </c>
      <c r="K1117" s="1" t="s">
        <v>19</v>
      </c>
      <c r="L1117" s="1" t="s">
        <v>33</v>
      </c>
      <c r="M1117" s="1">
        <f>orders[[#This Row],[Ship Date]]-orders[[#This Row],[Order Date]]</f>
        <v>3</v>
      </c>
      <c r="N1117" s="1">
        <f>WEEKNUM(orders[[#This Row],[Order Date]])</f>
        <v>7</v>
      </c>
      <c r="O1117" s="1"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s="1">
        <v>342</v>
      </c>
      <c r="F1118" s="2">
        <v>45701</v>
      </c>
      <c r="G1118" s="2">
        <v>45702</v>
      </c>
      <c r="H1118" s="1" t="s">
        <v>27</v>
      </c>
      <c r="I1118" s="1" t="s">
        <v>18</v>
      </c>
      <c r="J1118" s="1">
        <v>4</v>
      </c>
      <c r="K1118" s="1" t="s">
        <v>19</v>
      </c>
      <c r="L1118" s="1" t="s">
        <v>33</v>
      </c>
      <c r="M1118" s="1">
        <f>orders[[#This Row],[Ship Date]]-orders[[#This Row],[Order Date]]</f>
        <v>1</v>
      </c>
      <c r="N1118" s="1">
        <f>WEEKNUM(orders[[#This Row],[Order Date]])</f>
        <v>7</v>
      </c>
      <c r="O1118" s="1"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s="1">
        <v>51.9</v>
      </c>
      <c r="F1119" s="2">
        <v>45701</v>
      </c>
      <c r="G1119" s="2">
        <v>45701</v>
      </c>
      <c r="H1119" s="1" t="s">
        <v>27</v>
      </c>
      <c r="I1119" s="1" t="s">
        <v>18</v>
      </c>
      <c r="J1119" s="1">
        <v>4</v>
      </c>
      <c r="K1119" s="1" t="s">
        <v>19</v>
      </c>
      <c r="L1119" s="1" t="s">
        <v>33</v>
      </c>
      <c r="M1119" s="1">
        <f>orders[[#This Row],[Ship Date]]-orders[[#This Row],[Order Date]]</f>
        <v>0</v>
      </c>
      <c r="N1119" s="1">
        <f>WEEKNUM(orders[[#This Row],[Order Date]])</f>
        <v>7</v>
      </c>
      <c r="O1119" s="1"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s="1">
        <v>132</v>
      </c>
      <c r="F1120" s="2">
        <v>45701</v>
      </c>
      <c r="G1120" s="2">
        <v>45704</v>
      </c>
      <c r="H1120" s="1" t="s">
        <v>27</v>
      </c>
      <c r="I1120" s="1" t="s">
        <v>18</v>
      </c>
      <c r="J1120" s="1">
        <v>5</v>
      </c>
      <c r="K1120" s="1" t="s">
        <v>19</v>
      </c>
      <c r="L1120" s="1" t="s">
        <v>33</v>
      </c>
      <c r="M1120" s="1">
        <f>orders[[#This Row],[Ship Date]]-orders[[#This Row],[Order Date]]</f>
        <v>3</v>
      </c>
      <c r="N1120" s="1">
        <f>WEEKNUM(orders[[#This Row],[Order Date]])</f>
        <v>7</v>
      </c>
      <c r="O1120" s="1"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s="1">
        <v>234</v>
      </c>
      <c r="F1121" s="2">
        <v>45701</v>
      </c>
      <c r="G1121" s="2">
        <v>45702</v>
      </c>
      <c r="H1121" s="1" t="s">
        <v>27</v>
      </c>
      <c r="I1121" s="1" t="s">
        <v>35</v>
      </c>
      <c r="J1121" s="1">
        <v>3</v>
      </c>
      <c r="K1121" s="1" t="s">
        <v>19</v>
      </c>
      <c r="L1121" s="1" t="s">
        <v>33</v>
      </c>
      <c r="M1121" s="1">
        <f>orders[[#This Row],[Ship Date]]-orders[[#This Row],[Order Date]]</f>
        <v>1</v>
      </c>
      <c r="N1121" s="1">
        <f>WEEKNUM(orders[[#This Row],[Order Date]])</f>
        <v>7</v>
      </c>
      <c r="O1121" s="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s="1">
        <v>148.80000000000001</v>
      </c>
      <c r="F1122" s="2">
        <v>45702</v>
      </c>
      <c r="G1122" s="2">
        <v>45704</v>
      </c>
      <c r="H1122" s="1" t="s">
        <v>27</v>
      </c>
      <c r="I1122" s="1" t="s">
        <v>18</v>
      </c>
      <c r="J1122" s="1">
        <v>4</v>
      </c>
      <c r="K1122" s="1" t="s">
        <v>19</v>
      </c>
      <c r="L1122" s="1" t="s">
        <v>33</v>
      </c>
      <c r="M1122" s="1">
        <f>orders[[#This Row],[Ship Date]]-orders[[#This Row],[Order Date]]</f>
        <v>2</v>
      </c>
      <c r="N1122" s="1">
        <f>WEEKNUM(orders[[#This Row],[Order Date]])</f>
        <v>7</v>
      </c>
      <c r="O1122" s="1"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s="1">
        <v>114</v>
      </c>
      <c r="F1123" s="2">
        <v>45702</v>
      </c>
      <c r="G1123" s="2">
        <v>45705</v>
      </c>
      <c r="H1123" s="1" t="s">
        <v>23</v>
      </c>
      <c r="I1123" s="1" t="s">
        <v>40</v>
      </c>
      <c r="J1123" s="1">
        <v>2</v>
      </c>
      <c r="K1123" s="1" t="s">
        <v>19</v>
      </c>
      <c r="L1123" s="1" t="s">
        <v>33</v>
      </c>
      <c r="M1123" s="1">
        <f>orders[[#This Row],[Ship Date]]-orders[[#This Row],[Order Date]]</f>
        <v>3</v>
      </c>
      <c r="N1123" s="1">
        <f>WEEKNUM(orders[[#This Row],[Order Date]])</f>
        <v>7</v>
      </c>
      <c r="O1123" s="1"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s="1">
        <v>61.800000000000004</v>
      </c>
      <c r="F1124" s="2">
        <v>45702</v>
      </c>
      <c r="G1124" s="2">
        <v>45704</v>
      </c>
      <c r="H1124" s="1" t="s">
        <v>27</v>
      </c>
      <c r="I1124" s="1" t="s">
        <v>70</v>
      </c>
      <c r="J1124" s="1">
        <v>5</v>
      </c>
      <c r="K1124" s="1" t="s">
        <v>19</v>
      </c>
      <c r="L1124" s="1" t="s">
        <v>33</v>
      </c>
      <c r="M1124" s="1">
        <f>orders[[#This Row],[Ship Date]]-orders[[#This Row],[Order Date]]</f>
        <v>2</v>
      </c>
      <c r="N1124" s="1">
        <f>WEEKNUM(orders[[#This Row],[Order Date]])</f>
        <v>7</v>
      </c>
      <c r="O1124" s="1"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s="1">
        <v>32</v>
      </c>
      <c r="F1125" s="2">
        <v>45702</v>
      </c>
      <c r="G1125" s="2">
        <v>45703</v>
      </c>
      <c r="H1125" s="1" t="s">
        <v>23</v>
      </c>
      <c r="I1125" s="1" t="s">
        <v>35</v>
      </c>
      <c r="J1125" s="1">
        <v>3</v>
      </c>
      <c r="K1125" s="1" t="s">
        <v>19</v>
      </c>
      <c r="L1125" s="1" t="s">
        <v>802</v>
      </c>
      <c r="M1125" s="1">
        <f>orders[[#This Row],[Ship Date]]-orders[[#This Row],[Order Date]]</f>
        <v>1</v>
      </c>
      <c r="N1125" s="1">
        <f>WEEKNUM(orders[[#This Row],[Order Date]])</f>
        <v>7</v>
      </c>
      <c r="O1125" s="1"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s="1">
        <v>197.2</v>
      </c>
      <c r="F1126" s="2">
        <v>45702</v>
      </c>
      <c r="G1126" s="2">
        <v>45703</v>
      </c>
      <c r="H1126" s="1" t="s">
        <v>27</v>
      </c>
      <c r="I1126" s="1" t="s">
        <v>40</v>
      </c>
      <c r="J1126" s="1">
        <v>4</v>
      </c>
      <c r="K1126" s="1" t="s">
        <v>19</v>
      </c>
      <c r="L1126" s="1" t="s">
        <v>158</v>
      </c>
      <c r="M1126" s="1">
        <f>orders[[#This Row],[Ship Date]]-orders[[#This Row],[Order Date]]</f>
        <v>1</v>
      </c>
      <c r="N1126" s="1">
        <f>WEEKNUM(orders[[#This Row],[Order Date]])</f>
        <v>7</v>
      </c>
      <c r="O1126" s="1"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s="1">
        <v>48.2</v>
      </c>
      <c r="F1127" s="2">
        <v>45702</v>
      </c>
      <c r="G1127" s="2">
        <v>45706</v>
      </c>
      <c r="H1127" s="1" t="s">
        <v>27</v>
      </c>
      <c r="I1127" s="1" t="s">
        <v>18</v>
      </c>
      <c r="J1127" s="1">
        <v>4</v>
      </c>
      <c r="K1127" s="1" t="s">
        <v>19</v>
      </c>
      <c r="L1127" s="1" t="s">
        <v>55</v>
      </c>
      <c r="M1127" s="1">
        <f>orders[[#This Row],[Ship Date]]-orders[[#This Row],[Order Date]]</f>
        <v>4</v>
      </c>
      <c r="N1127" s="1">
        <f>WEEKNUM(orders[[#This Row],[Order Date]])</f>
        <v>7</v>
      </c>
      <c r="O1127" s="1"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s="1">
        <v>261.60000000000002</v>
      </c>
      <c r="F1128" s="2">
        <v>45702</v>
      </c>
      <c r="G1128" s="2">
        <v>45703</v>
      </c>
      <c r="H1128" s="1" t="s">
        <v>27</v>
      </c>
      <c r="I1128" s="1" t="s">
        <v>35</v>
      </c>
      <c r="J1128" s="1">
        <v>4</v>
      </c>
      <c r="K1128" s="1" t="s">
        <v>19</v>
      </c>
      <c r="L1128" s="1" t="s">
        <v>55</v>
      </c>
      <c r="M1128" s="1">
        <f>orders[[#This Row],[Ship Date]]-orders[[#This Row],[Order Date]]</f>
        <v>1</v>
      </c>
      <c r="N1128" s="1">
        <f>WEEKNUM(orders[[#This Row],[Order Date]])</f>
        <v>7</v>
      </c>
      <c r="O1128" s="1"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s="1">
        <v>223.20000000000002</v>
      </c>
      <c r="F1129" s="2">
        <v>45702</v>
      </c>
      <c r="G1129" s="2">
        <v>45703</v>
      </c>
      <c r="H1129" s="1" t="s">
        <v>27</v>
      </c>
      <c r="I1129" s="1" t="s">
        <v>51</v>
      </c>
      <c r="J1129" s="1">
        <v>5</v>
      </c>
      <c r="K1129" s="1" t="s">
        <v>19</v>
      </c>
      <c r="L1129" s="1" t="s">
        <v>62</v>
      </c>
      <c r="M1129" s="1">
        <f>orders[[#This Row],[Ship Date]]-orders[[#This Row],[Order Date]]</f>
        <v>1</v>
      </c>
      <c r="N1129" s="1">
        <f>WEEKNUM(orders[[#This Row],[Order Date]])</f>
        <v>7</v>
      </c>
      <c r="O1129" s="1"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s="1">
        <v>45.6</v>
      </c>
      <c r="F1130" s="2">
        <v>45702</v>
      </c>
      <c r="G1130" s="2">
        <v>45706</v>
      </c>
      <c r="H1130" s="1" t="s">
        <v>27</v>
      </c>
      <c r="I1130" s="1" t="s">
        <v>70</v>
      </c>
      <c r="J1130" s="1">
        <v>4</v>
      </c>
      <c r="K1130" s="1" t="s">
        <v>19</v>
      </c>
      <c r="L1130" s="1" t="s">
        <v>62</v>
      </c>
      <c r="M1130" s="1">
        <f>orders[[#This Row],[Ship Date]]-orders[[#This Row],[Order Date]]</f>
        <v>4</v>
      </c>
      <c r="N1130" s="1">
        <f>WEEKNUM(orders[[#This Row],[Order Date]])</f>
        <v>7</v>
      </c>
      <c r="O1130" s="1"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s="1">
        <v>156.80000000000001</v>
      </c>
      <c r="F1131" s="2">
        <v>45702</v>
      </c>
      <c r="G1131" s="2">
        <v>45715</v>
      </c>
      <c r="H1131" s="1" t="s">
        <v>27</v>
      </c>
      <c r="I1131" s="1" t="s">
        <v>18</v>
      </c>
      <c r="J1131" s="1">
        <v>4</v>
      </c>
      <c r="K1131" s="1" t="s">
        <v>19</v>
      </c>
      <c r="L1131" s="1" t="s">
        <v>62</v>
      </c>
      <c r="M1131" s="1">
        <f>orders[[#This Row],[Ship Date]]-orders[[#This Row],[Order Date]]</f>
        <v>13</v>
      </c>
      <c r="N1131" s="1">
        <f>WEEKNUM(orders[[#This Row],[Order Date]])</f>
        <v>7</v>
      </c>
      <c r="O1131" s="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s="1">
        <v>51.8</v>
      </c>
      <c r="F1132" s="2">
        <v>45702</v>
      </c>
      <c r="G1132" s="2">
        <v>45703</v>
      </c>
      <c r="H1132" s="1" t="s">
        <v>27</v>
      </c>
      <c r="I1132" s="1" t="s">
        <v>35</v>
      </c>
      <c r="J1132" s="1">
        <v>4</v>
      </c>
      <c r="K1132" s="1" t="s">
        <v>19</v>
      </c>
      <c r="L1132" s="1" t="s">
        <v>62</v>
      </c>
      <c r="M1132" s="1">
        <f>orders[[#This Row],[Ship Date]]-orders[[#This Row],[Order Date]]</f>
        <v>1</v>
      </c>
      <c r="N1132" s="1">
        <f>WEEKNUM(orders[[#This Row],[Order Date]])</f>
        <v>7</v>
      </c>
      <c r="O1132" s="1"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s="1">
        <v>74.7</v>
      </c>
      <c r="F1133" s="2">
        <v>45702</v>
      </c>
      <c r="G1133" s="2">
        <v>45703</v>
      </c>
      <c r="H1133" s="1" t="s">
        <v>23</v>
      </c>
      <c r="I1133" s="1" t="s">
        <v>18</v>
      </c>
      <c r="J1133" s="1">
        <v>3</v>
      </c>
      <c r="K1133" s="1" t="s">
        <v>19</v>
      </c>
      <c r="L1133" s="1" t="s">
        <v>62</v>
      </c>
      <c r="M1133" s="1">
        <f>orders[[#This Row],[Ship Date]]-orders[[#This Row],[Order Date]]</f>
        <v>1</v>
      </c>
      <c r="N1133" s="1">
        <f>WEEKNUM(orders[[#This Row],[Order Date]])</f>
        <v>7</v>
      </c>
      <c r="O1133" s="1"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s="1">
        <v>67.199999999999989</v>
      </c>
      <c r="F1134" s="2">
        <v>45702</v>
      </c>
      <c r="G1134" s="2">
        <v>45703</v>
      </c>
      <c r="H1134" s="1" t="s">
        <v>27</v>
      </c>
      <c r="I1134" s="1" t="s">
        <v>35</v>
      </c>
      <c r="J1134" s="1">
        <v>5</v>
      </c>
      <c r="K1134" s="1" t="s">
        <v>19</v>
      </c>
      <c r="L1134" s="1" t="s">
        <v>72</v>
      </c>
      <c r="M1134" s="1">
        <f>orders[[#This Row],[Ship Date]]-orders[[#This Row],[Order Date]]</f>
        <v>1</v>
      </c>
      <c r="N1134" s="1">
        <f>WEEKNUM(orders[[#This Row],[Order Date]])</f>
        <v>7</v>
      </c>
      <c r="O1134" s="1"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s="1">
        <v>125.6</v>
      </c>
      <c r="F1135" s="2">
        <v>45702</v>
      </c>
      <c r="G1135" s="2">
        <v>45703</v>
      </c>
      <c r="H1135" s="1" t="s">
        <v>27</v>
      </c>
      <c r="I1135" s="1" t="s">
        <v>35</v>
      </c>
      <c r="J1135" s="1">
        <v>4</v>
      </c>
      <c r="K1135" s="1" t="s">
        <v>19</v>
      </c>
      <c r="L1135" s="1" t="s">
        <v>72</v>
      </c>
      <c r="M1135" s="1">
        <f>orders[[#This Row],[Ship Date]]-orders[[#This Row],[Order Date]]</f>
        <v>1</v>
      </c>
      <c r="N1135" s="1">
        <f>WEEKNUM(orders[[#This Row],[Order Date]])</f>
        <v>7</v>
      </c>
      <c r="O1135" s="1"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s="1">
        <v>94</v>
      </c>
      <c r="F1136" s="2">
        <v>45702</v>
      </c>
      <c r="G1136" s="2">
        <v>45702</v>
      </c>
      <c r="H1136" s="1" t="s">
        <v>27</v>
      </c>
      <c r="I1136" s="1" t="s">
        <v>35</v>
      </c>
      <c r="J1136" s="1">
        <v>5</v>
      </c>
      <c r="K1136" s="1" t="s">
        <v>19</v>
      </c>
      <c r="L1136" s="1" t="s">
        <v>74</v>
      </c>
      <c r="M1136" s="1">
        <f>orders[[#This Row],[Ship Date]]-orders[[#This Row],[Order Date]]</f>
        <v>0</v>
      </c>
      <c r="N1136" s="1">
        <f>WEEKNUM(orders[[#This Row],[Order Date]])</f>
        <v>7</v>
      </c>
      <c r="O1136" s="1"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s="1">
        <v>22.3</v>
      </c>
      <c r="F1137" s="2">
        <v>45702</v>
      </c>
      <c r="G1137" s="2">
        <v>45703</v>
      </c>
      <c r="H1137" s="1" t="s">
        <v>23</v>
      </c>
      <c r="I1137" s="1" t="s">
        <v>70</v>
      </c>
      <c r="J1137" s="1">
        <v>4</v>
      </c>
      <c r="K1137" s="1" t="s">
        <v>19</v>
      </c>
      <c r="L1137" s="1" t="s">
        <v>113</v>
      </c>
      <c r="M1137" s="1">
        <f>orders[[#This Row],[Ship Date]]-orders[[#This Row],[Order Date]]</f>
        <v>1</v>
      </c>
      <c r="N1137" s="1">
        <f>WEEKNUM(orders[[#This Row],[Order Date]])</f>
        <v>7</v>
      </c>
      <c r="O1137" s="1"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s="1">
        <v>21.9</v>
      </c>
      <c r="F1138" s="2">
        <v>45702</v>
      </c>
      <c r="G1138" s="2">
        <v>45705</v>
      </c>
      <c r="H1138" s="1" t="s">
        <v>27</v>
      </c>
      <c r="I1138" s="1" t="s">
        <v>40</v>
      </c>
      <c r="J1138" s="1">
        <v>4</v>
      </c>
      <c r="K1138" s="1" t="s">
        <v>19</v>
      </c>
      <c r="L1138" s="1" t="s">
        <v>115</v>
      </c>
      <c r="M1138" s="1">
        <f>orders[[#This Row],[Ship Date]]-orders[[#This Row],[Order Date]]</f>
        <v>3</v>
      </c>
      <c r="N1138" s="1">
        <f>WEEKNUM(orders[[#This Row],[Order Date]])</f>
        <v>7</v>
      </c>
      <c r="O1138" s="1"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s="1">
        <v>81</v>
      </c>
      <c r="F1139" s="2">
        <v>45702</v>
      </c>
      <c r="G1139" s="2">
        <v>45704</v>
      </c>
      <c r="H1139" s="1" t="s">
        <v>27</v>
      </c>
      <c r="I1139" s="1" t="s">
        <v>70</v>
      </c>
      <c r="J1139" s="1">
        <v>5</v>
      </c>
      <c r="K1139" s="1" t="s">
        <v>19</v>
      </c>
      <c r="L1139" s="1" t="s">
        <v>28</v>
      </c>
      <c r="M1139" s="1">
        <f>orders[[#This Row],[Ship Date]]-orders[[#This Row],[Order Date]]</f>
        <v>2</v>
      </c>
      <c r="N1139" s="1">
        <f>WEEKNUM(orders[[#This Row],[Order Date]])</f>
        <v>7</v>
      </c>
      <c r="O1139" s="1"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s="1">
        <v>598.4</v>
      </c>
      <c r="F1140" s="2">
        <v>45702</v>
      </c>
      <c r="G1140" s="2">
        <v>45702</v>
      </c>
      <c r="H1140" s="1" t="s">
        <v>27</v>
      </c>
      <c r="I1140" s="1" t="s">
        <v>70</v>
      </c>
      <c r="J1140" s="1">
        <v>4</v>
      </c>
      <c r="K1140" s="1" t="s">
        <v>19</v>
      </c>
      <c r="L1140" s="1" t="s">
        <v>147</v>
      </c>
      <c r="M1140" s="1">
        <f>orders[[#This Row],[Ship Date]]-orders[[#This Row],[Order Date]]</f>
        <v>0</v>
      </c>
      <c r="N1140" s="1">
        <f>WEEKNUM(orders[[#This Row],[Order Date]])</f>
        <v>7</v>
      </c>
      <c r="O1140" s="1"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s="1">
        <v>516.4</v>
      </c>
      <c r="F1141" s="2">
        <v>45702</v>
      </c>
      <c r="G1141" s="2">
        <v>45712</v>
      </c>
      <c r="H1141" s="1" t="s">
        <v>23</v>
      </c>
      <c r="I1141" s="1" t="s">
        <v>18</v>
      </c>
      <c r="J1141" s="1">
        <v>3</v>
      </c>
      <c r="K1141" s="1" t="s">
        <v>19</v>
      </c>
      <c r="L1141" s="1" t="s">
        <v>33</v>
      </c>
      <c r="M1141" s="1">
        <f>orders[[#This Row],[Ship Date]]-orders[[#This Row],[Order Date]]</f>
        <v>10</v>
      </c>
      <c r="N1141" s="1">
        <f>WEEKNUM(orders[[#This Row],[Order Date]])</f>
        <v>7</v>
      </c>
      <c r="O1141" s="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s="1">
        <v>484.79999999999995</v>
      </c>
      <c r="F1142" s="2">
        <v>45702</v>
      </c>
      <c r="G1142" s="2">
        <v>45703</v>
      </c>
      <c r="H1142" s="1" t="s">
        <v>23</v>
      </c>
      <c r="I1142" s="1" t="s">
        <v>35</v>
      </c>
      <c r="J1142" s="1">
        <v>3</v>
      </c>
      <c r="K1142" s="1" t="s">
        <v>19</v>
      </c>
      <c r="L1142" s="1" t="s">
        <v>33</v>
      </c>
      <c r="M1142" s="1">
        <f>orders[[#This Row],[Ship Date]]-orders[[#This Row],[Order Date]]</f>
        <v>1</v>
      </c>
      <c r="N1142" s="1">
        <f>WEEKNUM(orders[[#This Row],[Order Date]])</f>
        <v>7</v>
      </c>
      <c r="O1142" s="1"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s="1">
        <v>145.5</v>
      </c>
      <c r="F1143" s="2">
        <v>45702</v>
      </c>
      <c r="G1143" s="2">
        <v>45704</v>
      </c>
      <c r="H1143" s="1" t="s">
        <v>27</v>
      </c>
      <c r="I1143" s="1" t="s">
        <v>18</v>
      </c>
      <c r="J1143" s="1">
        <v>2</v>
      </c>
      <c r="K1143" s="1" t="s">
        <v>19</v>
      </c>
      <c r="L1143" s="1" t="s">
        <v>33</v>
      </c>
      <c r="M1143" s="1">
        <f>orders[[#This Row],[Ship Date]]-orders[[#This Row],[Order Date]]</f>
        <v>2</v>
      </c>
      <c r="N1143" s="1">
        <f>WEEKNUM(orders[[#This Row],[Order Date]])</f>
        <v>7</v>
      </c>
      <c r="O1143" s="1"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s="1">
        <v>75.2</v>
      </c>
      <c r="F1144" s="2">
        <v>45702</v>
      </c>
      <c r="G1144" s="2">
        <v>45704</v>
      </c>
      <c r="H1144" s="1" t="s">
        <v>27</v>
      </c>
      <c r="I1144" s="1" t="s">
        <v>35</v>
      </c>
      <c r="J1144" s="1">
        <v>5</v>
      </c>
      <c r="K1144" s="1" t="s">
        <v>19</v>
      </c>
      <c r="L1144" s="1" t="s">
        <v>33</v>
      </c>
      <c r="M1144" s="1">
        <f>orders[[#This Row],[Ship Date]]-orders[[#This Row],[Order Date]]</f>
        <v>2</v>
      </c>
      <c r="N1144" s="1">
        <f>WEEKNUM(orders[[#This Row],[Order Date]])</f>
        <v>7</v>
      </c>
      <c r="O1144" s="1"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s="1">
        <v>39.200000000000003</v>
      </c>
      <c r="F1145" s="2">
        <v>45702</v>
      </c>
      <c r="G1145" s="2">
        <v>45703</v>
      </c>
      <c r="H1145" s="1" t="s">
        <v>23</v>
      </c>
      <c r="I1145" s="1" t="s">
        <v>51</v>
      </c>
      <c r="J1145" s="1">
        <v>2</v>
      </c>
      <c r="K1145" s="1" t="s">
        <v>19</v>
      </c>
      <c r="L1145" s="1" t="s">
        <v>545</v>
      </c>
      <c r="M1145" s="1">
        <f>orders[[#This Row],[Ship Date]]-orders[[#This Row],[Order Date]]</f>
        <v>1</v>
      </c>
      <c r="N1145" s="1">
        <f>WEEKNUM(orders[[#This Row],[Order Date]])</f>
        <v>7</v>
      </c>
      <c r="O1145" s="1"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s="1">
        <v>92.5</v>
      </c>
      <c r="F1146" s="2">
        <v>45702</v>
      </c>
      <c r="G1146" s="2">
        <v>45703</v>
      </c>
      <c r="H1146" s="1" t="s">
        <v>27</v>
      </c>
      <c r="I1146" s="1" t="s">
        <v>40</v>
      </c>
      <c r="J1146" s="1">
        <v>3</v>
      </c>
      <c r="K1146" s="1" t="s">
        <v>19</v>
      </c>
      <c r="L1146" s="1" t="s">
        <v>55</v>
      </c>
      <c r="M1146" s="1">
        <f>orders[[#This Row],[Ship Date]]-orders[[#This Row],[Order Date]]</f>
        <v>1</v>
      </c>
      <c r="N1146" s="1">
        <f>WEEKNUM(orders[[#This Row],[Order Date]])</f>
        <v>7</v>
      </c>
      <c r="O1146" s="1"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s="1">
        <v>76.5</v>
      </c>
      <c r="F1147" s="2">
        <v>45702</v>
      </c>
      <c r="G1147" s="2">
        <v>45704</v>
      </c>
      <c r="H1147" s="1" t="s">
        <v>27</v>
      </c>
      <c r="I1147" s="1" t="s">
        <v>70</v>
      </c>
      <c r="J1147" s="1">
        <v>3</v>
      </c>
      <c r="K1147" s="1" t="s">
        <v>19</v>
      </c>
      <c r="L1147" s="1" t="s">
        <v>55</v>
      </c>
      <c r="M1147" s="1">
        <f>orders[[#This Row],[Ship Date]]-orders[[#This Row],[Order Date]]</f>
        <v>2</v>
      </c>
      <c r="N1147" s="1">
        <f>WEEKNUM(orders[[#This Row],[Order Date]])</f>
        <v>7</v>
      </c>
      <c r="O1147" s="1"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s="1">
        <v>189.4</v>
      </c>
      <c r="F1148" s="2">
        <v>45702</v>
      </c>
      <c r="G1148" s="2">
        <v>45703</v>
      </c>
      <c r="H1148" s="1" t="s">
        <v>27</v>
      </c>
      <c r="I1148" s="1" t="s">
        <v>40</v>
      </c>
      <c r="J1148" s="1">
        <v>4</v>
      </c>
      <c r="K1148" s="1" t="s">
        <v>19</v>
      </c>
      <c r="L1148" s="1" t="s">
        <v>342</v>
      </c>
      <c r="M1148" s="1">
        <f>orders[[#This Row],[Ship Date]]-orders[[#This Row],[Order Date]]</f>
        <v>1</v>
      </c>
      <c r="N1148" s="1">
        <f>WEEKNUM(orders[[#This Row],[Order Date]])</f>
        <v>7</v>
      </c>
      <c r="O1148" s="1"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s="1">
        <v>232.79999999999998</v>
      </c>
      <c r="F1149" s="2">
        <v>45702</v>
      </c>
      <c r="G1149" s="2">
        <v>45707</v>
      </c>
      <c r="H1149" s="1" t="s">
        <v>27</v>
      </c>
      <c r="I1149" s="1" t="s">
        <v>40</v>
      </c>
      <c r="J1149" s="1">
        <v>5</v>
      </c>
      <c r="K1149" s="1" t="s">
        <v>19</v>
      </c>
      <c r="L1149" s="1" t="s">
        <v>62</v>
      </c>
      <c r="M1149" s="1">
        <f>orders[[#This Row],[Ship Date]]-orders[[#This Row],[Order Date]]</f>
        <v>5</v>
      </c>
      <c r="N1149" s="1">
        <f>WEEKNUM(orders[[#This Row],[Order Date]])</f>
        <v>7</v>
      </c>
      <c r="O1149" s="1"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s="1">
        <v>98.8</v>
      </c>
      <c r="F1150" s="2">
        <v>45703</v>
      </c>
      <c r="G1150" s="2">
        <v>45711</v>
      </c>
      <c r="H1150" s="1" t="s">
        <v>23</v>
      </c>
      <c r="I1150" s="1" t="s">
        <v>70</v>
      </c>
      <c r="J1150" s="1">
        <v>3</v>
      </c>
      <c r="K1150" s="1" t="s">
        <v>19</v>
      </c>
      <c r="L1150" s="1" t="s">
        <v>62</v>
      </c>
      <c r="M1150" s="1">
        <f>orders[[#This Row],[Ship Date]]-orders[[#This Row],[Order Date]]</f>
        <v>8</v>
      </c>
      <c r="N1150" s="1">
        <f>WEEKNUM(orders[[#This Row],[Order Date]])</f>
        <v>7</v>
      </c>
      <c r="O1150" s="1"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s="1">
        <v>204</v>
      </c>
      <c r="F1151" s="2">
        <v>45703</v>
      </c>
      <c r="G1151" s="2">
        <v>45706</v>
      </c>
      <c r="H1151" s="1" t="s">
        <v>23</v>
      </c>
      <c r="I1151" s="1" t="s">
        <v>18</v>
      </c>
      <c r="J1151" s="1">
        <v>5</v>
      </c>
      <c r="K1151" s="1" t="s">
        <v>19</v>
      </c>
      <c r="L1151" s="1" t="s">
        <v>62</v>
      </c>
      <c r="M1151" s="1">
        <f>orders[[#This Row],[Ship Date]]-orders[[#This Row],[Order Date]]</f>
        <v>3</v>
      </c>
      <c r="N1151" s="1">
        <f>WEEKNUM(orders[[#This Row],[Order Date]])</f>
        <v>7</v>
      </c>
      <c r="O1151" s="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s="1">
        <v>445.90000000000003</v>
      </c>
      <c r="F1152" s="2">
        <v>45703</v>
      </c>
      <c r="G1152" s="2">
        <v>45704</v>
      </c>
      <c r="H1152" s="1" t="s">
        <v>27</v>
      </c>
      <c r="I1152" s="1" t="s">
        <v>40</v>
      </c>
      <c r="J1152" s="1">
        <v>5</v>
      </c>
      <c r="K1152" s="1" t="s">
        <v>19</v>
      </c>
      <c r="L1152" s="1" t="s">
        <v>62</v>
      </c>
      <c r="M1152" s="1">
        <f>orders[[#This Row],[Ship Date]]-orders[[#This Row],[Order Date]]</f>
        <v>1</v>
      </c>
      <c r="N1152" s="1">
        <f>WEEKNUM(orders[[#This Row],[Order Date]])</f>
        <v>7</v>
      </c>
      <c r="O1152" s="1"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s="1">
        <v>132.4</v>
      </c>
      <c r="F1153" s="2">
        <v>45703</v>
      </c>
      <c r="G1153" s="2">
        <v>45704</v>
      </c>
      <c r="H1153" s="1" t="s">
        <v>27</v>
      </c>
      <c r="I1153" s="1" t="s">
        <v>70</v>
      </c>
      <c r="J1153" s="1">
        <v>5</v>
      </c>
      <c r="K1153" s="1" t="s">
        <v>19</v>
      </c>
      <c r="L1153" s="1" t="s">
        <v>103</v>
      </c>
      <c r="M1153" s="1">
        <f>orders[[#This Row],[Ship Date]]-orders[[#This Row],[Order Date]]</f>
        <v>1</v>
      </c>
      <c r="N1153" s="1">
        <f>WEEKNUM(orders[[#This Row],[Order Date]])</f>
        <v>7</v>
      </c>
      <c r="O1153" s="1"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s="1">
        <v>96.899999999999991</v>
      </c>
      <c r="F1154" s="2">
        <v>45703</v>
      </c>
      <c r="G1154" s="2">
        <v>45704</v>
      </c>
      <c r="H1154" s="1" t="s">
        <v>89</v>
      </c>
      <c r="I1154" s="1" t="s">
        <v>40</v>
      </c>
      <c r="J1154" s="1">
        <v>3</v>
      </c>
      <c r="K1154" s="1" t="s">
        <v>19</v>
      </c>
      <c r="L1154" s="1" t="s">
        <v>72</v>
      </c>
      <c r="M1154" s="1">
        <f>orders[[#This Row],[Ship Date]]-orders[[#This Row],[Order Date]]</f>
        <v>1</v>
      </c>
      <c r="N1154" s="1">
        <f>WEEKNUM(orders[[#This Row],[Order Date]])</f>
        <v>7</v>
      </c>
      <c r="O1154" s="1"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s="1">
        <v>133.80000000000001</v>
      </c>
      <c r="F1155" s="2">
        <v>45703</v>
      </c>
      <c r="G1155" s="2">
        <v>45706</v>
      </c>
      <c r="H1155" s="1" t="s">
        <v>23</v>
      </c>
      <c r="I1155" s="1" t="s">
        <v>35</v>
      </c>
      <c r="J1155" s="1">
        <v>4</v>
      </c>
      <c r="K1155" s="1" t="s">
        <v>19</v>
      </c>
      <c r="L1155" s="1" t="s">
        <v>77</v>
      </c>
      <c r="M1155" s="1">
        <f>orders[[#This Row],[Ship Date]]-orders[[#This Row],[Order Date]]</f>
        <v>3</v>
      </c>
      <c r="N1155" s="1">
        <f>WEEKNUM(orders[[#This Row],[Order Date]])</f>
        <v>7</v>
      </c>
      <c r="O1155" s="1"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s="1">
        <v>302.39999999999998</v>
      </c>
      <c r="F1156" s="2">
        <v>45703</v>
      </c>
      <c r="G1156" s="2">
        <v>45707</v>
      </c>
      <c r="H1156" s="1" t="s">
        <v>27</v>
      </c>
      <c r="I1156" s="1" t="s">
        <v>18</v>
      </c>
      <c r="J1156" s="1">
        <v>3</v>
      </c>
      <c r="K1156" s="1" t="s">
        <v>19</v>
      </c>
      <c r="L1156" s="1" t="s">
        <v>77</v>
      </c>
      <c r="M1156" s="1">
        <f>orders[[#This Row],[Ship Date]]-orders[[#This Row],[Order Date]]</f>
        <v>4</v>
      </c>
      <c r="N1156" s="1">
        <f>WEEKNUM(orders[[#This Row],[Order Date]])</f>
        <v>7</v>
      </c>
      <c r="O1156" s="1"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s="1">
        <v>177</v>
      </c>
      <c r="F1157" s="2">
        <v>45703</v>
      </c>
      <c r="G1157" s="2">
        <v>45704</v>
      </c>
      <c r="H1157" s="1" t="s">
        <v>23</v>
      </c>
      <c r="I1157" s="1" t="s">
        <v>40</v>
      </c>
      <c r="J1157" s="1">
        <v>4</v>
      </c>
      <c r="K1157" s="1" t="s">
        <v>19</v>
      </c>
      <c r="L1157" s="1" t="s">
        <v>77</v>
      </c>
      <c r="M1157" s="1">
        <f>orders[[#This Row],[Ship Date]]-orders[[#This Row],[Order Date]]</f>
        <v>1</v>
      </c>
      <c r="N1157" s="1">
        <f>WEEKNUM(orders[[#This Row],[Order Date]])</f>
        <v>7</v>
      </c>
      <c r="O1157" s="1"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s="1">
        <v>108</v>
      </c>
      <c r="F1158" s="2">
        <v>45703</v>
      </c>
      <c r="G1158" s="2">
        <v>45705</v>
      </c>
      <c r="H1158" s="1" t="s">
        <v>27</v>
      </c>
      <c r="I1158" s="1" t="s">
        <v>18</v>
      </c>
      <c r="J1158" s="1">
        <v>5</v>
      </c>
      <c r="K1158" s="1" t="s">
        <v>19</v>
      </c>
      <c r="L1158" s="1" t="s">
        <v>309</v>
      </c>
      <c r="M1158" s="1">
        <f>orders[[#This Row],[Ship Date]]-orders[[#This Row],[Order Date]]</f>
        <v>2</v>
      </c>
      <c r="N1158" s="1">
        <f>WEEKNUM(orders[[#This Row],[Order Date]])</f>
        <v>7</v>
      </c>
      <c r="O1158" s="1"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s="1">
        <v>207</v>
      </c>
      <c r="F1159" s="2">
        <v>45703</v>
      </c>
      <c r="G1159" s="2">
        <v>45704</v>
      </c>
      <c r="H1159" s="1" t="s">
        <v>27</v>
      </c>
      <c r="I1159" s="1" t="s">
        <v>18</v>
      </c>
      <c r="J1159" s="1">
        <v>4</v>
      </c>
      <c r="K1159" s="1" t="s">
        <v>19</v>
      </c>
      <c r="L1159" s="1" t="s">
        <v>108</v>
      </c>
      <c r="M1159" s="1">
        <f>orders[[#This Row],[Ship Date]]-orders[[#This Row],[Order Date]]</f>
        <v>1</v>
      </c>
      <c r="N1159" s="1">
        <f>WEEKNUM(orders[[#This Row],[Order Date]])</f>
        <v>7</v>
      </c>
      <c r="O1159" s="1"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s="1">
        <v>230</v>
      </c>
      <c r="F1160" s="2">
        <v>45703</v>
      </c>
      <c r="G1160" s="2">
        <v>45707</v>
      </c>
      <c r="H1160" s="1" t="s">
        <v>23</v>
      </c>
      <c r="I1160" s="1" t="s">
        <v>18</v>
      </c>
      <c r="J1160" s="1">
        <v>5</v>
      </c>
      <c r="K1160" s="1" t="s">
        <v>19</v>
      </c>
      <c r="L1160" s="1" t="s">
        <v>108</v>
      </c>
      <c r="M1160" s="1">
        <f>orders[[#This Row],[Ship Date]]-orders[[#This Row],[Order Date]]</f>
        <v>4</v>
      </c>
      <c r="N1160" s="1">
        <f>WEEKNUM(orders[[#This Row],[Order Date]])</f>
        <v>7</v>
      </c>
      <c r="O1160" s="1"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s="1">
        <v>218.6</v>
      </c>
      <c r="F1161" s="2">
        <v>45703</v>
      </c>
      <c r="G1161" s="2">
        <v>45705</v>
      </c>
      <c r="H1161" s="1" t="s">
        <v>17</v>
      </c>
      <c r="I1161" s="1" t="s">
        <v>51</v>
      </c>
      <c r="J1161" s="1">
        <v>3</v>
      </c>
      <c r="K1161" s="1" t="s">
        <v>19</v>
      </c>
      <c r="L1161" s="1" t="s">
        <v>110</v>
      </c>
      <c r="M1161" s="1">
        <f>orders[[#This Row],[Ship Date]]-orders[[#This Row],[Order Date]]</f>
        <v>2</v>
      </c>
      <c r="N1161" s="1">
        <f>WEEKNUM(orders[[#This Row],[Order Date]])</f>
        <v>7</v>
      </c>
      <c r="O1161" s="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s="1">
        <v>133.19999999999999</v>
      </c>
      <c r="F1162" s="2">
        <v>45703</v>
      </c>
      <c r="G1162" s="2">
        <v>45706</v>
      </c>
      <c r="H1162" s="1" t="s">
        <v>17</v>
      </c>
      <c r="I1162" s="1" t="s">
        <v>70</v>
      </c>
      <c r="J1162" s="1">
        <v>3</v>
      </c>
      <c r="K1162" s="1" t="s">
        <v>19</v>
      </c>
      <c r="L1162" s="1" t="s">
        <v>110</v>
      </c>
      <c r="M1162" s="1">
        <f>orders[[#This Row],[Ship Date]]-orders[[#This Row],[Order Date]]</f>
        <v>3</v>
      </c>
      <c r="N1162" s="1">
        <f>WEEKNUM(orders[[#This Row],[Order Date]])</f>
        <v>7</v>
      </c>
      <c r="O1162" s="1"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s="1">
        <v>238.5</v>
      </c>
      <c r="F1163" s="2">
        <v>45703</v>
      </c>
      <c r="G1163" s="2">
        <v>45704</v>
      </c>
      <c r="H1163" s="1" t="s">
        <v>23</v>
      </c>
      <c r="I1163" s="1" t="s">
        <v>51</v>
      </c>
      <c r="J1163" s="1">
        <v>5</v>
      </c>
      <c r="K1163" s="1" t="s">
        <v>19</v>
      </c>
      <c r="L1163" s="1" t="s">
        <v>115</v>
      </c>
      <c r="M1163" s="1">
        <f>orders[[#This Row],[Ship Date]]-orders[[#This Row],[Order Date]]</f>
        <v>1</v>
      </c>
      <c r="N1163" s="1">
        <f>WEEKNUM(orders[[#This Row],[Order Date]])</f>
        <v>7</v>
      </c>
      <c r="O1163" s="1"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s="1">
        <v>92</v>
      </c>
      <c r="F1164" s="2">
        <v>45703</v>
      </c>
      <c r="G1164" s="2">
        <v>45704</v>
      </c>
      <c r="H1164" s="1" t="s">
        <v>27</v>
      </c>
      <c r="I1164" s="1" t="s">
        <v>70</v>
      </c>
      <c r="J1164" s="1">
        <v>2</v>
      </c>
      <c r="K1164" s="1" t="s">
        <v>19</v>
      </c>
      <c r="L1164" s="1" t="s">
        <v>147</v>
      </c>
      <c r="M1164" s="1">
        <f>orders[[#This Row],[Ship Date]]-orders[[#This Row],[Order Date]]</f>
        <v>1</v>
      </c>
      <c r="N1164" s="1">
        <f>WEEKNUM(orders[[#This Row],[Order Date]])</f>
        <v>7</v>
      </c>
      <c r="O1164" s="1"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s="1">
        <v>235.79999999999998</v>
      </c>
      <c r="F1165" s="2">
        <v>45703</v>
      </c>
      <c r="G1165" s="2">
        <v>45705</v>
      </c>
      <c r="H1165" s="1" t="s">
        <v>23</v>
      </c>
      <c r="I1165" s="1" t="s">
        <v>51</v>
      </c>
      <c r="J1165" s="1">
        <v>5</v>
      </c>
      <c r="K1165" s="1" t="s">
        <v>19</v>
      </c>
      <c r="L1165" s="1" t="s">
        <v>33</v>
      </c>
      <c r="M1165" s="1">
        <f>orders[[#This Row],[Ship Date]]-orders[[#This Row],[Order Date]]</f>
        <v>2</v>
      </c>
      <c r="N1165" s="1">
        <f>WEEKNUM(orders[[#This Row],[Order Date]])</f>
        <v>7</v>
      </c>
      <c r="O1165" s="1"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s="1">
        <v>70.2</v>
      </c>
      <c r="F1166" s="2">
        <v>45703</v>
      </c>
      <c r="G1166" s="2">
        <v>45704</v>
      </c>
      <c r="H1166" s="1" t="s">
        <v>27</v>
      </c>
      <c r="I1166" s="1" t="s">
        <v>18</v>
      </c>
      <c r="J1166" s="1">
        <v>2</v>
      </c>
      <c r="K1166" s="1" t="s">
        <v>19</v>
      </c>
      <c r="L1166" s="1" t="s">
        <v>33</v>
      </c>
      <c r="M1166" s="1">
        <f>orders[[#This Row],[Ship Date]]-orders[[#This Row],[Order Date]]</f>
        <v>1</v>
      </c>
      <c r="N1166" s="1">
        <f>WEEKNUM(orders[[#This Row],[Order Date]])</f>
        <v>7</v>
      </c>
      <c r="O1166" s="1"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s="1">
        <v>286</v>
      </c>
      <c r="F1167" s="2">
        <v>45703</v>
      </c>
      <c r="G1167" s="2">
        <v>45703</v>
      </c>
      <c r="H1167" s="1" t="s">
        <v>27</v>
      </c>
      <c r="I1167" s="1" t="s">
        <v>35</v>
      </c>
      <c r="J1167" s="1">
        <v>5</v>
      </c>
      <c r="K1167" s="1" t="s">
        <v>19</v>
      </c>
      <c r="L1167" s="1" t="s">
        <v>33</v>
      </c>
      <c r="M1167" s="1">
        <f>orders[[#This Row],[Ship Date]]-orders[[#This Row],[Order Date]]</f>
        <v>0</v>
      </c>
      <c r="N1167" s="1">
        <f>WEEKNUM(orders[[#This Row],[Order Date]])</f>
        <v>7</v>
      </c>
      <c r="O1167" s="1"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s="1">
        <v>217</v>
      </c>
      <c r="F1168" s="2">
        <v>45703</v>
      </c>
      <c r="G1168" s="2">
        <v>45710</v>
      </c>
      <c r="H1168" s="1" t="s">
        <v>27</v>
      </c>
      <c r="I1168" s="1" t="s">
        <v>51</v>
      </c>
      <c r="J1168" s="1">
        <v>5</v>
      </c>
      <c r="K1168" s="1" t="s">
        <v>19</v>
      </c>
      <c r="L1168" s="1" t="s">
        <v>33</v>
      </c>
      <c r="M1168" s="1">
        <f>orders[[#This Row],[Ship Date]]-orders[[#This Row],[Order Date]]</f>
        <v>7</v>
      </c>
      <c r="N1168" s="1">
        <f>WEEKNUM(orders[[#This Row],[Order Date]])</f>
        <v>7</v>
      </c>
      <c r="O1168" s="1"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s="1">
        <v>341</v>
      </c>
      <c r="F1169" s="2">
        <v>45703</v>
      </c>
      <c r="G1169" s="2">
        <v>45708</v>
      </c>
      <c r="H1169" s="1" t="s">
        <v>27</v>
      </c>
      <c r="I1169" s="1" t="s">
        <v>18</v>
      </c>
      <c r="J1169" s="1">
        <v>5</v>
      </c>
      <c r="K1169" s="1" t="s">
        <v>19</v>
      </c>
      <c r="L1169" s="1" t="s">
        <v>33</v>
      </c>
      <c r="M1169" s="1">
        <f>orders[[#This Row],[Ship Date]]-orders[[#This Row],[Order Date]]</f>
        <v>5</v>
      </c>
      <c r="N1169" s="1">
        <f>WEEKNUM(orders[[#This Row],[Order Date]])</f>
        <v>7</v>
      </c>
      <c r="O1169" s="1"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s="1">
        <v>91.4</v>
      </c>
      <c r="F1170" s="2">
        <v>45703</v>
      </c>
      <c r="G1170" s="2">
        <v>45707</v>
      </c>
      <c r="H1170" s="1" t="s">
        <v>27</v>
      </c>
      <c r="I1170" s="1" t="s">
        <v>35</v>
      </c>
      <c r="J1170" s="1">
        <v>5</v>
      </c>
      <c r="K1170" s="1" t="s">
        <v>19</v>
      </c>
      <c r="L1170" s="1" t="s">
        <v>55</v>
      </c>
      <c r="M1170" s="1">
        <f>orders[[#This Row],[Ship Date]]-orders[[#This Row],[Order Date]]</f>
        <v>4</v>
      </c>
      <c r="N1170" s="1">
        <f>WEEKNUM(orders[[#This Row],[Order Date]])</f>
        <v>7</v>
      </c>
      <c r="O1170" s="1"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s="1">
        <v>1129</v>
      </c>
      <c r="F1171" s="2">
        <v>45703</v>
      </c>
      <c r="G1171" s="2">
        <v>45704</v>
      </c>
      <c r="H1171" s="1" t="s">
        <v>27</v>
      </c>
      <c r="I1171" s="1" t="s">
        <v>18</v>
      </c>
      <c r="J1171" s="1">
        <v>4</v>
      </c>
      <c r="K1171" s="1" t="s">
        <v>19</v>
      </c>
      <c r="L1171" s="1" t="s">
        <v>55</v>
      </c>
      <c r="M1171" s="1">
        <f>orders[[#This Row],[Ship Date]]-orders[[#This Row],[Order Date]]</f>
        <v>1</v>
      </c>
      <c r="N1171" s="1">
        <f>WEEKNUM(orders[[#This Row],[Order Date]])</f>
        <v>7</v>
      </c>
      <c r="O1171" s="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s="1">
        <v>303.3</v>
      </c>
      <c r="F1172" s="2">
        <v>45703</v>
      </c>
      <c r="G1172" s="2">
        <v>45704</v>
      </c>
      <c r="H1172" s="1" t="s">
        <v>27</v>
      </c>
      <c r="I1172" s="1" t="s">
        <v>35</v>
      </c>
      <c r="J1172" s="1">
        <v>5</v>
      </c>
      <c r="K1172" s="1" t="s">
        <v>19</v>
      </c>
      <c r="L1172" s="1" t="s">
        <v>62</v>
      </c>
      <c r="M1172" s="1">
        <f>orders[[#This Row],[Ship Date]]-orders[[#This Row],[Order Date]]</f>
        <v>1</v>
      </c>
      <c r="N1172" s="1">
        <f>WEEKNUM(orders[[#This Row],[Order Date]])</f>
        <v>7</v>
      </c>
      <c r="O1172" s="1"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s="1">
        <v>353</v>
      </c>
      <c r="F1173" s="2">
        <v>45703</v>
      </c>
      <c r="G1173" s="2">
        <v>45705</v>
      </c>
      <c r="H1173" s="1" t="s">
        <v>23</v>
      </c>
      <c r="I1173" s="1" t="s">
        <v>40</v>
      </c>
      <c r="J1173" s="1">
        <v>4</v>
      </c>
      <c r="K1173" s="1" t="s">
        <v>19</v>
      </c>
      <c r="L1173" s="1" t="s">
        <v>62</v>
      </c>
      <c r="M1173" s="1">
        <f>orders[[#This Row],[Ship Date]]-orders[[#This Row],[Order Date]]</f>
        <v>2</v>
      </c>
      <c r="N1173" s="1">
        <f>WEEKNUM(orders[[#This Row],[Order Date]])</f>
        <v>7</v>
      </c>
      <c r="O1173" s="1"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s="1">
        <v>136.80000000000001</v>
      </c>
      <c r="F1174" s="2">
        <v>45703</v>
      </c>
      <c r="G1174" s="2">
        <v>45707</v>
      </c>
      <c r="H1174" s="1" t="s">
        <v>23</v>
      </c>
      <c r="I1174" s="1" t="s">
        <v>51</v>
      </c>
      <c r="J1174" s="1">
        <v>4</v>
      </c>
      <c r="K1174" s="1" t="s">
        <v>19</v>
      </c>
      <c r="L1174" s="1" t="s">
        <v>62</v>
      </c>
      <c r="M1174" s="1">
        <f>orders[[#This Row],[Ship Date]]-orders[[#This Row],[Order Date]]</f>
        <v>4</v>
      </c>
      <c r="N1174" s="1">
        <f>WEEKNUM(orders[[#This Row],[Order Date]])</f>
        <v>7</v>
      </c>
      <c r="O1174" s="1"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s="1">
        <v>329.7</v>
      </c>
      <c r="F1175" s="2">
        <v>45703</v>
      </c>
      <c r="G1175" s="2">
        <v>45704</v>
      </c>
      <c r="H1175" s="1" t="s">
        <v>27</v>
      </c>
      <c r="I1175" s="1" t="s">
        <v>70</v>
      </c>
      <c r="J1175" s="1">
        <v>5</v>
      </c>
      <c r="K1175" s="1" t="s">
        <v>19</v>
      </c>
      <c r="L1175" s="1" t="s">
        <v>72</v>
      </c>
      <c r="M1175" s="1">
        <f>orders[[#This Row],[Ship Date]]-orders[[#This Row],[Order Date]]</f>
        <v>1</v>
      </c>
      <c r="N1175" s="1">
        <f>WEEKNUM(orders[[#This Row],[Order Date]])</f>
        <v>7</v>
      </c>
      <c r="O1175" s="1"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s="1">
        <v>81</v>
      </c>
      <c r="F1176" s="2">
        <v>45703</v>
      </c>
      <c r="G1176" s="2">
        <v>45705</v>
      </c>
      <c r="H1176" s="1" t="s">
        <v>27</v>
      </c>
      <c r="I1176" s="1" t="s">
        <v>51</v>
      </c>
      <c r="J1176" s="1">
        <v>5</v>
      </c>
      <c r="K1176" s="1" t="s">
        <v>19</v>
      </c>
      <c r="L1176" s="1" t="s">
        <v>110</v>
      </c>
      <c r="M1176" s="1">
        <f>orders[[#This Row],[Ship Date]]-orders[[#This Row],[Order Date]]</f>
        <v>2</v>
      </c>
      <c r="N1176" s="1">
        <f>WEEKNUM(orders[[#This Row],[Order Date]])</f>
        <v>7</v>
      </c>
      <c r="O1176" s="1"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s="1">
        <v>319.39999999999998</v>
      </c>
      <c r="F1177" s="2">
        <v>45704</v>
      </c>
      <c r="G1177" s="2">
        <v>45705</v>
      </c>
      <c r="H1177" s="1" t="s">
        <v>23</v>
      </c>
      <c r="I1177" s="1" t="s">
        <v>70</v>
      </c>
      <c r="J1177" s="1">
        <v>4</v>
      </c>
      <c r="K1177" s="1" t="s">
        <v>19</v>
      </c>
      <c r="L1177" s="1" t="s">
        <v>82</v>
      </c>
      <c r="M1177" s="1">
        <f>orders[[#This Row],[Ship Date]]-orders[[#This Row],[Order Date]]</f>
        <v>1</v>
      </c>
      <c r="N1177" s="1">
        <f>WEEKNUM(orders[[#This Row],[Order Date]])</f>
        <v>8</v>
      </c>
      <c r="O1177" s="1"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s="1">
        <v>76</v>
      </c>
      <c r="F1178" s="2">
        <v>45704</v>
      </c>
      <c r="G1178" s="2">
        <v>45711</v>
      </c>
      <c r="H1178" s="1" t="s">
        <v>27</v>
      </c>
      <c r="I1178" s="1" t="s">
        <v>40</v>
      </c>
      <c r="J1178" s="1">
        <v>5</v>
      </c>
      <c r="K1178" s="1" t="s">
        <v>19</v>
      </c>
      <c r="L1178" s="1" t="s">
        <v>115</v>
      </c>
      <c r="M1178" s="1">
        <f>orders[[#This Row],[Ship Date]]-orders[[#This Row],[Order Date]]</f>
        <v>7</v>
      </c>
      <c r="N1178" s="1">
        <f>WEEKNUM(orders[[#This Row],[Order Date]])</f>
        <v>8</v>
      </c>
      <c r="O1178" s="1"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s="1">
        <v>546.59999999999991</v>
      </c>
      <c r="F1179" s="2">
        <v>45704</v>
      </c>
      <c r="G1179" s="2">
        <v>45713</v>
      </c>
      <c r="H1179" s="1" t="s">
        <v>27</v>
      </c>
      <c r="I1179" s="1" t="s">
        <v>70</v>
      </c>
      <c r="J1179" s="1">
        <v>4</v>
      </c>
      <c r="K1179" s="1" t="s">
        <v>19</v>
      </c>
      <c r="L1179" s="1" t="s">
        <v>115</v>
      </c>
      <c r="M1179" s="1">
        <f>orders[[#This Row],[Ship Date]]-orders[[#This Row],[Order Date]]</f>
        <v>9</v>
      </c>
      <c r="N1179" s="1">
        <f>WEEKNUM(orders[[#This Row],[Order Date]])</f>
        <v>8</v>
      </c>
      <c r="O1179" s="1"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s="1">
        <v>470.5</v>
      </c>
      <c r="F1180" s="2">
        <v>45704</v>
      </c>
      <c r="G1180" s="2">
        <v>45707</v>
      </c>
      <c r="H1180" s="1" t="s">
        <v>17</v>
      </c>
      <c r="I1180" s="1" t="s">
        <v>35</v>
      </c>
      <c r="J1180" s="1">
        <v>3</v>
      </c>
      <c r="K1180" s="1" t="s">
        <v>19</v>
      </c>
      <c r="L1180" s="1" t="s">
        <v>115</v>
      </c>
      <c r="M1180" s="1">
        <f>orders[[#This Row],[Ship Date]]-orders[[#This Row],[Order Date]]</f>
        <v>3</v>
      </c>
      <c r="N1180" s="1">
        <f>WEEKNUM(orders[[#This Row],[Order Date]])</f>
        <v>8</v>
      </c>
      <c r="O1180" s="1"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s="1">
        <v>189.9</v>
      </c>
      <c r="F1181" s="2">
        <v>45704</v>
      </c>
      <c r="G1181" s="2">
        <v>45705</v>
      </c>
      <c r="H1181" s="1" t="s">
        <v>27</v>
      </c>
      <c r="I1181" s="1" t="s">
        <v>70</v>
      </c>
      <c r="J1181" s="1">
        <v>5</v>
      </c>
      <c r="K1181" s="1" t="s">
        <v>19</v>
      </c>
      <c r="L1181" s="1" t="s">
        <v>967</v>
      </c>
      <c r="M1181" s="1">
        <f>orders[[#This Row],[Ship Date]]-orders[[#This Row],[Order Date]]</f>
        <v>1</v>
      </c>
      <c r="N1181" s="1">
        <f>WEEKNUM(orders[[#This Row],[Order Date]])</f>
        <v>8</v>
      </c>
      <c r="O1181" s="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s="1">
        <v>107.10000000000001</v>
      </c>
      <c r="F1182" s="2">
        <v>45704</v>
      </c>
      <c r="G1182" s="2">
        <v>45712</v>
      </c>
      <c r="H1182" s="1" t="s">
        <v>27</v>
      </c>
      <c r="I1182" s="1" t="s">
        <v>40</v>
      </c>
      <c r="J1182" s="1">
        <v>4</v>
      </c>
      <c r="K1182" s="1" t="s">
        <v>19</v>
      </c>
      <c r="L1182" s="1" t="s">
        <v>24</v>
      </c>
      <c r="M1182" s="1">
        <f>orders[[#This Row],[Ship Date]]-orders[[#This Row],[Order Date]]</f>
        <v>8</v>
      </c>
      <c r="N1182" s="1">
        <f>WEEKNUM(orders[[#This Row],[Order Date]])</f>
        <v>8</v>
      </c>
      <c r="O1182" s="1"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s="1">
        <v>85.2</v>
      </c>
      <c r="F1183" s="2">
        <v>45704</v>
      </c>
      <c r="G1183" s="2">
        <v>45707</v>
      </c>
      <c r="H1183" s="1" t="s">
        <v>23</v>
      </c>
      <c r="I1183" s="1" t="s">
        <v>35</v>
      </c>
      <c r="J1183" s="1">
        <v>4</v>
      </c>
      <c r="K1183" s="1" t="s">
        <v>19</v>
      </c>
      <c r="L1183" s="1" t="s">
        <v>33</v>
      </c>
      <c r="M1183" s="1">
        <f>orders[[#This Row],[Ship Date]]-orders[[#This Row],[Order Date]]</f>
        <v>3</v>
      </c>
      <c r="N1183" s="1">
        <f>WEEKNUM(orders[[#This Row],[Order Date]])</f>
        <v>8</v>
      </c>
      <c r="O1183" s="1"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s="1">
        <v>46.4</v>
      </c>
      <c r="F1184" s="2">
        <v>45704</v>
      </c>
      <c r="G1184" s="2">
        <v>45704</v>
      </c>
      <c r="H1184" s="1" t="s">
        <v>17</v>
      </c>
      <c r="I1184" s="1" t="s">
        <v>51</v>
      </c>
      <c r="J1184" s="1">
        <v>3</v>
      </c>
      <c r="K1184" s="1" t="s">
        <v>19</v>
      </c>
      <c r="L1184" s="1" t="s">
        <v>33</v>
      </c>
      <c r="M1184" s="1">
        <f>orders[[#This Row],[Ship Date]]-orders[[#This Row],[Order Date]]</f>
        <v>0</v>
      </c>
      <c r="N1184" s="1">
        <f>WEEKNUM(orders[[#This Row],[Order Date]])</f>
        <v>8</v>
      </c>
      <c r="O1184" s="1"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s="1">
        <v>77.099999999999994</v>
      </c>
      <c r="F1185" s="2">
        <v>45704</v>
      </c>
      <c r="G1185" s="2">
        <v>45705</v>
      </c>
      <c r="H1185" s="1" t="s">
        <v>23</v>
      </c>
      <c r="I1185" s="1" t="s">
        <v>70</v>
      </c>
      <c r="J1185" s="1">
        <v>4</v>
      </c>
      <c r="K1185" s="1" t="s">
        <v>19</v>
      </c>
      <c r="L1185" s="1" t="s">
        <v>33</v>
      </c>
      <c r="M1185" s="1">
        <f>orders[[#This Row],[Ship Date]]-orders[[#This Row],[Order Date]]</f>
        <v>1</v>
      </c>
      <c r="N1185" s="1">
        <f>WEEKNUM(orders[[#This Row],[Order Date]])</f>
        <v>8</v>
      </c>
      <c r="O1185" s="1"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s="1">
        <v>284.40000000000003</v>
      </c>
      <c r="F1186" s="2">
        <v>45704</v>
      </c>
      <c r="G1186" s="2">
        <v>45706</v>
      </c>
      <c r="H1186" s="1" t="s">
        <v>27</v>
      </c>
      <c r="I1186" s="1" t="s">
        <v>18</v>
      </c>
      <c r="J1186" s="1">
        <v>4</v>
      </c>
      <c r="K1186" s="1" t="s">
        <v>19</v>
      </c>
      <c r="L1186" s="1" t="s">
        <v>33</v>
      </c>
      <c r="M1186" s="1">
        <f>orders[[#This Row],[Ship Date]]-orders[[#This Row],[Order Date]]</f>
        <v>2</v>
      </c>
      <c r="N1186" s="1">
        <f>WEEKNUM(orders[[#This Row],[Order Date]])</f>
        <v>8</v>
      </c>
      <c r="O1186" s="1"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s="1">
        <v>64.2</v>
      </c>
      <c r="F1187" s="2">
        <v>45704</v>
      </c>
      <c r="G1187" s="2">
        <v>45709</v>
      </c>
      <c r="H1187" s="1" t="s">
        <v>23</v>
      </c>
      <c r="I1187" s="1" t="s">
        <v>18</v>
      </c>
      <c r="J1187" s="1">
        <v>4</v>
      </c>
      <c r="K1187" s="1" t="s">
        <v>19</v>
      </c>
      <c r="L1187" s="1" t="s">
        <v>33</v>
      </c>
      <c r="M1187" s="1">
        <f>orders[[#This Row],[Ship Date]]-orders[[#This Row],[Order Date]]</f>
        <v>5</v>
      </c>
      <c r="N1187" s="1">
        <f>WEEKNUM(orders[[#This Row],[Order Date]])</f>
        <v>8</v>
      </c>
      <c r="O1187" s="1"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s="1">
        <v>111.6</v>
      </c>
      <c r="F1188" s="2">
        <v>45704</v>
      </c>
      <c r="G1188" s="2">
        <v>45706</v>
      </c>
      <c r="H1188" s="1" t="s">
        <v>17</v>
      </c>
      <c r="I1188" s="1" t="s">
        <v>18</v>
      </c>
      <c r="J1188" s="1">
        <v>4</v>
      </c>
      <c r="K1188" s="1" t="s">
        <v>19</v>
      </c>
      <c r="L1188" s="1" t="s">
        <v>33</v>
      </c>
      <c r="M1188" s="1">
        <f>orders[[#This Row],[Ship Date]]-orders[[#This Row],[Order Date]]</f>
        <v>2</v>
      </c>
      <c r="N1188" s="1">
        <f>WEEKNUM(orders[[#This Row],[Order Date]])</f>
        <v>8</v>
      </c>
      <c r="O1188" s="1"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s="1">
        <v>56.2</v>
      </c>
      <c r="F1189" s="2">
        <v>45704</v>
      </c>
      <c r="G1189" s="2">
        <v>45705</v>
      </c>
      <c r="H1189" s="1" t="s">
        <v>27</v>
      </c>
      <c r="I1189" s="1" t="s">
        <v>70</v>
      </c>
      <c r="J1189" s="1">
        <v>3</v>
      </c>
      <c r="K1189" s="1" t="s">
        <v>19</v>
      </c>
      <c r="L1189" s="1" t="s">
        <v>33</v>
      </c>
      <c r="M1189" s="1">
        <f>orders[[#This Row],[Ship Date]]-orders[[#This Row],[Order Date]]</f>
        <v>1</v>
      </c>
      <c r="N1189" s="1">
        <f>WEEKNUM(orders[[#This Row],[Order Date]])</f>
        <v>8</v>
      </c>
      <c r="O1189" s="1"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s="1">
        <v>23.2</v>
      </c>
      <c r="F1190" s="2">
        <v>45704</v>
      </c>
      <c r="G1190" s="2">
        <v>45706</v>
      </c>
      <c r="H1190" s="1" t="s">
        <v>27</v>
      </c>
      <c r="I1190" s="1" t="s">
        <v>35</v>
      </c>
      <c r="J1190" s="1">
        <v>4</v>
      </c>
      <c r="K1190" s="1" t="s">
        <v>19</v>
      </c>
      <c r="L1190" s="1" t="s">
        <v>186</v>
      </c>
      <c r="M1190" s="1">
        <f>orders[[#This Row],[Ship Date]]-orders[[#This Row],[Order Date]]</f>
        <v>2</v>
      </c>
      <c r="N1190" s="1">
        <f>WEEKNUM(orders[[#This Row],[Order Date]])</f>
        <v>8</v>
      </c>
      <c r="O1190" s="1"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s="1">
        <v>151.19999999999999</v>
      </c>
      <c r="F1191" s="2">
        <v>45704</v>
      </c>
      <c r="G1191" s="2">
        <v>45705</v>
      </c>
      <c r="H1191" s="1" t="s">
        <v>23</v>
      </c>
      <c r="I1191" s="1" t="s">
        <v>70</v>
      </c>
      <c r="J1191" s="1">
        <v>5</v>
      </c>
      <c r="K1191" s="1" t="s">
        <v>19</v>
      </c>
      <c r="L1191" s="1" t="s">
        <v>188</v>
      </c>
      <c r="M1191" s="1">
        <f>orders[[#This Row],[Ship Date]]-orders[[#This Row],[Order Date]]</f>
        <v>1</v>
      </c>
      <c r="N1191" s="1">
        <f>WEEKNUM(orders[[#This Row],[Order Date]])</f>
        <v>8</v>
      </c>
      <c r="O1191" s="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s="1">
        <v>289.79999999999995</v>
      </c>
      <c r="F1192" s="2">
        <v>45704</v>
      </c>
      <c r="G1192" s="2">
        <v>45708</v>
      </c>
      <c r="H1192" s="1" t="s">
        <v>27</v>
      </c>
      <c r="I1192" s="1" t="s">
        <v>18</v>
      </c>
      <c r="J1192" s="1">
        <v>4</v>
      </c>
      <c r="K1192" s="1" t="s">
        <v>19</v>
      </c>
      <c r="L1192" s="1" t="s">
        <v>188</v>
      </c>
      <c r="M1192" s="1">
        <f>orders[[#This Row],[Ship Date]]-orders[[#This Row],[Order Date]]</f>
        <v>4</v>
      </c>
      <c r="N1192" s="1">
        <f>WEEKNUM(orders[[#This Row],[Order Date]])</f>
        <v>8</v>
      </c>
      <c r="O1192" s="1"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s="1">
        <v>225.40000000000003</v>
      </c>
      <c r="F1193" s="2">
        <v>45704</v>
      </c>
      <c r="G1193" s="2">
        <v>45706</v>
      </c>
      <c r="H1193" s="1" t="s">
        <v>27</v>
      </c>
      <c r="I1193" s="1" t="s">
        <v>40</v>
      </c>
      <c r="J1193" s="1">
        <v>4</v>
      </c>
      <c r="K1193" s="1" t="s">
        <v>19</v>
      </c>
      <c r="L1193" s="1" t="s">
        <v>188</v>
      </c>
      <c r="M1193" s="1">
        <f>orders[[#This Row],[Ship Date]]-orders[[#This Row],[Order Date]]</f>
        <v>2</v>
      </c>
      <c r="N1193" s="1">
        <f>WEEKNUM(orders[[#This Row],[Order Date]])</f>
        <v>8</v>
      </c>
      <c r="O1193" s="1"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s="1">
        <v>1358</v>
      </c>
      <c r="F1194" s="2">
        <v>45704</v>
      </c>
      <c r="G1194" s="2">
        <v>45705</v>
      </c>
      <c r="H1194" s="1" t="s">
        <v>23</v>
      </c>
      <c r="I1194" s="1" t="s">
        <v>18</v>
      </c>
      <c r="J1194" s="1">
        <v>4</v>
      </c>
      <c r="K1194" s="1" t="s">
        <v>19</v>
      </c>
      <c r="L1194" s="1" t="s">
        <v>52</v>
      </c>
      <c r="M1194" s="1">
        <f>orders[[#This Row],[Ship Date]]-orders[[#This Row],[Order Date]]</f>
        <v>1</v>
      </c>
      <c r="N1194" s="1">
        <f>WEEKNUM(orders[[#This Row],[Order Date]])</f>
        <v>8</v>
      </c>
      <c r="O1194" s="1"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s="1">
        <v>310</v>
      </c>
      <c r="F1195" s="2">
        <v>45704</v>
      </c>
      <c r="G1195" s="2">
        <v>45707</v>
      </c>
      <c r="H1195" s="1" t="s">
        <v>27</v>
      </c>
      <c r="I1195" s="1" t="s">
        <v>35</v>
      </c>
      <c r="J1195" s="1">
        <v>4</v>
      </c>
      <c r="K1195" s="1" t="s">
        <v>19</v>
      </c>
      <c r="L1195" s="1" t="s">
        <v>55</v>
      </c>
      <c r="M1195" s="1">
        <f>orders[[#This Row],[Ship Date]]-orders[[#This Row],[Order Date]]</f>
        <v>3</v>
      </c>
      <c r="N1195" s="1">
        <f>WEEKNUM(orders[[#This Row],[Order Date]])</f>
        <v>8</v>
      </c>
      <c r="O1195" s="1"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s="1">
        <v>96.300000000000011</v>
      </c>
      <c r="F1196" s="2">
        <v>45705</v>
      </c>
      <c r="G1196" s="2">
        <v>45707</v>
      </c>
      <c r="H1196" s="1" t="s">
        <v>23</v>
      </c>
      <c r="I1196" s="1" t="s">
        <v>18</v>
      </c>
      <c r="J1196" s="1">
        <v>4</v>
      </c>
      <c r="K1196" s="1" t="s">
        <v>19</v>
      </c>
      <c r="L1196" s="1" t="s">
        <v>55</v>
      </c>
      <c r="M1196" s="1">
        <f>orders[[#This Row],[Ship Date]]-orders[[#This Row],[Order Date]]</f>
        <v>2</v>
      </c>
      <c r="N1196" s="1">
        <f>WEEKNUM(orders[[#This Row],[Order Date]])</f>
        <v>8</v>
      </c>
      <c r="O1196" s="1"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s="1">
        <v>318.29999999999995</v>
      </c>
      <c r="F1197" s="2">
        <v>45705</v>
      </c>
      <c r="G1197" s="2">
        <v>45707</v>
      </c>
      <c r="H1197" s="1" t="s">
        <v>23</v>
      </c>
      <c r="I1197" s="1" t="s">
        <v>18</v>
      </c>
      <c r="J1197" s="1">
        <v>3</v>
      </c>
      <c r="K1197" s="1" t="s">
        <v>19</v>
      </c>
      <c r="L1197" s="1" t="s">
        <v>59</v>
      </c>
      <c r="M1197" s="1">
        <f>orders[[#This Row],[Ship Date]]-orders[[#This Row],[Order Date]]</f>
        <v>2</v>
      </c>
      <c r="N1197" s="1">
        <f>WEEKNUM(orders[[#This Row],[Order Date]])</f>
        <v>8</v>
      </c>
      <c r="O1197" s="1"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s="1">
        <v>70.5</v>
      </c>
      <c r="F1198" s="2">
        <v>45705</v>
      </c>
      <c r="G1198" s="2">
        <v>45708</v>
      </c>
      <c r="H1198" s="1" t="s">
        <v>23</v>
      </c>
      <c r="I1198" s="1" t="s">
        <v>18</v>
      </c>
      <c r="J1198" s="1">
        <v>2</v>
      </c>
      <c r="K1198" s="1" t="s">
        <v>19</v>
      </c>
      <c r="L1198" s="1" t="s">
        <v>59</v>
      </c>
      <c r="M1198" s="1">
        <f>orders[[#This Row],[Ship Date]]-orders[[#This Row],[Order Date]]</f>
        <v>3</v>
      </c>
      <c r="N1198" s="1">
        <f>WEEKNUM(orders[[#This Row],[Order Date]])</f>
        <v>8</v>
      </c>
      <c r="O1198" s="1"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s="1">
        <v>71.2</v>
      </c>
      <c r="F1199" s="2">
        <v>45705</v>
      </c>
      <c r="G1199" s="2">
        <v>45710</v>
      </c>
      <c r="H1199" s="1" t="s">
        <v>23</v>
      </c>
      <c r="I1199" s="1" t="s">
        <v>70</v>
      </c>
      <c r="J1199" s="1">
        <v>4</v>
      </c>
      <c r="K1199" s="1" t="s">
        <v>19</v>
      </c>
      <c r="L1199" s="1" t="s">
        <v>62</v>
      </c>
      <c r="M1199" s="1">
        <f>orders[[#This Row],[Ship Date]]-orders[[#This Row],[Order Date]]</f>
        <v>5</v>
      </c>
      <c r="N1199" s="1">
        <f>WEEKNUM(orders[[#This Row],[Order Date]])</f>
        <v>8</v>
      </c>
      <c r="O1199" s="1"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s="1">
        <v>127</v>
      </c>
      <c r="F1200" s="2">
        <v>45705</v>
      </c>
      <c r="G1200" s="2">
        <v>45705</v>
      </c>
      <c r="H1200" s="1" t="s">
        <v>27</v>
      </c>
      <c r="I1200" s="1" t="s">
        <v>35</v>
      </c>
      <c r="J1200" s="1">
        <v>5</v>
      </c>
      <c r="K1200" s="1" t="s">
        <v>19</v>
      </c>
      <c r="L1200" s="1" t="s">
        <v>62</v>
      </c>
      <c r="M1200" s="1">
        <f>orders[[#This Row],[Ship Date]]-orders[[#This Row],[Order Date]]</f>
        <v>0</v>
      </c>
      <c r="N1200" s="1">
        <f>WEEKNUM(orders[[#This Row],[Order Date]])</f>
        <v>8</v>
      </c>
      <c r="O1200" s="1"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s="1">
        <v>580.30000000000007</v>
      </c>
      <c r="F1201" s="2">
        <v>45705</v>
      </c>
      <c r="G1201" s="2">
        <v>45710</v>
      </c>
      <c r="H1201" s="1" t="s">
        <v>27</v>
      </c>
      <c r="I1201" s="1" t="s">
        <v>70</v>
      </c>
      <c r="J1201" s="1">
        <v>4</v>
      </c>
      <c r="K1201" s="1" t="s">
        <v>19</v>
      </c>
      <c r="L1201" s="1" t="s">
        <v>72</v>
      </c>
      <c r="M1201" s="1">
        <f>orders[[#This Row],[Ship Date]]-orders[[#This Row],[Order Date]]</f>
        <v>5</v>
      </c>
      <c r="N1201" s="1">
        <f>WEEKNUM(orders[[#This Row],[Order Date]])</f>
        <v>8</v>
      </c>
      <c r="O1201" s="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s="1">
        <v>167.2</v>
      </c>
      <c r="F1202" s="2">
        <v>45705</v>
      </c>
      <c r="G1202" s="2">
        <v>45710</v>
      </c>
      <c r="H1202" s="1" t="s">
        <v>27</v>
      </c>
      <c r="I1202" s="1" t="s">
        <v>18</v>
      </c>
      <c r="J1202" s="1">
        <v>4</v>
      </c>
      <c r="K1202" s="1" t="s">
        <v>19</v>
      </c>
      <c r="L1202" s="1" t="s">
        <v>77</v>
      </c>
      <c r="M1202" s="1">
        <f>orders[[#This Row],[Ship Date]]-orders[[#This Row],[Order Date]]</f>
        <v>5</v>
      </c>
      <c r="N1202" s="1">
        <f>WEEKNUM(orders[[#This Row],[Order Date]])</f>
        <v>8</v>
      </c>
      <c r="O1202" s="1"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s="1">
        <v>58.8</v>
      </c>
      <c r="F1203" s="2">
        <v>45705</v>
      </c>
      <c r="G1203" s="2">
        <v>45705</v>
      </c>
      <c r="H1203" s="1" t="s">
        <v>27</v>
      </c>
      <c r="I1203" s="1" t="s">
        <v>18</v>
      </c>
      <c r="J1203" s="1">
        <v>3</v>
      </c>
      <c r="K1203" s="1" t="s">
        <v>19</v>
      </c>
      <c r="L1203" s="1" t="s">
        <v>268</v>
      </c>
      <c r="M1203" s="1">
        <f>orders[[#This Row],[Ship Date]]-orders[[#This Row],[Order Date]]</f>
        <v>0</v>
      </c>
      <c r="N1203" s="1">
        <f>WEEKNUM(orders[[#This Row],[Order Date]])</f>
        <v>8</v>
      </c>
      <c r="O1203" s="1"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s="1">
        <v>321.29999999999995</v>
      </c>
      <c r="F1204" s="2">
        <v>45705</v>
      </c>
      <c r="G1204" s="2">
        <v>45709</v>
      </c>
      <c r="H1204" s="1" t="s">
        <v>27</v>
      </c>
      <c r="I1204" s="1" t="s">
        <v>40</v>
      </c>
      <c r="J1204" s="1">
        <v>4</v>
      </c>
      <c r="K1204" s="1" t="s">
        <v>19</v>
      </c>
      <c r="L1204" s="1" t="s">
        <v>113</v>
      </c>
      <c r="M1204" s="1">
        <f>orders[[#This Row],[Ship Date]]-orders[[#This Row],[Order Date]]</f>
        <v>4</v>
      </c>
      <c r="N1204" s="1">
        <f>WEEKNUM(orders[[#This Row],[Order Date]])</f>
        <v>8</v>
      </c>
      <c r="O1204" s="1"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s="1">
        <v>62.7</v>
      </c>
      <c r="F1205" s="2">
        <v>45705</v>
      </c>
      <c r="G1205" s="2">
        <v>45709</v>
      </c>
      <c r="H1205" s="1" t="s">
        <v>23</v>
      </c>
      <c r="I1205" s="1" t="s">
        <v>35</v>
      </c>
      <c r="J1205" s="1">
        <v>4</v>
      </c>
      <c r="K1205" s="1" t="s">
        <v>19</v>
      </c>
      <c r="L1205" s="1" t="s">
        <v>115</v>
      </c>
      <c r="M1205" s="1">
        <f>orders[[#This Row],[Ship Date]]-orders[[#This Row],[Order Date]]</f>
        <v>4</v>
      </c>
      <c r="N1205" s="1">
        <f>WEEKNUM(orders[[#This Row],[Order Date]])</f>
        <v>8</v>
      </c>
      <c r="O1205" s="1"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s="1">
        <v>41.6</v>
      </c>
      <c r="F1206" s="2">
        <v>45705</v>
      </c>
      <c r="G1206" s="2">
        <v>45706</v>
      </c>
      <c r="H1206" s="1" t="s">
        <v>23</v>
      </c>
      <c r="I1206" s="1" t="s">
        <v>18</v>
      </c>
      <c r="J1206" s="1">
        <v>3</v>
      </c>
      <c r="K1206" s="1" t="s">
        <v>19</v>
      </c>
      <c r="L1206" s="1" t="s">
        <v>24</v>
      </c>
      <c r="M1206" s="1">
        <f>orders[[#This Row],[Ship Date]]-orders[[#This Row],[Order Date]]</f>
        <v>1</v>
      </c>
      <c r="N1206" s="1">
        <f>WEEKNUM(orders[[#This Row],[Order Date]])</f>
        <v>8</v>
      </c>
      <c r="O1206" s="1"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s="1">
        <v>44.2</v>
      </c>
      <c r="F1207" s="2">
        <v>45705</v>
      </c>
      <c r="G1207" s="2">
        <v>45706</v>
      </c>
      <c r="H1207" s="1" t="s">
        <v>89</v>
      </c>
      <c r="I1207" s="1" t="s">
        <v>18</v>
      </c>
      <c r="J1207" s="1">
        <v>3</v>
      </c>
      <c r="K1207" s="1" t="s">
        <v>19</v>
      </c>
      <c r="L1207" s="1" t="s">
        <v>24</v>
      </c>
      <c r="M1207" s="1">
        <f>orders[[#This Row],[Ship Date]]-orders[[#This Row],[Order Date]]</f>
        <v>1</v>
      </c>
      <c r="N1207" s="1">
        <f>WEEKNUM(orders[[#This Row],[Order Date]])</f>
        <v>8</v>
      </c>
      <c r="O1207" s="1"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s="1">
        <v>242.39999999999998</v>
      </c>
      <c r="F1208" s="2">
        <v>45705</v>
      </c>
      <c r="G1208" s="2">
        <v>45718</v>
      </c>
      <c r="H1208" s="1" t="s">
        <v>27</v>
      </c>
      <c r="I1208" s="1" t="s">
        <v>40</v>
      </c>
      <c r="J1208" s="1">
        <v>4</v>
      </c>
      <c r="K1208" s="1" t="s">
        <v>19</v>
      </c>
      <c r="L1208" s="1" t="s">
        <v>147</v>
      </c>
      <c r="M1208" s="1">
        <f>orders[[#This Row],[Ship Date]]-orders[[#This Row],[Order Date]]</f>
        <v>13</v>
      </c>
      <c r="N1208" s="1">
        <f>WEEKNUM(orders[[#This Row],[Order Date]])</f>
        <v>8</v>
      </c>
      <c r="O1208" s="1"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s="1">
        <v>357.6</v>
      </c>
      <c r="F1209" s="2">
        <v>45705</v>
      </c>
      <c r="G1209" s="2">
        <v>45706</v>
      </c>
      <c r="H1209" s="1" t="s">
        <v>27</v>
      </c>
      <c r="I1209" s="1" t="s">
        <v>70</v>
      </c>
      <c r="J1209" s="1">
        <v>4</v>
      </c>
      <c r="K1209" s="1" t="s">
        <v>19</v>
      </c>
      <c r="L1209" s="1" t="s">
        <v>334</v>
      </c>
      <c r="M1209" s="1">
        <f>orders[[#This Row],[Ship Date]]-orders[[#This Row],[Order Date]]</f>
        <v>1</v>
      </c>
      <c r="N1209" s="1">
        <f>WEEKNUM(orders[[#This Row],[Order Date]])</f>
        <v>8</v>
      </c>
      <c r="O1209" s="1"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s="1">
        <v>765.59999999999991</v>
      </c>
      <c r="F1210" s="2">
        <v>45705</v>
      </c>
      <c r="G1210" s="2">
        <v>45706</v>
      </c>
      <c r="H1210" s="1" t="s">
        <v>23</v>
      </c>
      <c r="I1210" s="1" t="s">
        <v>35</v>
      </c>
      <c r="J1210" s="1">
        <v>4</v>
      </c>
      <c r="K1210" s="1" t="s">
        <v>19</v>
      </c>
      <c r="L1210" s="1" t="s">
        <v>33</v>
      </c>
      <c r="M1210" s="1">
        <f>orders[[#This Row],[Ship Date]]-orders[[#This Row],[Order Date]]</f>
        <v>1</v>
      </c>
      <c r="N1210" s="1">
        <f>WEEKNUM(orders[[#This Row],[Order Date]])</f>
        <v>8</v>
      </c>
      <c r="O1210" s="1"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s="1">
        <v>184.8</v>
      </c>
      <c r="F1211" s="2">
        <v>45705</v>
      </c>
      <c r="G1211" s="2">
        <v>45707</v>
      </c>
      <c r="H1211" s="1" t="s">
        <v>23</v>
      </c>
      <c r="I1211" s="1" t="s">
        <v>70</v>
      </c>
      <c r="J1211" s="1">
        <v>4</v>
      </c>
      <c r="K1211" s="1" t="s">
        <v>19</v>
      </c>
      <c r="L1211" s="1" t="s">
        <v>33</v>
      </c>
      <c r="M1211" s="1">
        <f>orders[[#This Row],[Ship Date]]-orders[[#This Row],[Order Date]]</f>
        <v>2</v>
      </c>
      <c r="N1211" s="1">
        <f>WEEKNUM(orders[[#This Row],[Order Date]])</f>
        <v>8</v>
      </c>
      <c r="O1211" s="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s="1">
        <v>83</v>
      </c>
      <c r="F1212" s="2">
        <v>45705</v>
      </c>
      <c r="G1212" s="2">
        <v>45708</v>
      </c>
      <c r="H1212" s="1" t="s">
        <v>89</v>
      </c>
      <c r="I1212" s="1" t="s">
        <v>18</v>
      </c>
      <c r="J1212" s="1">
        <v>4</v>
      </c>
      <c r="K1212" s="1" t="s">
        <v>19</v>
      </c>
      <c r="L1212" s="1" t="s">
        <v>33</v>
      </c>
      <c r="M1212" s="1">
        <f>orders[[#This Row],[Ship Date]]-orders[[#This Row],[Order Date]]</f>
        <v>3</v>
      </c>
      <c r="N1212" s="1">
        <f>WEEKNUM(orders[[#This Row],[Order Date]])</f>
        <v>8</v>
      </c>
      <c r="O1212" s="1"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s="1">
        <v>178.8</v>
      </c>
      <c r="F1213" s="2">
        <v>45705</v>
      </c>
      <c r="G1213" s="2">
        <v>45707</v>
      </c>
      <c r="H1213" s="1" t="s">
        <v>27</v>
      </c>
      <c r="I1213" s="1" t="s">
        <v>40</v>
      </c>
      <c r="J1213" s="1">
        <v>3</v>
      </c>
      <c r="K1213" s="1" t="s">
        <v>19</v>
      </c>
      <c r="L1213" s="1" t="s">
        <v>33</v>
      </c>
      <c r="M1213" s="1">
        <f>orders[[#This Row],[Ship Date]]-orders[[#This Row],[Order Date]]</f>
        <v>2</v>
      </c>
      <c r="N1213" s="1">
        <f>WEEKNUM(orders[[#This Row],[Order Date]])</f>
        <v>8</v>
      </c>
      <c r="O1213" s="1"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s="1">
        <v>128.19999999999999</v>
      </c>
      <c r="F1214" s="2">
        <v>45705</v>
      </c>
      <c r="G1214" s="2">
        <v>45709</v>
      </c>
      <c r="H1214" s="1" t="s">
        <v>27</v>
      </c>
      <c r="I1214" s="1" t="s">
        <v>35</v>
      </c>
      <c r="J1214" s="1">
        <v>2</v>
      </c>
      <c r="K1214" s="1" t="s">
        <v>19</v>
      </c>
      <c r="L1214" s="1" t="s">
        <v>33</v>
      </c>
      <c r="M1214" s="1">
        <f>orders[[#This Row],[Ship Date]]-orders[[#This Row],[Order Date]]</f>
        <v>4</v>
      </c>
      <c r="N1214" s="1">
        <f>WEEKNUM(orders[[#This Row],[Order Date]])</f>
        <v>8</v>
      </c>
      <c r="O1214" s="1"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s="1">
        <v>15.9</v>
      </c>
      <c r="F1215" s="2">
        <v>45705</v>
      </c>
      <c r="G1215" s="2">
        <v>45708</v>
      </c>
      <c r="H1215" s="1" t="s">
        <v>17</v>
      </c>
      <c r="I1215" s="1" t="s">
        <v>35</v>
      </c>
      <c r="J1215" s="1">
        <v>4</v>
      </c>
      <c r="K1215" s="1" t="s">
        <v>19</v>
      </c>
      <c r="L1215" s="1" t="s">
        <v>33</v>
      </c>
      <c r="M1215" s="1">
        <f>orders[[#This Row],[Ship Date]]-orders[[#This Row],[Order Date]]</f>
        <v>3</v>
      </c>
      <c r="N1215" s="1">
        <f>WEEKNUM(orders[[#This Row],[Order Date]])</f>
        <v>8</v>
      </c>
      <c r="O1215" s="1"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s="1">
        <v>157.4</v>
      </c>
      <c r="F1216" s="2">
        <v>45705</v>
      </c>
      <c r="G1216" s="2">
        <v>45705</v>
      </c>
      <c r="H1216" s="1" t="s">
        <v>27</v>
      </c>
      <c r="I1216" s="1" t="s">
        <v>40</v>
      </c>
      <c r="J1216" s="1">
        <v>3</v>
      </c>
      <c r="K1216" s="1" t="s">
        <v>19</v>
      </c>
      <c r="L1216" s="1" t="s">
        <v>33</v>
      </c>
      <c r="M1216" s="1">
        <f>orders[[#This Row],[Ship Date]]-orders[[#This Row],[Order Date]]</f>
        <v>0</v>
      </c>
      <c r="N1216" s="1">
        <f>WEEKNUM(orders[[#This Row],[Order Date]])</f>
        <v>8</v>
      </c>
      <c r="O1216" s="1"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s="1">
        <v>355.20000000000005</v>
      </c>
      <c r="F1217" s="2">
        <v>45705</v>
      </c>
      <c r="G1217" s="2">
        <v>45709</v>
      </c>
      <c r="H1217" s="1" t="s">
        <v>23</v>
      </c>
      <c r="I1217" s="1" t="s">
        <v>40</v>
      </c>
      <c r="J1217" s="1">
        <v>2</v>
      </c>
      <c r="K1217" s="1" t="s">
        <v>19</v>
      </c>
      <c r="L1217" s="1" t="s">
        <v>33</v>
      </c>
      <c r="M1217" s="1">
        <f>orders[[#This Row],[Ship Date]]-orders[[#This Row],[Order Date]]</f>
        <v>4</v>
      </c>
      <c r="N1217" s="1">
        <f>WEEKNUM(orders[[#This Row],[Order Date]])</f>
        <v>8</v>
      </c>
      <c r="O1217" s="1"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s="1">
        <v>86</v>
      </c>
      <c r="F1218" s="2">
        <v>45705</v>
      </c>
      <c r="G1218" s="2">
        <v>45708</v>
      </c>
      <c r="H1218" s="1" t="s">
        <v>23</v>
      </c>
      <c r="I1218" s="1" t="s">
        <v>35</v>
      </c>
      <c r="J1218" s="1">
        <v>4</v>
      </c>
      <c r="K1218" s="1" t="s">
        <v>19</v>
      </c>
      <c r="L1218" s="1" t="s">
        <v>33</v>
      </c>
      <c r="M1218" s="1">
        <f>orders[[#This Row],[Ship Date]]-orders[[#This Row],[Order Date]]</f>
        <v>3</v>
      </c>
      <c r="N1218" s="1">
        <f>WEEKNUM(orders[[#This Row],[Order Date]])</f>
        <v>8</v>
      </c>
      <c r="O1218" s="1"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s="1">
        <v>224.70000000000002</v>
      </c>
      <c r="F1219" s="2">
        <v>45705</v>
      </c>
      <c r="G1219" s="2">
        <v>45714</v>
      </c>
      <c r="H1219" s="1" t="s">
        <v>23</v>
      </c>
      <c r="I1219" s="1" t="s">
        <v>51</v>
      </c>
      <c r="J1219" s="1">
        <v>3</v>
      </c>
      <c r="K1219" s="1" t="s">
        <v>19</v>
      </c>
      <c r="L1219" s="1" t="s">
        <v>33</v>
      </c>
      <c r="M1219" s="1">
        <f>orders[[#This Row],[Ship Date]]-orders[[#This Row],[Order Date]]</f>
        <v>9</v>
      </c>
      <c r="N1219" s="1">
        <f>WEEKNUM(orders[[#This Row],[Order Date]])</f>
        <v>8</v>
      </c>
      <c r="O1219" s="1"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s="1">
        <v>270</v>
      </c>
      <c r="F1220" s="2">
        <v>45705</v>
      </c>
      <c r="G1220" s="2">
        <v>45710</v>
      </c>
      <c r="H1220" s="1" t="s">
        <v>27</v>
      </c>
      <c r="I1220" s="1" t="s">
        <v>40</v>
      </c>
      <c r="J1220" s="1">
        <v>4</v>
      </c>
      <c r="K1220" s="1" t="s">
        <v>19</v>
      </c>
      <c r="L1220" s="1" t="s">
        <v>33</v>
      </c>
      <c r="M1220" s="1">
        <f>orders[[#This Row],[Ship Date]]-orders[[#This Row],[Order Date]]</f>
        <v>5</v>
      </c>
      <c r="N1220" s="1">
        <f>WEEKNUM(orders[[#This Row],[Order Date]])</f>
        <v>8</v>
      </c>
      <c r="O1220" s="1"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s="1">
        <v>1288.5999999999999</v>
      </c>
      <c r="F1221" s="2">
        <v>45705</v>
      </c>
      <c r="G1221" s="2">
        <v>45706</v>
      </c>
      <c r="H1221" s="1" t="s">
        <v>23</v>
      </c>
      <c r="I1221" s="1" t="s">
        <v>18</v>
      </c>
      <c r="J1221" s="1">
        <v>4</v>
      </c>
      <c r="K1221" s="1" t="s">
        <v>19</v>
      </c>
      <c r="L1221" s="1" t="s">
        <v>33</v>
      </c>
      <c r="M1221" s="1">
        <f>orders[[#This Row],[Ship Date]]-orders[[#This Row],[Order Date]]</f>
        <v>1</v>
      </c>
      <c r="N1221" s="1">
        <f>WEEKNUM(orders[[#This Row],[Order Date]])</f>
        <v>8</v>
      </c>
      <c r="O1221" s="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s="1">
        <v>169.8</v>
      </c>
      <c r="F1222" s="2">
        <v>45705</v>
      </c>
      <c r="G1222" s="2">
        <v>45706</v>
      </c>
      <c r="H1222" s="1" t="s">
        <v>23</v>
      </c>
      <c r="I1222" s="1" t="s">
        <v>51</v>
      </c>
      <c r="J1222" s="1">
        <v>4</v>
      </c>
      <c r="K1222" s="1" t="s">
        <v>19</v>
      </c>
      <c r="L1222" s="1" t="s">
        <v>33</v>
      </c>
      <c r="M1222" s="1">
        <f>orders[[#This Row],[Ship Date]]-orders[[#This Row],[Order Date]]</f>
        <v>1</v>
      </c>
      <c r="N1222" s="1">
        <f>WEEKNUM(orders[[#This Row],[Order Date]])</f>
        <v>8</v>
      </c>
      <c r="O1222" s="1"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s="1">
        <v>1098.5</v>
      </c>
      <c r="F1223" s="2">
        <v>45705</v>
      </c>
      <c r="G1223" s="2">
        <v>45708</v>
      </c>
      <c r="H1223" s="1" t="s">
        <v>27</v>
      </c>
      <c r="I1223" s="1" t="s">
        <v>35</v>
      </c>
      <c r="J1223" s="1">
        <v>2</v>
      </c>
      <c r="K1223" s="1" t="s">
        <v>19</v>
      </c>
      <c r="L1223" s="1" t="s">
        <v>33</v>
      </c>
      <c r="M1223" s="1">
        <f>orders[[#This Row],[Ship Date]]-orders[[#This Row],[Order Date]]</f>
        <v>3</v>
      </c>
      <c r="N1223" s="1">
        <f>WEEKNUM(orders[[#This Row],[Order Date]])</f>
        <v>8</v>
      </c>
      <c r="O1223" s="1"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s="1">
        <v>527</v>
      </c>
      <c r="F1224" s="2">
        <v>45705</v>
      </c>
      <c r="G1224" s="2">
        <v>45707</v>
      </c>
      <c r="H1224" s="1" t="s">
        <v>27</v>
      </c>
      <c r="I1224" s="1" t="s">
        <v>35</v>
      </c>
      <c r="J1224" s="1">
        <v>3</v>
      </c>
      <c r="K1224" s="1" t="s">
        <v>19</v>
      </c>
      <c r="L1224" s="1" t="s">
        <v>33</v>
      </c>
      <c r="M1224" s="1">
        <f>orders[[#This Row],[Ship Date]]-orders[[#This Row],[Order Date]]</f>
        <v>2</v>
      </c>
      <c r="N1224" s="1">
        <f>WEEKNUM(orders[[#This Row],[Order Date]])</f>
        <v>8</v>
      </c>
      <c r="O1224" s="1"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s="1">
        <v>275.8</v>
      </c>
      <c r="F1225" s="2">
        <v>45706</v>
      </c>
      <c r="G1225" s="2">
        <v>45706</v>
      </c>
      <c r="H1225" s="1" t="s">
        <v>23</v>
      </c>
      <c r="I1225" s="1" t="s">
        <v>35</v>
      </c>
      <c r="J1225" s="1">
        <v>4</v>
      </c>
      <c r="K1225" s="1" t="s">
        <v>19</v>
      </c>
      <c r="L1225" s="1" t="s">
        <v>364</v>
      </c>
      <c r="M1225" s="1">
        <f>orders[[#This Row],[Ship Date]]-orders[[#This Row],[Order Date]]</f>
        <v>0</v>
      </c>
      <c r="N1225" s="1">
        <f>WEEKNUM(orders[[#This Row],[Order Date]])</f>
        <v>8</v>
      </c>
      <c r="O1225" s="1"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s="1">
        <v>114</v>
      </c>
      <c r="F1226" s="2">
        <v>45706</v>
      </c>
      <c r="G1226" s="2">
        <v>45709</v>
      </c>
      <c r="H1226" s="1" t="s">
        <v>23</v>
      </c>
      <c r="I1226" s="1" t="s">
        <v>70</v>
      </c>
      <c r="J1226" s="1">
        <v>3</v>
      </c>
      <c r="K1226" s="1" t="s">
        <v>19</v>
      </c>
      <c r="L1226" s="1" t="s">
        <v>55</v>
      </c>
      <c r="M1226" s="1">
        <f>orders[[#This Row],[Ship Date]]-orders[[#This Row],[Order Date]]</f>
        <v>3</v>
      </c>
      <c r="N1226" s="1">
        <f>WEEKNUM(orders[[#This Row],[Order Date]])</f>
        <v>8</v>
      </c>
      <c r="O1226" s="1"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s="1">
        <v>170</v>
      </c>
      <c r="F1227" s="2">
        <v>45706</v>
      </c>
      <c r="G1227" s="2">
        <v>45708</v>
      </c>
      <c r="H1227" s="1" t="s">
        <v>17</v>
      </c>
      <c r="I1227" s="1" t="s">
        <v>18</v>
      </c>
      <c r="J1227" s="1">
        <v>4</v>
      </c>
      <c r="K1227" s="1" t="s">
        <v>19</v>
      </c>
      <c r="L1227" s="1" t="s">
        <v>55</v>
      </c>
      <c r="M1227" s="1">
        <f>orders[[#This Row],[Ship Date]]-orders[[#This Row],[Order Date]]</f>
        <v>2</v>
      </c>
      <c r="N1227" s="1">
        <f>WEEKNUM(orders[[#This Row],[Order Date]])</f>
        <v>8</v>
      </c>
      <c r="O1227" s="1"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s="1">
        <v>62.3</v>
      </c>
      <c r="F1228" s="2">
        <v>45706</v>
      </c>
      <c r="G1228" s="2">
        <v>45715</v>
      </c>
      <c r="H1228" s="1" t="s">
        <v>23</v>
      </c>
      <c r="I1228" s="1" t="s">
        <v>18</v>
      </c>
      <c r="J1228" s="1">
        <v>5</v>
      </c>
      <c r="K1228" s="1" t="s">
        <v>19</v>
      </c>
      <c r="L1228" s="1" t="s">
        <v>55</v>
      </c>
      <c r="M1228" s="1">
        <f>orders[[#This Row],[Ship Date]]-orders[[#This Row],[Order Date]]</f>
        <v>9</v>
      </c>
      <c r="N1228" s="1">
        <f>WEEKNUM(orders[[#This Row],[Order Date]])</f>
        <v>8</v>
      </c>
      <c r="O1228" s="1"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s="1">
        <v>245.5</v>
      </c>
      <c r="F1229" s="2">
        <v>45706</v>
      </c>
      <c r="G1229" s="2">
        <v>45708</v>
      </c>
      <c r="H1229" s="1" t="s">
        <v>27</v>
      </c>
      <c r="I1229" s="1" t="s">
        <v>35</v>
      </c>
      <c r="J1229" s="1">
        <v>5</v>
      </c>
      <c r="K1229" s="1" t="s">
        <v>19</v>
      </c>
      <c r="L1229" s="1" t="s">
        <v>59</v>
      </c>
      <c r="M1229" s="1">
        <f>orders[[#This Row],[Ship Date]]-orders[[#This Row],[Order Date]]</f>
        <v>2</v>
      </c>
      <c r="N1229" s="1">
        <f>WEEKNUM(orders[[#This Row],[Order Date]])</f>
        <v>8</v>
      </c>
      <c r="O1229" s="1"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s="1">
        <v>61</v>
      </c>
      <c r="F1230" s="2">
        <v>45706</v>
      </c>
      <c r="G1230" s="2">
        <v>45709</v>
      </c>
      <c r="H1230" s="1" t="s">
        <v>23</v>
      </c>
      <c r="I1230" s="1" t="s">
        <v>18</v>
      </c>
      <c r="J1230" s="1">
        <v>5</v>
      </c>
      <c r="K1230" s="1" t="s">
        <v>19</v>
      </c>
      <c r="L1230" s="1" t="s">
        <v>62</v>
      </c>
      <c r="M1230" s="1">
        <f>orders[[#This Row],[Ship Date]]-orders[[#This Row],[Order Date]]</f>
        <v>3</v>
      </c>
      <c r="N1230" s="1">
        <f>WEEKNUM(orders[[#This Row],[Order Date]])</f>
        <v>8</v>
      </c>
      <c r="O1230" s="1"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s="1">
        <v>309.60000000000002</v>
      </c>
      <c r="F1231" s="2">
        <v>45706</v>
      </c>
      <c r="G1231" s="2">
        <v>45709</v>
      </c>
      <c r="H1231" s="1" t="s">
        <v>27</v>
      </c>
      <c r="I1231" s="1" t="s">
        <v>35</v>
      </c>
      <c r="J1231" s="1">
        <v>2</v>
      </c>
      <c r="K1231" s="1" t="s">
        <v>19</v>
      </c>
      <c r="L1231" s="1" t="s">
        <v>62</v>
      </c>
      <c r="M1231" s="1">
        <f>orders[[#This Row],[Ship Date]]-orders[[#This Row],[Order Date]]</f>
        <v>3</v>
      </c>
      <c r="N1231" s="1">
        <f>WEEKNUM(orders[[#This Row],[Order Date]])</f>
        <v>8</v>
      </c>
      <c r="O1231" s="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s="1">
        <v>45</v>
      </c>
      <c r="F1232" s="2">
        <v>45706</v>
      </c>
      <c r="G1232" s="2">
        <v>45710</v>
      </c>
      <c r="H1232" s="1" t="s">
        <v>23</v>
      </c>
      <c r="I1232" s="1" t="s">
        <v>51</v>
      </c>
      <c r="J1232" s="1">
        <v>3</v>
      </c>
      <c r="K1232" s="1" t="s">
        <v>19</v>
      </c>
      <c r="L1232" s="1" t="s">
        <v>62</v>
      </c>
      <c r="M1232" s="1">
        <f>orders[[#This Row],[Ship Date]]-orders[[#This Row],[Order Date]]</f>
        <v>4</v>
      </c>
      <c r="N1232" s="1">
        <f>WEEKNUM(orders[[#This Row],[Order Date]])</f>
        <v>8</v>
      </c>
      <c r="O1232" s="1"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s="1">
        <v>107.10000000000001</v>
      </c>
      <c r="F1233" s="2">
        <v>45706</v>
      </c>
      <c r="G1233" s="2">
        <v>45707</v>
      </c>
      <c r="H1233" s="1" t="s">
        <v>23</v>
      </c>
      <c r="I1233" s="1" t="s">
        <v>18</v>
      </c>
      <c r="J1233" s="1">
        <v>5</v>
      </c>
      <c r="K1233" s="1" t="s">
        <v>19</v>
      </c>
      <c r="L1233" s="1" t="s">
        <v>62</v>
      </c>
      <c r="M1233" s="1">
        <f>orders[[#This Row],[Ship Date]]-orders[[#This Row],[Order Date]]</f>
        <v>1</v>
      </c>
      <c r="N1233" s="1">
        <f>WEEKNUM(orders[[#This Row],[Order Date]])</f>
        <v>8</v>
      </c>
      <c r="O1233" s="1"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s="1">
        <v>974.59999999999991</v>
      </c>
      <c r="F1234" s="2">
        <v>45706</v>
      </c>
      <c r="G1234" s="2">
        <v>45709</v>
      </c>
      <c r="H1234" s="1" t="s">
        <v>27</v>
      </c>
      <c r="I1234" s="1" t="s">
        <v>18</v>
      </c>
      <c r="J1234" s="1">
        <v>2</v>
      </c>
      <c r="K1234" s="1" t="s">
        <v>19</v>
      </c>
      <c r="L1234" s="1" t="s">
        <v>103</v>
      </c>
      <c r="M1234" s="1">
        <f>orders[[#This Row],[Ship Date]]-orders[[#This Row],[Order Date]]</f>
        <v>3</v>
      </c>
      <c r="N1234" s="1">
        <f>WEEKNUM(orders[[#This Row],[Order Date]])</f>
        <v>8</v>
      </c>
      <c r="O1234" s="1"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s="1">
        <v>99.4</v>
      </c>
      <c r="F1235" s="2">
        <v>45706</v>
      </c>
      <c r="G1235" s="2">
        <v>45708</v>
      </c>
      <c r="H1235" s="1" t="s">
        <v>89</v>
      </c>
      <c r="I1235" s="1" t="s">
        <v>70</v>
      </c>
      <c r="J1235" s="1">
        <v>4</v>
      </c>
      <c r="K1235" s="1" t="s">
        <v>19</v>
      </c>
      <c r="L1235" s="1" t="s">
        <v>74</v>
      </c>
      <c r="M1235" s="1">
        <f>orders[[#This Row],[Ship Date]]-orders[[#This Row],[Order Date]]</f>
        <v>2</v>
      </c>
      <c r="N1235" s="1">
        <f>WEEKNUM(orders[[#This Row],[Order Date]])</f>
        <v>8</v>
      </c>
      <c r="O1235" s="1"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s="1">
        <v>29</v>
      </c>
      <c r="F1236" s="2">
        <v>45706</v>
      </c>
      <c r="G1236" s="2">
        <v>45707</v>
      </c>
      <c r="H1236" s="1" t="s">
        <v>23</v>
      </c>
      <c r="I1236" s="1" t="s">
        <v>18</v>
      </c>
      <c r="J1236" s="1">
        <v>4</v>
      </c>
      <c r="K1236" s="1" t="s">
        <v>19</v>
      </c>
      <c r="L1236" s="1" t="s">
        <v>77</v>
      </c>
      <c r="M1236" s="1">
        <f>orders[[#This Row],[Ship Date]]-orders[[#This Row],[Order Date]]</f>
        <v>1</v>
      </c>
      <c r="N1236" s="1">
        <f>WEEKNUM(orders[[#This Row],[Order Date]])</f>
        <v>8</v>
      </c>
      <c r="O1236" s="1"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s="1">
        <v>60.7</v>
      </c>
      <c r="F1237" s="2">
        <v>45706</v>
      </c>
      <c r="G1237" s="2">
        <v>45707</v>
      </c>
      <c r="H1237" s="1" t="s">
        <v>89</v>
      </c>
      <c r="I1237" s="1" t="s">
        <v>18</v>
      </c>
      <c r="J1237" s="1">
        <v>3</v>
      </c>
      <c r="K1237" s="1" t="s">
        <v>19</v>
      </c>
      <c r="L1237" s="1" t="s">
        <v>77</v>
      </c>
      <c r="M1237" s="1">
        <f>orders[[#This Row],[Ship Date]]-orders[[#This Row],[Order Date]]</f>
        <v>1</v>
      </c>
      <c r="N1237" s="1">
        <f>WEEKNUM(orders[[#This Row],[Order Date]])</f>
        <v>8</v>
      </c>
      <c r="O1237" s="1"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s="1">
        <v>349.6</v>
      </c>
      <c r="F1238" s="2">
        <v>45706</v>
      </c>
      <c r="G1238" s="2">
        <v>45708</v>
      </c>
      <c r="H1238" s="1" t="s">
        <v>17</v>
      </c>
      <c r="I1238" s="1" t="s">
        <v>18</v>
      </c>
      <c r="J1238" s="1">
        <v>4</v>
      </c>
      <c r="K1238" s="1" t="s">
        <v>19</v>
      </c>
      <c r="L1238" s="1" t="s">
        <v>77</v>
      </c>
      <c r="M1238" s="1">
        <f>orders[[#This Row],[Ship Date]]-orders[[#This Row],[Order Date]]</f>
        <v>2</v>
      </c>
      <c r="N1238" s="1">
        <f>WEEKNUM(orders[[#This Row],[Order Date]])</f>
        <v>8</v>
      </c>
      <c r="O1238" s="1"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s="1">
        <v>311.5</v>
      </c>
      <c r="F1239" s="2">
        <v>45706</v>
      </c>
      <c r="G1239" s="2">
        <v>45710</v>
      </c>
      <c r="H1239" s="1" t="s">
        <v>27</v>
      </c>
      <c r="I1239" s="1" t="s">
        <v>40</v>
      </c>
      <c r="J1239" s="1">
        <v>5</v>
      </c>
      <c r="K1239" s="1" t="s">
        <v>19</v>
      </c>
      <c r="L1239" s="1" t="s">
        <v>110</v>
      </c>
      <c r="M1239" s="1">
        <f>orders[[#This Row],[Ship Date]]-orders[[#This Row],[Order Date]]</f>
        <v>4</v>
      </c>
      <c r="N1239" s="1">
        <f>WEEKNUM(orders[[#This Row],[Order Date]])</f>
        <v>8</v>
      </c>
      <c r="O1239" s="1"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s="1">
        <v>141</v>
      </c>
      <c r="F1240" s="2">
        <v>45706</v>
      </c>
      <c r="G1240" s="2">
        <v>45707</v>
      </c>
      <c r="H1240" s="1" t="s">
        <v>23</v>
      </c>
      <c r="I1240" s="1" t="s">
        <v>70</v>
      </c>
      <c r="J1240" s="1">
        <v>5</v>
      </c>
      <c r="K1240" s="1" t="s">
        <v>19</v>
      </c>
      <c r="L1240" s="1" t="s">
        <v>110</v>
      </c>
      <c r="M1240" s="1">
        <f>orders[[#This Row],[Ship Date]]-orders[[#This Row],[Order Date]]</f>
        <v>1</v>
      </c>
      <c r="N1240" s="1">
        <f>WEEKNUM(orders[[#This Row],[Order Date]])</f>
        <v>8</v>
      </c>
      <c r="O1240" s="1"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s="1">
        <v>50.099999999999994</v>
      </c>
      <c r="F1241" s="2">
        <v>45706</v>
      </c>
      <c r="G1241" s="2">
        <v>45714</v>
      </c>
      <c r="H1241" s="1" t="s">
        <v>27</v>
      </c>
      <c r="I1241" s="1" t="s">
        <v>18</v>
      </c>
      <c r="J1241" s="1">
        <v>4</v>
      </c>
      <c r="K1241" s="1" t="s">
        <v>19</v>
      </c>
      <c r="L1241" s="1" t="s">
        <v>113</v>
      </c>
      <c r="M1241" s="1">
        <f>orders[[#This Row],[Ship Date]]-orders[[#This Row],[Order Date]]</f>
        <v>8</v>
      </c>
      <c r="N1241" s="1">
        <f>WEEKNUM(orders[[#This Row],[Order Date]])</f>
        <v>8</v>
      </c>
      <c r="O1241" s="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s="1">
        <v>155</v>
      </c>
      <c r="F1242" s="2">
        <v>45706</v>
      </c>
      <c r="G1242" s="2">
        <v>45707</v>
      </c>
      <c r="H1242" s="1" t="s">
        <v>17</v>
      </c>
      <c r="I1242" s="1" t="s">
        <v>40</v>
      </c>
      <c r="J1242" s="1">
        <v>5</v>
      </c>
      <c r="K1242" s="1" t="s">
        <v>19</v>
      </c>
      <c r="L1242" s="1" t="s">
        <v>82</v>
      </c>
      <c r="M1242" s="1">
        <f>orders[[#This Row],[Ship Date]]-orders[[#This Row],[Order Date]]</f>
        <v>1</v>
      </c>
      <c r="N1242" s="1">
        <f>WEEKNUM(orders[[#This Row],[Order Date]])</f>
        <v>8</v>
      </c>
      <c r="O1242" s="1"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s="1">
        <v>326</v>
      </c>
      <c r="F1243" s="2">
        <v>45706</v>
      </c>
      <c r="G1243" s="2">
        <v>45712</v>
      </c>
      <c r="H1243" s="1" t="s">
        <v>27</v>
      </c>
      <c r="I1243" s="1" t="s">
        <v>70</v>
      </c>
      <c r="J1243" s="1">
        <v>4</v>
      </c>
      <c r="K1243" s="1" t="s">
        <v>19</v>
      </c>
      <c r="L1243" s="1" t="s">
        <v>115</v>
      </c>
      <c r="M1243" s="1">
        <f>orders[[#This Row],[Ship Date]]-orders[[#This Row],[Order Date]]</f>
        <v>6</v>
      </c>
      <c r="N1243" s="1">
        <f>WEEKNUM(orders[[#This Row],[Order Date]])</f>
        <v>8</v>
      </c>
      <c r="O1243" s="1"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s="1">
        <v>192.6</v>
      </c>
      <c r="F1244" s="2">
        <v>45706</v>
      </c>
      <c r="G1244" s="2">
        <v>45709</v>
      </c>
      <c r="H1244" s="1" t="s">
        <v>27</v>
      </c>
      <c r="I1244" s="1" t="s">
        <v>18</v>
      </c>
      <c r="J1244" s="1">
        <v>4</v>
      </c>
      <c r="K1244" s="1" t="s">
        <v>19</v>
      </c>
      <c r="L1244" s="1" t="s">
        <v>967</v>
      </c>
      <c r="M1244" s="1">
        <f>orders[[#This Row],[Ship Date]]-orders[[#This Row],[Order Date]]</f>
        <v>3</v>
      </c>
      <c r="N1244" s="1">
        <f>WEEKNUM(orders[[#This Row],[Order Date]])</f>
        <v>8</v>
      </c>
      <c r="O1244" s="1"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s="1">
        <v>341</v>
      </c>
      <c r="F1245" s="2">
        <v>45706</v>
      </c>
      <c r="G1245" s="2">
        <v>45708</v>
      </c>
      <c r="H1245" s="1" t="s">
        <v>27</v>
      </c>
      <c r="I1245" s="1" t="s">
        <v>51</v>
      </c>
      <c r="J1245" s="1">
        <v>5</v>
      </c>
      <c r="K1245" s="1" t="s">
        <v>19</v>
      </c>
      <c r="L1245" s="1" t="s">
        <v>24</v>
      </c>
      <c r="M1245" s="1">
        <f>orders[[#This Row],[Ship Date]]-orders[[#This Row],[Order Date]]</f>
        <v>2</v>
      </c>
      <c r="N1245" s="1">
        <f>WEEKNUM(orders[[#This Row],[Order Date]])</f>
        <v>8</v>
      </c>
      <c r="O1245" s="1"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s="1">
        <v>68.599999999999994</v>
      </c>
      <c r="F1246" s="2">
        <v>45706</v>
      </c>
      <c r="G1246" s="2">
        <v>45708</v>
      </c>
      <c r="H1246" s="1" t="s">
        <v>27</v>
      </c>
      <c r="I1246" s="1" t="s">
        <v>18</v>
      </c>
      <c r="J1246" s="1">
        <v>1</v>
      </c>
      <c r="K1246" s="1" t="s">
        <v>19</v>
      </c>
      <c r="L1246" s="1" t="s">
        <v>24</v>
      </c>
      <c r="M1246" s="1">
        <f>orders[[#This Row],[Ship Date]]-orders[[#This Row],[Order Date]]</f>
        <v>2</v>
      </c>
      <c r="N1246" s="1">
        <f>WEEKNUM(orders[[#This Row],[Order Date]])</f>
        <v>8</v>
      </c>
      <c r="O1246" s="1"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s="1">
        <v>241</v>
      </c>
      <c r="F1247" s="2">
        <v>45706</v>
      </c>
      <c r="G1247" s="2">
        <v>45707</v>
      </c>
      <c r="H1247" s="1" t="s">
        <v>23</v>
      </c>
      <c r="I1247" s="1" t="s">
        <v>35</v>
      </c>
      <c r="J1247" s="1">
        <v>3</v>
      </c>
      <c r="K1247" s="1" t="s">
        <v>19</v>
      </c>
      <c r="L1247" s="1" t="s">
        <v>28</v>
      </c>
      <c r="M1247" s="1">
        <f>orders[[#This Row],[Ship Date]]-orders[[#This Row],[Order Date]]</f>
        <v>1</v>
      </c>
      <c r="N1247" s="1">
        <f>WEEKNUM(orders[[#This Row],[Order Date]])</f>
        <v>8</v>
      </c>
      <c r="O1247" s="1"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s="1">
        <v>51.4</v>
      </c>
      <c r="F1248" s="2">
        <v>45706</v>
      </c>
      <c r="G1248" s="2">
        <v>45707</v>
      </c>
      <c r="H1248" s="1" t="s">
        <v>23</v>
      </c>
      <c r="I1248" s="1" t="s">
        <v>18</v>
      </c>
      <c r="J1248" s="1">
        <v>4</v>
      </c>
      <c r="K1248" s="1" t="s">
        <v>19</v>
      </c>
      <c r="L1248" s="1" t="s">
        <v>33</v>
      </c>
      <c r="M1248" s="1">
        <f>orders[[#This Row],[Ship Date]]-orders[[#This Row],[Order Date]]</f>
        <v>1</v>
      </c>
      <c r="N1248" s="1">
        <f>WEEKNUM(orders[[#This Row],[Order Date]])</f>
        <v>8</v>
      </c>
      <c r="O1248" s="1"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s="1">
        <v>586</v>
      </c>
      <c r="F1249" s="2">
        <v>45706</v>
      </c>
      <c r="G1249" s="2">
        <v>45709</v>
      </c>
      <c r="H1249" s="1" t="s">
        <v>27</v>
      </c>
      <c r="I1249" s="1" t="s">
        <v>70</v>
      </c>
      <c r="J1249" s="1">
        <v>2</v>
      </c>
      <c r="K1249" s="1" t="s">
        <v>19</v>
      </c>
      <c r="L1249" s="1" t="s">
        <v>33</v>
      </c>
      <c r="M1249" s="1">
        <f>orders[[#This Row],[Ship Date]]-orders[[#This Row],[Order Date]]</f>
        <v>3</v>
      </c>
      <c r="N1249" s="1">
        <f>WEEKNUM(orders[[#This Row],[Order Date]])</f>
        <v>8</v>
      </c>
      <c r="O1249" s="1"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s="1">
        <v>38.1</v>
      </c>
      <c r="F1250" s="2">
        <v>45706</v>
      </c>
      <c r="G1250" s="2">
        <v>45706</v>
      </c>
      <c r="H1250" s="1" t="s">
        <v>23</v>
      </c>
      <c r="I1250" s="1" t="s">
        <v>70</v>
      </c>
      <c r="J1250" s="1">
        <v>3</v>
      </c>
      <c r="K1250" s="1" t="s">
        <v>19</v>
      </c>
      <c r="L1250" s="1" t="s">
        <v>33</v>
      </c>
      <c r="M1250" s="1">
        <f>orders[[#This Row],[Ship Date]]-orders[[#This Row],[Order Date]]</f>
        <v>0</v>
      </c>
      <c r="N1250" s="1">
        <f>WEEKNUM(orders[[#This Row],[Order Date]])</f>
        <v>8</v>
      </c>
      <c r="O1250" s="1"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s="1">
        <v>88.2</v>
      </c>
      <c r="F1251" s="2">
        <v>45706</v>
      </c>
      <c r="G1251" s="2">
        <v>45708</v>
      </c>
      <c r="H1251" s="1" t="s">
        <v>27</v>
      </c>
      <c r="I1251" s="1" t="s">
        <v>40</v>
      </c>
      <c r="J1251" s="1">
        <v>4</v>
      </c>
      <c r="K1251" s="1" t="s">
        <v>19</v>
      </c>
      <c r="L1251" s="1" t="s">
        <v>33</v>
      </c>
      <c r="M1251" s="1">
        <f>orders[[#This Row],[Ship Date]]-orders[[#This Row],[Order Date]]</f>
        <v>2</v>
      </c>
      <c r="N1251" s="1">
        <f>WEEKNUM(orders[[#This Row],[Order Date]])</f>
        <v>8</v>
      </c>
      <c r="O1251" s="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s="1">
        <v>322</v>
      </c>
      <c r="F1252" s="2">
        <v>45706</v>
      </c>
      <c r="G1252" s="2">
        <v>45711</v>
      </c>
      <c r="H1252" s="1" t="s">
        <v>23</v>
      </c>
      <c r="I1252" s="1" t="s">
        <v>18</v>
      </c>
      <c r="J1252" s="1">
        <v>4</v>
      </c>
      <c r="K1252" s="1" t="s">
        <v>19</v>
      </c>
      <c r="L1252" s="1" t="s">
        <v>33</v>
      </c>
      <c r="M1252" s="1">
        <f>orders[[#This Row],[Ship Date]]-orders[[#This Row],[Order Date]]</f>
        <v>5</v>
      </c>
      <c r="N1252" s="1">
        <f>WEEKNUM(orders[[#This Row],[Order Date]])</f>
        <v>8</v>
      </c>
      <c r="O1252" s="1"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s="1">
        <v>134.4</v>
      </c>
      <c r="F1253" s="2">
        <v>45706</v>
      </c>
      <c r="G1253" s="2">
        <v>45711</v>
      </c>
      <c r="H1253" s="1" t="s">
        <v>17</v>
      </c>
      <c r="I1253" s="1" t="s">
        <v>18</v>
      </c>
      <c r="J1253" s="1">
        <v>5</v>
      </c>
      <c r="K1253" s="1" t="s">
        <v>19</v>
      </c>
      <c r="L1253" s="1" t="s">
        <v>33</v>
      </c>
      <c r="M1253" s="1">
        <f>orders[[#This Row],[Ship Date]]-orders[[#This Row],[Order Date]]</f>
        <v>5</v>
      </c>
      <c r="N1253" s="1">
        <f>WEEKNUM(orders[[#This Row],[Order Date]])</f>
        <v>8</v>
      </c>
      <c r="O1253" s="1"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s="1">
        <v>376.2</v>
      </c>
      <c r="F1254" s="2">
        <v>45706</v>
      </c>
      <c r="G1254" s="2">
        <v>45707</v>
      </c>
      <c r="H1254" s="1" t="s">
        <v>27</v>
      </c>
      <c r="I1254" s="1" t="s">
        <v>18</v>
      </c>
      <c r="J1254" s="1">
        <v>3</v>
      </c>
      <c r="K1254" s="1" t="s">
        <v>19</v>
      </c>
      <c r="L1254" s="1" t="s">
        <v>33</v>
      </c>
      <c r="M1254" s="1">
        <f>orders[[#This Row],[Ship Date]]-orders[[#This Row],[Order Date]]</f>
        <v>1</v>
      </c>
      <c r="N1254" s="1">
        <f>WEEKNUM(orders[[#This Row],[Order Date]])</f>
        <v>8</v>
      </c>
      <c r="O1254" s="1"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s="1">
        <v>212.4</v>
      </c>
      <c r="F1255" s="2">
        <v>45706</v>
      </c>
      <c r="G1255" s="2">
        <v>45706</v>
      </c>
      <c r="H1255" s="1" t="s">
        <v>27</v>
      </c>
      <c r="I1255" s="1" t="s">
        <v>70</v>
      </c>
      <c r="J1255" s="1">
        <v>5</v>
      </c>
      <c r="K1255" s="1" t="s">
        <v>19</v>
      </c>
      <c r="L1255" s="1" t="s">
        <v>33</v>
      </c>
      <c r="M1255" s="1">
        <f>orders[[#This Row],[Ship Date]]-orders[[#This Row],[Order Date]]</f>
        <v>0</v>
      </c>
      <c r="N1255" s="1">
        <f>WEEKNUM(orders[[#This Row],[Order Date]])</f>
        <v>8</v>
      </c>
      <c r="O1255" s="1"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s="1">
        <v>105.2</v>
      </c>
      <c r="F1256" s="2">
        <v>45706</v>
      </c>
      <c r="G1256" s="2">
        <v>45707</v>
      </c>
      <c r="H1256" s="1" t="s">
        <v>27</v>
      </c>
      <c r="I1256" s="1" t="s">
        <v>18</v>
      </c>
      <c r="J1256" s="1">
        <v>5</v>
      </c>
      <c r="K1256" s="1" t="s">
        <v>19</v>
      </c>
      <c r="L1256" s="1" t="s">
        <v>52</v>
      </c>
      <c r="M1256" s="1">
        <f>orders[[#This Row],[Ship Date]]-orders[[#This Row],[Order Date]]</f>
        <v>1</v>
      </c>
      <c r="N1256" s="1">
        <f>WEEKNUM(orders[[#This Row],[Order Date]])</f>
        <v>8</v>
      </c>
      <c r="O1256" s="1"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s="1">
        <v>479.5</v>
      </c>
      <c r="F1257" s="2">
        <v>45706</v>
      </c>
      <c r="G1257" s="2">
        <v>45707</v>
      </c>
      <c r="H1257" s="1" t="s">
        <v>27</v>
      </c>
      <c r="I1257" s="1" t="s">
        <v>35</v>
      </c>
      <c r="J1257" s="1">
        <v>4</v>
      </c>
      <c r="K1257" s="1" t="s">
        <v>19</v>
      </c>
      <c r="L1257" s="1" t="s">
        <v>52</v>
      </c>
      <c r="M1257" s="1">
        <f>orders[[#This Row],[Ship Date]]-orders[[#This Row],[Order Date]]</f>
        <v>1</v>
      </c>
      <c r="N1257" s="1">
        <f>WEEKNUM(orders[[#This Row],[Order Date]])</f>
        <v>8</v>
      </c>
      <c r="O1257" s="1"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s="1">
        <v>111.2</v>
      </c>
      <c r="F1258" s="2">
        <v>45706</v>
      </c>
      <c r="G1258" s="2">
        <v>45708</v>
      </c>
      <c r="H1258" s="1" t="s">
        <v>23</v>
      </c>
      <c r="I1258" s="1" t="s">
        <v>35</v>
      </c>
      <c r="J1258" s="1">
        <v>5</v>
      </c>
      <c r="K1258" s="1" t="s">
        <v>19</v>
      </c>
      <c r="L1258" s="1" t="s">
        <v>55</v>
      </c>
      <c r="M1258" s="1">
        <f>orders[[#This Row],[Ship Date]]-orders[[#This Row],[Order Date]]</f>
        <v>2</v>
      </c>
      <c r="N1258" s="1">
        <f>WEEKNUM(orders[[#This Row],[Order Date]])</f>
        <v>8</v>
      </c>
      <c r="O1258" s="1"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s="1">
        <v>404.70000000000005</v>
      </c>
      <c r="F1259" s="2">
        <v>45706</v>
      </c>
      <c r="G1259" s="2">
        <v>45707</v>
      </c>
      <c r="H1259" s="1" t="s">
        <v>23</v>
      </c>
      <c r="I1259" s="1" t="s">
        <v>35</v>
      </c>
      <c r="J1259" s="1">
        <v>3</v>
      </c>
      <c r="K1259" s="1" t="s">
        <v>19</v>
      </c>
      <c r="L1259" s="1" t="s">
        <v>55</v>
      </c>
      <c r="M1259" s="1">
        <f>orders[[#This Row],[Ship Date]]-orders[[#This Row],[Order Date]]</f>
        <v>1</v>
      </c>
      <c r="N1259" s="1">
        <f>WEEKNUM(orders[[#This Row],[Order Date]])</f>
        <v>8</v>
      </c>
      <c r="O1259" s="1"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s="1">
        <v>213</v>
      </c>
      <c r="F1260" s="2">
        <v>45706</v>
      </c>
      <c r="G1260" s="2">
        <v>45707</v>
      </c>
      <c r="H1260" s="1" t="s">
        <v>23</v>
      </c>
      <c r="I1260" s="1" t="s">
        <v>18</v>
      </c>
      <c r="J1260" s="1">
        <v>4</v>
      </c>
      <c r="K1260" s="1" t="s">
        <v>19</v>
      </c>
      <c r="L1260" s="1" t="s">
        <v>55</v>
      </c>
      <c r="M1260" s="1">
        <f>orders[[#This Row],[Ship Date]]-orders[[#This Row],[Order Date]]</f>
        <v>1</v>
      </c>
      <c r="N1260" s="1">
        <f>WEEKNUM(orders[[#This Row],[Order Date]])</f>
        <v>8</v>
      </c>
      <c r="O1260" s="1"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s="1">
        <v>303</v>
      </c>
      <c r="F1261" s="2">
        <v>45706</v>
      </c>
      <c r="G1261" s="2">
        <v>45708</v>
      </c>
      <c r="H1261" s="1" t="s">
        <v>23</v>
      </c>
      <c r="I1261" s="1" t="s">
        <v>70</v>
      </c>
      <c r="J1261" s="1">
        <v>4</v>
      </c>
      <c r="K1261" s="1" t="s">
        <v>19</v>
      </c>
      <c r="L1261" s="1" t="s">
        <v>55</v>
      </c>
      <c r="M1261" s="1">
        <f>orders[[#This Row],[Ship Date]]-orders[[#This Row],[Order Date]]</f>
        <v>2</v>
      </c>
      <c r="N1261" s="1">
        <f>WEEKNUM(orders[[#This Row],[Order Date]])</f>
        <v>8</v>
      </c>
      <c r="O1261" s="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s="1">
        <v>87</v>
      </c>
      <c r="F1262" s="2">
        <v>45706</v>
      </c>
      <c r="G1262" s="2">
        <v>45707</v>
      </c>
      <c r="H1262" s="1" t="s">
        <v>23</v>
      </c>
      <c r="I1262" s="1" t="s">
        <v>70</v>
      </c>
      <c r="J1262" s="1">
        <v>4</v>
      </c>
      <c r="K1262" s="1" t="s">
        <v>19</v>
      </c>
      <c r="L1262" s="1" t="s">
        <v>59</v>
      </c>
      <c r="M1262" s="1">
        <f>orders[[#This Row],[Ship Date]]-orders[[#This Row],[Order Date]]</f>
        <v>1</v>
      </c>
      <c r="N1262" s="1">
        <f>WEEKNUM(orders[[#This Row],[Order Date]])</f>
        <v>8</v>
      </c>
      <c r="O1262" s="1"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s="1">
        <v>374.2</v>
      </c>
      <c r="F1263" s="2">
        <v>45706</v>
      </c>
      <c r="G1263" s="2">
        <v>45707</v>
      </c>
      <c r="H1263" s="1" t="s">
        <v>23</v>
      </c>
      <c r="I1263" s="1" t="s">
        <v>35</v>
      </c>
      <c r="J1263" s="1">
        <v>5</v>
      </c>
      <c r="K1263" s="1" t="s">
        <v>19</v>
      </c>
      <c r="L1263" s="1" t="s">
        <v>62</v>
      </c>
      <c r="M1263" s="1">
        <f>orders[[#This Row],[Ship Date]]-orders[[#This Row],[Order Date]]</f>
        <v>1</v>
      </c>
      <c r="N1263" s="1">
        <f>WEEKNUM(orders[[#This Row],[Order Date]])</f>
        <v>8</v>
      </c>
      <c r="O1263" s="1"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s="1">
        <v>96</v>
      </c>
      <c r="F1264" s="2">
        <v>45706</v>
      </c>
      <c r="G1264" s="2">
        <v>45708</v>
      </c>
      <c r="H1264" s="1" t="s">
        <v>23</v>
      </c>
      <c r="I1264" s="1" t="s">
        <v>18</v>
      </c>
      <c r="J1264" s="1">
        <v>4</v>
      </c>
      <c r="K1264" s="1" t="s">
        <v>19</v>
      </c>
      <c r="L1264" s="1" t="s">
        <v>62</v>
      </c>
      <c r="M1264" s="1">
        <f>orders[[#This Row],[Ship Date]]-orders[[#This Row],[Order Date]]</f>
        <v>2</v>
      </c>
      <c r="N1264" s="1">
        <f>WEEKNUM(orders[[#This Row],[Order Date]])</f>
        <v>8</v>
      </c>
      <c r="O1264" s="1"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s="1">
        <v>221.6</v>
      </c>
      <c r="F1265" s="2">
        <v>45706</v>
      </c>
      <c r="G1265" s="2">
        <v>45706</v>
      </c>
      <c r="H1265" s="1" t="s">
        <v>23</v>
      </c>
      <c r="I1265" s="1" t="s">
        <v>18</v>
      </c>
      <c r="J1265" s="1">
        <v>5</v>
      </c>
      <c r="K1265" s="1" t="s">
        <v>19</v>
      </c>
      <c r="L1265" s="1" t="s">
        <v>62</v>
      </c>
      <c r="M1265" s="1">
        <f>orders[[#This Row],[Ship Date]]-orders[[#This Row],[Order Date]]</f>
        <v>0</v>
      </c>
      <c r="N1265" s="1">
        <f>WEEKNUM(orders[[#This Row],[Order Date]])</f>
        <v>8</v>
      </c>
      <c r="O1265" s="1"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s="1">
        <v>469.3</v>
      </c>
      <c r="F1266" s="2">
        <v>45706</v>
      </c>
      <c r="G1266" s="2">
        <v>45709</v>
      </c>
      <c r="H1266" s="1" t="s">
        <v>27</v>
      </c>
      <c r="I1266" s="1" t="s">
        <v>18</v>
      </c>
      <c r="J1266" s="1">
        <v>3</v>
      </c>
      <c r="K1266" s="1" t="s">
        <v>19</v>
      </c>
      <c r="L1266" s="1" t="s">
        <v>62</v>
      </c>
      <c r="M1266" s="1">
        <f>orders[[#This Row],[Ship Date]]-orders[[#This Row],[Order Date]]</f>
        <v>3</v>
      </c>
      <c r="N1266" s="1">
        <f>WEEKNUM(orders[[#This Row],[Order Date]])</f>
        <v>8</v>
      </c>
      <c r="O1266" s="1"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s="1">
        <v>24.1</v>
      </c>
      <c r="F1267" s="2">
        <v>45706</v>
      </c>
      <c r="G1267" s="2">
        <v>45708</v>
      </c>
      <c r="H1267" s="1" t="s">
        <v>27</v>
      </c>
      <c r="I1267" s="1" t="s">
        <v>70</v>
      </c>
      <c r="J1267" s="1">
        <v>5</v>
      </c>
      <c r="K1267" s="1" t="s">
        <v>19</v>
      </c>
      <c r="L1267" s="1" t="s">
        <v>62</v>
      </c>
      <c r="M1267" s="1">
        <f>orders[[#This Row],[Ship Date]]-orders[[#This Row],[Order Date]]</f>
        <v>2</v>
      </c>
      <c r="N1267" s="1">
        <f>WEEKNUM(orders[[#This Row],[Order Date]])</f>
        <v>8</v>
      </c>
      <c r="O1267" s="1"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s="1">
        <v>91.5</v>
      </c>
      <c r="F1268" s="2">
        <v>45706</v>
      </c>
      <c r="G1268" s="2">
        <v>45708</v>
      </c>
      <c r="H1268" s="1" t="s">
        <v>23</v>
      </c>
      <c r="I1268" s="1" t="s">
        <v>35</v>
      </c>
      <c r="J1268" s="1">
        <v>4</v>
      </c>
      <c r="K1268" s="1" t="s">
        <v>19</v>
      </c>
      <c r="L1268" s="1" t="s">
        <v>62</v>
      </c>
      <c r="M1268" s="1">
        <f>orders[[#This Row],[Ship Date]]-orders[[#This Row],[Order Date]]</f>
        <v>2</v>
      </c>
      <c r="N1268" s="1">
        <f>WEEKNUM(orders[[#This Row],[Order Date]])</f>
        <v>8</v>
      </c>
      <c r="O1268" s="1"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s="1">
        <v>409.79999999999995</v>
      </c>
      <c r="F1269" s="2">
        <v>45706</v>
      </c>
      <c r="G1269" s="2">
        <v>45709</v>
      </c>
      <c r="H1269" s="1" t="s">
        <v>23</v>
      </c>
      <c r="I1269" s="1" t="s">
        <v>18</v>
      </c>
      <c r="J1269" s="1">
        <v>4</v>
      </c>
      <c r="K1269" s="1" t="s">
        <v>19</v>
      </c>
      <c r="L1269" s="1" t="s">
        <v>62</v>
      </c>
      <c r="M1269" s="1">
        <f>orders[[#This Row],[Ship Date]]-orders[[#This Row],[Order Date]]</f>
        <v>3</v>
      </c>
      <c r="N1269" s="1">
        <f>WEEKNUM(orders[[#This Row],[Order Date]])</f>
        <v>8</v>
      </c>
      <c r="O1269" s="1"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s="1">
        <v>129.89999999999998</v>
      </c>
      <c r="F1270" s="2">
        <v>45706</v>
      </c>
      <c r="G1270" s="2">
        <v>45710</v>
      </c>
      <c r="H1270" s="1" t="s">
        <v>27</v>
      </c>
      <c r="I1270" s="1" t="s">
        <v>18</v>
      </c>
      <c r="J1270" s="1">
        <v>4</v>
      </c>
      <c r="K1270" s="1" t="s">
        <v>19</v>
      </c>
      <c r="L1270" s="1" t="s">
        <v>103</v>
      </c>
      <c r="M1270" s="1">
        <f>orders[[#This Row],[Ship Date]]-orders[[#This Row],[Order Date]]</f>
        <v>4</v>
      </c>
      <c r="N1270" s="1">
        <f>WEEKNUM(orders[[#This Row],[Order Date]])</f>
        <v>8</v>
      </c>
      <c r="O1270" s="1"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s="1">
        <v>101.7</v>
      </c>
      <c r="F1271" s="2">
        <v>45706</v>
      </c>
      <c r="G1271" s="2">
        <v>45709</v>
      </c>
      <c r="H1271" s="1" t="s">
        <v>27</v>
      </c>
      <c r="I1271" s="1" t="s">
        <v>18</v>
      </c>
      <c r="J1271" s="1">
        <v>3</v>
      </c>
      <c r="K1271" s="1" t="s">
        <v>19</v>
      </c>
      <c r="L1271" s="1" t="s">
        <v>103</v>
      </c>
      <c r="M1271" s="1">
        <f>orders[[#This Row],[Ship Date]]-orders[[#This Row],[Order Date]]</f>
        <v>3</v>
      </c>
      <c r="N1271" s="1">
        <f>WEEKNUM(orders[[#This Row],[Order Date]])</f>
        <v>8</v>
      </c>
      <c r="O1271" s="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s="1">
        <v>108.4</v>
      </c>
      <c r="F1272" s="2">
        <v>45706</v>
      </c>
      <c r="G1272" s="2">
        <v>45707</v>
      </c>
      <c r="H1272" s="1" t="s">
        <v>27</v>
      </c>
      <c r="I1272" s="1" t="s">
        <v>18</v>
      </c>
      <c r="J1272" s="1">
        <v>3</v>
      </c>
      <c r="K1272" s="1" t="s">
        <v>19</v>
      </c>
      <c r="L1272" s="1" t="s">
        <v>103</v>
      </c>
      <c r="M1272" s="1">
        <f>orders[[#This Row],[Ship Date]]-orders[[#This Row],[Order Date]]</f>
        <v>1</v>
      </c>
      <c r="N1272" s="1">
        <f>WEEKNUM(orders[[#This Row],[Order Date]])</f>
        <v>8</v>
      </c>
      <c r="O1272" s="1"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s="1">
        <v>102</v>
      </c>
      <c r="F1273" s="2">
        <v>45706</v>
      </c>
      <c r="G1273" s="2">
        <v>45706</v>
      </c>
      <c r="H1273" s="1" t="s">
        <v>23</v>
      </c>
      <c r="I1273" s="1" t="s">
        <v>35</v>
      </c>
      <c r="J1273" s="1">
        <v>4</v>
      </c>
      <c r="K1273" s="1" t="s">
        <v>19</v>
      </c>
      <c r="L1273" s="1" t="s">
        <v>201</v>
      </c>
      <c r="M1273" s="1">
        <f>orders[[#This Row],[Ship Date]]-orders[[#This Row],[Order Date]]</f>
        <v>0</v>
      </c>
      <c r="N1273" s="1">
        <f>WEEKNUM(orders[[#This Row],[Order Date]])</f>
        <v>8</v>
      </c>
      <c r="O1273" s="1"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s="1">
        <v>46.2</v>
      </c>
      <c r="F1274" s="2">
        <v>45706</v>
      </c>
      <c r="G1274" s="2">
        <v>45709</v>
      </c>
      <c r="H1274" s="1" t="s">
        <v>23</v>
      </c>
      <c r="I1274" s="1" t="s">
        <v>35</v>
      </c>
      <c r="J1274" s="1">
        <v>4</v>
      </c>
      <c r="K1274" s="1" t="s">
        <v>19</v>
      </c>
      <c r="L1274" s="1" t="s">
        <v>74</v>
      </c>
      <c r="M1274" s="1">
        <f>orders[[#This Row],[Ship Date]]-orders[[#This Row],[Order Date]]</f>
        <v>3</v>
      </c>
      <c r="N1274" s="1">
        <f>WEEKNUM(orders[[#This Row],[Order Date]])</f>
        <v>8</v>
      </c>
      <c r="O1274" s="1"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s="1">
        <v>360.6</v>
      </c>
      <c r="F1275" s="2">
        <v>45706</v>
      </c>
      <c r="G1275" s="2">
        <v>45706</v>
      </c>
      <c r="H1275" s="1" t="s">
        <v>27</v>
      </c>
      <c r="I1275" s="1" t="s">
        <v>51</v>
      </c>
      <c r="J1275" s="1">
        <v>4</v>
      </c>
      <c r="K1275" s="1" t="s">
        <v>19</v>
      </c>
      <c r="L1275" s="1" t="s">
        <v>77</v>
      </c>
      <c r="M1275" s="1">
        <f>orders[[#This Row],[Ship Date]]-orders[[#This Row],[Order Date]]</f>
        <v>0</v>
      </c>
      <c r="N1275" s="1">
        <f>WEEKNUM(orders[[#This Row],[Order Date]])</f>
        <v>8</v>
      </c>
      <c r="O1275" s="1"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s="1">
        <v>612.5</v>
      </c>
      <c r="F1276" s="2">
        <v>45706</v>
      </c>
      <c r="G1276" s="2">
        <v>45708</v>
      </c>
      <c r="H1276" s="1" t="s">
        <v>27</v>
      </c>
      <c r="I1276" s="1" t="s">
        <v>18</v>
      </c>
      <c r="J1276" s="1">
        <v>3</v>
      </c>
      <c r="K1276" s="1" t="s">
        <v>19</v>
      </c>
      <c r="L1276" s="1" t="s">
        <v>77</v>
      </c>
      <c r="M1276" s="1">
        <f>orders[[#This Row],[Ship Date]]-orders[[#This Row],[Order Date]]</f>
        <v>2</v>
      </c>
      <c r="N1276" s="1">
        <f>WEEKNUM(orders[[#This Row],[Order Date]])</f>
        <v>8</v>
      </c>
      <c r="O1276" s="1"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s="1">
        <v>153</v>
      </c>
      <c r="F1277" s="2">
        <v>45706</v>
      </c>
      <c r="G1277" s="2">
        <v>45707</v>
      </c>
      <c r="H1277" s="1" t="s">
        <v>27</v>
      </c>
      <c r="I1277" s="1" t="s">
        <v>35</v>
      </c>
      <c r="J1277" s="1">
        <v>4</v>
      </c>
      <c r="K1277" s="1" t="s">
        <v>19</v>
      </c>
      <c r="L1277" s="1" t="s">
        <v>77</v>
      </c>
      <c r="M1277" s="1">
        <f>orders[[#This Row],[Ship Date]]-orders[[#This Row],[Order Date]]</f>
        <v>1</v>
      </c>
      <c r="N1277" s="1">
        <f>WEEKNUM(orders[[#This Row],[Order Date]])</f>
        <v>8</v>
      </c>
      <c r="O1277" s="1"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s="1">
        <v>76.8</v>
      </c>
      <c r="F1278" s="2">
        <v>45706</v>
      </c>
      <c r="G1278" s="2">
        <v>45708</v>
      </c>
      <c r="H1278" s="1" t="s">
        <v>27</v>
      </c>
      <c r="I1278" s="1" t="s">
        <v>18</v>
      </c>
      <c r="J1278" s="1">
        <v>4</v>
      </c>
      <c r="K1278" s="1" t="s">
        <v>19</v>
      </c>
      <c r="L1278" s="1" t="s">
        <v>77</v>
      </c>
      <c r="M1278" s="1">
        <f>orders[[#This Row],[Ship Date]]-orders[[#This Row],[Order Date]]</f>
        <v>2</v>
      </c>
      <c r="N1278" s="1">
        <f>WEEKNUM(orders[[#This Row],[Order Date]])</f>
        <v>8</v>
      </c>
      <c r="O1278" s="1"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s="1">
        <v>212</v>
      </c>
      <c r="F1279" s="2">
        <v>45706</v>
      </c>
      <c r="G1279" s="2">
        <v>45707</v>
      </c>
      <c r="H1279" s="1" t="s">
        <v>17</v>
      </c>
      <c r="I1279" s="1" t="s">
        <v>51</v>
      </c>
      <c r="J1279" s="1">
        <v>5</v>
      </c>
      <c r="K1279" s="1" t="s">
        <v>19</v>
      </c>
      <c r="L1279" s="1" t="s">
        <v>77</v>
      </c>
      <c r="M1279" s="1">
        <f>orders[[#This Row],[Ship Date]]-orders[[#This Row],[Order Date]]</f>
        <v>1</v>
      </c>
      <c r="N1279" s="1">
        <f>WEEKNUM(orders[[#This Row],[Order Date]])</f>
        <v>8</v>
      </c>
      <c r="O1279" s="1"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s="1">
        <v>440.6</v>
      </c>
      <c r="F1280" s="2">
        <v>45706</v>
      </c>
      <c r="G1280" s="2">
        <v>45707</v>
      </c>
      <c r="H1280" s="1" t="s">
        <v>27</v>
      </c>
      <c r="I1280" s="1" t="s">
        <v>35</v>
      </c>
      <c r="J1280" s="1">
        <v>2</v>
      </c>
      <c r="K1280" s="1" t="s">
        <v>19</v>
      </c>
      <c r="L1280" s="1" t="s">
        <v>1116</v>
      </c>
      <c r="M1280" s="1">
        <f>orders[[#This Row],[Ship Date]]-orders[[#This Row],[Order Date]]</f>
        <v>1</v>
      </c>
      <c r="N1280" s="1">
        <f>WEEKNUM(orders[[#This Row],[Order Date]])</f>
        <v>8</v>
      </c>
      <c r="O1280" s="1"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s="1">
        <v>137.10000000000002</v>
      </c>
      <c r="F1281" s="2">
        <v>45706</v>
      </c>
      <c r="G1281" s="2">
        <v>45707</v>
      </c>
      <c r="H1281" s="1" t="s">
        <v>27</v>
      </c>
      <c r="I1281" s="1" t="s">
        <v>70</v>
      </c>
      <c r="J1281" s="1">
        <v>4</v>
      </c>
      <c r="K1281" s="1" t="s">
        <v>19</v>
      </c>
      <c r="L1281" s="1" t="s">
        <v>268</v>
      </c>
      <c r="M1281" s="1">
        <f>orders[[#This Row],[Ship Date]]-orders[[#This Row],[Order Date]]</f>
        <v>1</v>
      </c>
      <c r="N1281" s="1">
        <f>WEEKNUM(orders[[#This Row],[Order Date]])</f>
        <v>8</v>
      </c>
      <c r="O1281" s="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s="1">
        <v>235.5</v>
      </c>
      <c r="F1282" s="2">
        <v>45706</v>
      </c>
      <c r="G1282" s="2">
        <v>45710</v>
      </c>
      <c r="H1282" s="1" t="s">
        <v>27</v>
      </c>
      <c r="I1282" s="1" t="s">
        <v>51</v>
      </c>
      <c r="J1282" s="1">
        <v>4</v>
      </c>
      <c r="K1282" s="1" t="s">
        <v>19</v>
      </c>
      <c r="L1282" s="1" t="s">
        <v>82</v>
      </c>
      <c r="M1282" s="1">
        <f>orders[[#This Row],[Ship Date]]-orders[[#This Row],[Order Date]]</f>
        <v>4</v>
      </c>
      <c r="N1282" s="1">
        <f>WEEKNUM(orders[[#This Row],[Order Date]])</f>
        <v>8</v>
      </c>
      <c r="O1282" s="1"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s="1">
        <v>408.5</v>
      </c>
      <c r="F1283" s="2">
        <v>45706</v>
      </c>
      <c r="G1283" s="2">
        <v>45707</v>
      </c>
      <c r="H1283" s="1" t="s">
        <v>27</v>
      </c>
      <c r="I1283" s="1" t="s">
        <v>18</v>
      </c>
      <c r="J1283" s="1">
        <v>5</v>
      </c>
      <c r="K1283" s="1" t="s">
        <v>19</v>
      </c>
      <c r="L1283" s="1" t="s">
        <v>115</v>
      </c>
      <c r="M1283" s="1">
        <f>orders[[#This Row],[Ship Date]]-orders[[#This Row],[Order Date]]</f>
        <v>1</v>
      </c>
      <c r="N1283" s="1">
        <f>WEEKNUM(orders[[#This Row],[Order Date]])</f>
        <v>8</v>
      </c>
      <c r="O1283" s="1"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s="1">
        <v>978</v>
      </c>
      <c r="F1284" s="2">
        <v>45706</v>
      </c>
      <c r="G1284" s="2">
        <v>45706</v>
      </c>
      <c r="H1284" s="1" t="s">
        <v>23</v>
      </c>
      <c r="I1284" s="1" t="s">
        <v>35</v>
      </c>
      <c r="J1284" s="1">
        <v>3</v>
      </c>
      <c r="K1284" s="1" t="s">
        <v>19</v>
      </c>
      <c r="L1284" s="1" t="s">
        <v>115</v>
      </c>
      <c r="M1284" s="1">
        <f>orders[[#This Row],[Ship Date]]-orders[[#This Row],[Order Date]]</f>
        <v>0</v>
      </c>
      <c r="N1284" s="1">
        <f>WEEKNUM(orders[[#This Row],[Order Date]])</f>
        <v>8</v>
      </c>
      <c r="O1284" s="1"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s="1">
        <v>127.19999999999999</v>
      </c>
      <c r="F1285" s="2">
        <v>45706</v>
      </c>
      <c r="G1285" s="2">
        <v>45707</v>
      </c>
      <c r="H1285" s="1" t="s">
        <v>27</v>
      </c>
      <c r="I1285" s="1" t="s">
        <v>18</v>
      </c>
      <c r="J1285" s="1">
        <v>5</v>
      </c>
      <c r="K1285" s="1" t="s">
        <v>19</v>
      </c>
      <c r="L1285" s="1" t="s">
        <v>1383</v>
      </c>
      <c r="M1285" s="1">
        <f>orders[[#This Row],[Ship Date]]-orders[[#This Row],[Order Date]]</f>
        <v>1</v>
      </c>
      <c r="N1285" s="1">
        <f>WEEKNUM(orders[[#This Row],[Order Date]])</f>
        <v>8</v>
      </c>
      <c r="O1285" s="1"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s="1">
        <v>745</v>
      </c>
      <c r="F1286" s="2">
        <v>45706</v>
      </c>
      <c r="G1286" s="2">
        <v>45707</v>
      </c>
      <c r="H1286" s="1" t="s">
        <v>23</v>
      </c>
      <c r="I1286" s="1" t="s">
        <v>40</v>
      </c>
      <c r="J1286" s="1">
        <v>3</v>
      </c>
      <c r="K1286" s="1" t="s">
        <v>19</v>
      </c>
      <c r="L1286" s="1" t="s">
        <v>24</v>
      </c>
      <c r="M1286" s="1">
        <f>orders[[#This Row],[Ship Date]]-orders[[#This Row],[Order Date]]</f>
        <v>1</v>
      </c>
      <c r="N1286" s="1">
        <f>WEEKNUM(orders[[#This Row],[Order Date]])</f>
        <v>8</v>
      </c>
      <c r="O1286" s="1"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s="1">
        <v>284.39999999999998</v>
      </c>
      <c r="F1287" s="2">
        <v>45706</v>
      </c>
      <c r="G1287" s="2">
        <v>45707</v>
      </c>
      <c r="H1287" s="1" t="s">
        <v>23</v>
      </c>
      <c r="I1287" s="1" t="s">
        <v>35</v>
      </c>
      <c r="J1287" s="1">
        <v>4</v>
      </c>
      <c r="K1287" s="1" t="s">
        <v>19</v>
      </c>
      <c r="L1287" s="1" t="s">
        <v>24</v>
      </c>
      <c r="M1287" s="1">
        <f>orders[[#This Row],[Ship Date]]-orders[[#This Row],[Order Date]]</f>
        <v>1</v>
      </c>
      <c r="N1287" s="1">
        <f>WEEKNUM(orders[[#This Row],[Order Date]])</f>
        <v>8</v>
      </c>
      <c r="O1287" s="1"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s="1">
        <v>51.900000000000006</v>
      </c>
      <c r="F1288" s="2">
        <v>45707</v>
      </c>
      <c r="G1288" s="2">
        <v>45710</v>
      </c>
      <c r="H1288" s="1" t="s">
        <v>23</v>
      </c>
      <c r="I1288" s="1" t="s">
        <v>40</v>
      </c>
      <c r="J1288" s="1">
        <v>5</v>
      </c>
      <c r="K1288" s="1" t="s">
        <v>19</v>
      </c>
      <c r="L1288" s="1" t="s">
        <v>24</v>
      </c>
      <c r="M1288" s="1">
        <f>orders[[#This Row],[Ship Date]]-orders[[#This Row],[Order Date]]</f>
        <v>3</v>
      </c>
      <c r="N1288" s="1">
        <f>WEEKNUM(orders[[#This Row],[Order Date]])</f>
        <v>8</v>
      </c>
      <c r="O1288" s="1"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s="1">
        <v>311.60000000000002</v>
      </c>
      <c r="F1289" s="2">
        <v>45707</v>
      </c>
      <c r="G1289" s="2">
        <v>45708</v>
      </c>
      <c r="H1289" s="1" t="s">
        <v>23</v>
      </c>
      <c r="I1289" s="1" t="s">
        <v>35</v>
      </c>
      <c r="J1289" s="1">
        <v>4</v>
      </c>
      <c r="K1289" s="1" t="s">
        <v>19</v>
      </c>
      <c r="L1289" s="1" t="s">
        <v>28</v>
      </c>
      <c r="M1289" s="1">
        <f>orders[[#This Row],[Ship Date]]-orders[[#This Row],[Order Date]]</f>
        <v>1</v>
      </c>
      <c r="N1289" s="1">
        <f>WEEKNUM(orders[[#This Row],[Order Date]])</f>
        <v>8</v>
      </c>
      <c r="O1289" s="1"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s="1">
        <v>29.1</v>
      </c>
      <c r="F1290" s="2">
        <v>45707</v>
      </c>
      <c r="G1290" s="2">
        <v>45710</v>
      </c>
      <c r="H1290" s="1" t="s">
        <v>23</v>
      </c>
      <c r="I1290" s="1" t="s">
        <v>18</v>
      </c>
      <c r="J1290" s="1">
        <v>5</v>
      </c>
      <c r="K1290" s="1" t="s">
        <v>19</v>
      </c>
      <c r="L1290" s="1" t="s">
        <v>949</v>
      </c>
      <c r="M1290" s="1">
        <f>orders[[#This Row],[Ship Date]]-orders[[#This Row],[Order Date]]</f>
        <v>3</v>
      </c>
      <c r="N1290" s="1">
        <f>WEEKNUM(orders[[#This Row],[Order Date]])</f>
        <v>8</v>
      </c>
      <c r="O1290" s="1"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s="1">
        <v>49</v>
      </c>
      <c r="F1291" s="2">
        <v>45707</v>
      </c>
      <c r="G1291" s="2">
        <v>45708</v>
      </c>
      <c r="H1291" s="1" t="s">
        <v>23</v>
      </c>
      <c r="I1291" s="1" t="s">
        <v>35</v>
      </c>
      <c r="J1291" s="1">
        <v>4</v>
      </c>
      <c r="K1291" s="1" t="s">
        <v>19</v>
      </c>
      <c r="L1291" s="1" t="s">
        <v>33</v>
      </c>
      <c r="M1291" s="1">
        <f>orders[[#This Row],[Ship Date]]-orders[[#This Row],[Order Date]]</f>
        <v>1</v>
      </c>
      <c r="N1291" s="1">
        <f>WEEKNUM(orders[[#This Row],[Order Date]])</f>
        <v>8</v>
      </c>
      <c r="O1291" s="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s="1">
        <v>126.60000000000001</v>
      </c>
      <c r="F1292" s="2">
        <v>45707</v>
      </c>
      <c r="G1292" s="2">
        <v>45714</v>
      </c>
      <c r="H1292" s="1" t="s">
        <v>23</v>
      </c>
      <c r="I1292" s="1" t="s">
        <v>18</v>
      </c>
      <c r="J1292" s="1">
        <v>5</v>
      </c>
      <c r="K1292" s="1" t="s">
        <v>19</v>
      </c>
      <c r="L1292" s="1" t="s">
        <v>33</v>
      </c>
      <c r="M1292" s="1">
        <f>orders[[#This Row],[Ship Date]]-orders[[#This Row],[Order Date]]</f>
        <v>7</v>
      </c>
      <c r="N1292" s="1">
        <f>WEEKNUM(orders[[#This Row],[Order Date]])</f>
        <v>8</v>
      </c>
      <c r="O1292" s="1"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s="1">
        <v>701.1</v>
      </c>
      <c r="F1293" s="2">
        <v>45707</v>
      </c>
      <c r="G1293" s="2">
        <v>45707</v>
      </c>
      <c r="H1293" s="1" t="s">
        <v>27</v>
      </c>
      <c r="I1293" s="1" t="s">
        <v>18</v>
      </c>
      <c r="J1293" s="1">
        <v>4</v>
      </c>
      <c r="K1293" s="1" t="s">
        <v>19</v>
      </c>
      <c r="L1293" s="1" t="s">
        <v>33</v>
      </c>
      <c r="M1293" s="1">
        <f>orders[[#This Row],[Ship Date]]-orders[[#This Row],[Order Date]]</f>
        <v>0</v>
      </c>
      <c r="N1293" s="1">
        <f>WEEKNUM(orders[[#This Row],[Order Date]])</f>
        <v>8</v>
      </c>
      <c r="O1293" s="1"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s="1">
        <v>926</v>
      </c>
      <c r="F1294" s="2">
        <v>45707</v>
      </c>
      <c r="G1294" s="2">
        <v>45712</v>
      </c>
      <c r="H1294" s="1" t="s">
        <v>23</v>
      </c>
      <c r="I1294" s="1" t="s">
        <v>70</v>
      </c>
      <c r="J1294" s="1">
        <v>5</v>
      </c>
      <c r="K1294" s="1" t="s">
        <v>19</v>
      </c>
      <c r="L1294" s="1" t="s">
        <v>33</v>
      </c>
      <c r="M1294" s="1">
        <f>orders[[#This Row],[Ship Date]]-orders[[#This Row],[Order Date]]</f>
        <v>5</v>
      </c>
      <c r="N1294" s="1">
        <f>WEEKNUM(orders[[#This Row],[Order Date]])</f>
        <v>8</v>
      </c>
      <c r="O1294" s="1"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s="1">
        <v>76</v>
      </c>
      <c r="F1295" s="2">
        <v>45707</v>
      </c>
      <c r="G1295" s="2">
        <v>45708</v>
      </c>
      <c r="H1295" s="1" t="s">
        <v>23</v>
      </c>
      <c r="I1295" s="1" t="s">
        <v>35</v>
      </c>
      <c r="J1295" s="1">
        <v>3</v>
      </c>
      <c r="K1295" s="1" t="s">
        <v>19</v>
      </c>
      <c r="L1295" s="1" t="s">
        <v>33</v>
      </c>
      <c r="M1295" s="1">
        <f>orders[[#This Row],[Ship Date]]-orders[[#This Row],[Order Date]]</f>
        <v>1</v>
      </c>
      <c r="N1295" s="1">
        <f>WEEKNUM(orders[[#This Row],[Order Date]])</f>
        <v>8</v>
      </c>
      <c r="O1295" s="1"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s="1">
        <v>164.39999999999998</v>
      </c>
      <c r="F1296" s="2">
        <v>45707</v>
      </c>
      <c r="G1296" s="2">
        <v>45711</v>
      </c>
      <c r="H1296" s="1" t="s">
        <v>17</v>
      </c>
      <c r="I1296" s="1" t="s">
        <v>18</v>
      </c>
      <c r="J1296" s="1">
        <v>3</v>
      </c>
      <c r="K1296" s="1" t="s">
        <v>19</v>
      </c>
      <c r="L1296" s="1" t="s">
        <v>33</v>
      </c>
      <c r="M1296" s="1">
        <f>orders[[#This Row],[Ship Date]]-orders[[#This Row],[Order Date]]</f>
        <v>4</v>
      </c>
      <c r="N1296" s="1">
        <f>WEEKNUM(orders[[#This Row],[Order Date]])</f>
        <v>8</v>
      </c>
      <c r="O1296" s="1"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s="1">
        <v>681.59999999999991</v>
      </c>
      <c r="F1297" s="2">
        <v>45707</v>
      </c>
      <c r="G1297" s="2">
        <v>45709</v>
      </c>
      <c r="H1297" s="1" t="s">
        <v>23</v>
      </c>
      <c r="I1297" s="1" t="s">
        <v>35</v>
      </c>
      <c r="J1297" s="1">
        <v>4</v>
      </c>
      <c r="K1297" s="1" t="s">
        <v>19</v>
      </c>
      <c r="L1297" s="1" t="s">
        <v>33</v>
      </c>
      <c r="M1297" s="1">
        <f>orders[[#This Row],[Ship Date]]-orders[[#This Row],[Order Date]]</f>
        <v>2</v>
      </c>
      <c r="N1297" s="1">
        <f>WEEKNUM(orders[[#This Row],[Order Date]])</f>
        <v>8</v>
      </c>
      <c r="O1297" s="1"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s="1">
        <v>1557.6000000000001</v>
      </c>
      <c r="F1298" s="2">
        <v>45707</v>
      </c>
      <c r="G1298" s="2">
        <v>45710</v>
      </c>
      <c r="H1298" s="1" t="s">
        <v>27</v>
      </c>
      <c r="I1298" s="1" t="s">
        <v>35</v>
      </c>
      <c r="J1298" s="1">
        <v>4</v>
      </c>
      <c r="K1298" s="1" t="s">
        <v>19</v>
      </c>
      <c r="L1298" s="1" t="s">
        <v>33</v>
      </c>
      <c r="M1298" s="1">
        <f>orders[[#This Row],[Ship Date]]-orders[[#This Row],[Order Date]]</f>
        <v>3</v>
      </c>
      <c r="N1298" s="1">
        <f>WEEKNUM(orders[[#This Row],[Order Date]])</f>
        <v>8</v>
      </c>
      <c r="O1298" s="1"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s="1">
        <v>270.60000000000002</v>
      </c>
      <c r="F1299" s="2">
        <v>45707</v>
      </c>
      <c r="G1299" s="2">
        <v>45708</v>
      </c>
      <c r="H1299" s="1" t="s">
        <v>27</v>
      </c>
      <c r="I1299" s="1" t="s">
        <v>40</v>
      </c>
      <c r="J1299" s="1">
        <v>4</v>
      </c>
      <c r="K1299" s="1" t="s">
        <v>19</v>
      </c>
      <c r="L1299" s="1" t="s">
        <v>545</v>
      </c>
      <c r="M1299" s="1">
        <f>orders[[#This Row],[Ship Date]]-orders[[#This Row],[Order Date]]</f>
        <v>1</v>
      </c>
      <c r="N1299" s="1">
        <f>WEEKNUM(orders[[#This Row],[Order Date]])</f>
        <v>8</v>
      </c>
      <c r="O1299" s="1"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s="1">
        <v>302.39999999999998</v>
      </c>
      <c r="F1300" s="2">
        <v>45707</v>
      </c>
      <c r="G1300" s="2">
        <v>45712</v>
      </c>
      <c r="H1300" s="1" t="s">
        <v>27</v>
      </c>
      <c r="I1300" s="1" t="s">
        <v>40</v>
      </c>
      <c r="J1300" s="1">
        <v>4</v>
      </c>
      <c r="K1300" s="1" t="s">
        <v>19</v>
      </c>
      <c r="L1300" s="1" t="s">
        <v>98</v>
      </c>
      <c r="M1300" s="1">
        <f>orders[[#This Row],[Ship Date]]-orders[[#This Row],[Order Date]]</f>
        <v>5</v>
      </c>
      <c r="N1300" s="1">
        <f>WEEKNUM(orders[[#This Row],[Order Date]])</f>
        <v>8</v>
      </c>
      <c r="O1300" s="1"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s="1">
        <v>22</v>
      </c>
      <c r="F1301" s="2">
        <v>45707</v>
      </c>
      <c r="G1301" s="2">
        <v>45708</v>
      </c>
      <c r="H1301" s="1" t="s">
        <v>27</v>
      </c>
      <c r="I1301" s="1" t="s">
        <v>18</v>
      </c>
      <c r="J1301" s="1">
        <v>4</v>
      </c>
      <c r="K1301" s="1" t="s">
        <v>19</v>
      </c>
      <c r="L1301" s="1" t="s">
        <v>52</v>
      </c>
      <c r="M1301" s="1">
        <f>orders[[#This Row],[Ship Date]]-orders[[#This Row],[Order Date]]</f>
        <v>1</v>
      </c>
      <c r="N1301" s="1">
        <f>WEEKNUM(orders[[#This Row],[Order Date]])</f>
        <v>8</v>
      </c>
      <c r="O1301" s="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s="1">
        <v>84.4</v>
      </c>
      <c r="F1302" s="2">
        <v>45707</v>
      </c>
      <c r="G1302" s="2">
        <v>45708</v>
      </c>
      <c r="H1302" s="1" t="s">
        <v>27</v>
      </c>
      <c r="I1302" s="1" t="s">
        <v>35</v>
      </c>
      <c r="J1302" s="1">
        <v>3</v>
      </c>
      <c r="K1302" s="1" t="s">
        <v>19</v>
      </c>
      <c r="L1302" s="1" t="s">
        <v>158</v>
      </c>
      <c r="M1302" s="1">
        <f>orders[[#This Row],[Ship Date]]-orders[[#This Row],[Order Date]]</f>
        <v>1</v>
      </c>
      <c r="N1302" s="1">
        <f>WEEKNUM(orders[[#This Row],[Order Date]])</f>
        <v>8</v>
      </c>
      <c r="O1302" s="1"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s="1">
        <v>61.5</v>
      </c>
      <c r="F1303" s="2">
        <v>45707</v>
      </c>
      <c r="G1303" s="2">
        <v>45708</v>
      </c>
      <c r="H1303" s="1" t="s">
        <v>23</v>
      </c>
      <c r="I1303" s="1" t="s">
        <v>18</v>
      </c>
      <c r="J1303" s="1">
        <v>3</v>
      </c>
      <c r="K1303" s="1" t="s">
        <v>19</v>
      </c>
      <c r="L1303" s="1" t="s">
        <v>55</v>
      </c>
      <c r="M1303" s="1">
        <f>orders[[#This Row],[Ship Date]]-orders[[#This Row],[Order Date]]</f>
        <v>1</v>
      </c>
      <c r="N1303" s="1">
        <f>WEEKNUM(orders[[#This Row],[Order Date]])</f>
        <v>8</v>
      </c>
      <c r="O1303" s="1"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s="1">
        <v>190.4</v>
      </c>
      <c r="F1304" s="2">
        <v>45707</v>
      </c>
      <c r="G1304" s="2">
        <v>45712</v>
      </c>
      <c r="H1304" s="1" t="s">
        <v>23</v>
      </c>
      <c r="I1304" s="1" t="s">
        <v>35</v>
      </c>
      <c r="J1304" s="1">
        <v>2</v>
      </c>
      <c r="K1304" s="1" t="s">
        <v>19</v>
      </c>
      <c r="L1304" s="1" t="s">
        <v>55</v>
      </c>
      <c r="M1304" s="1">
        <f>orders[[#This Row],[Ship Date]]-orders[[#This Row],[Order Date]]</f>
        <v>5</v>
      </c>
      <c r="N1304" s="1">
        <f>WEEKNUM(orders[[#This Row],[Order Date]])</f>
        <v>8</v>
      </c>
      <c r="O1304" s="1"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s="1">
        <v>121.9</v>
      </c>
      <c r="F1305" s="2">
        <v>45707</v>
      </c>
      <c r="G1305" s="2">
        <v>45709</v>
      </c>
      <c r="H1305" s="1" t="s">
        <v>27</v>
      </c>
      <c r="I1305" s="1" t="s">
        <v>35</v>
      </c>
      <c r="J1305" s="1">
        <v>5</v>
      </c>
      <c r="K1305" s="1" t="s">
        <v>19</v>
      </c>
      <c r="L1305" s="1" t="s">
        <v>55</v>
      </c>
      <c r="M1305" s="1">
        <f>orders[[#This Row],[Ship Date]]-orders[[#This Row],[Order Date]]</f>
        <v>2</v>
      </c>
      <c r="N1305" s="1">
        <f>WEEKNUM(orders[[#This Row],[Order Date]])</f>
        <v>8</v>
      </c>
      <c r="O1305" s="1"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s="1">
        <v>895.19999999999993</v>
      </c>
      <c r="F1306" s="2">
        <v>45707</v>
      </c>
      <c r="G1306" s="2">
        <v>45708</v>
      </c>
      <c r="H1306" s="1" t="s">
        <v>27</v>
      </c>
      <c r="I1306" s="1" t="s">
        <v>40</v>
      </c>
      <c r="J1306" s="1">
        <v>5</v>
      </c>
      <c r="K1306" s="1" t="s">
        <v>19</v>
      </c>
      <c r="L1306" s="1" t="s">
        <v>59</v>
      </c>
      <c r="M1306" s="1">
        <f>orders[[#This Row],[Ship Date]]-orders[[#This Row],[Order Date]]</f>
        <v>1</v>
      </c>
      <c r="N1306" s="1">
        <f>WEEKNUM(orders[[#This Row],[Order Date]])</f>
        <v>8</v>
      </c>
      <c r="O1306" s="1"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s="1">
        <v>54.1</v>
      </c>
      <c r="F1307" s="2">
        <v>45707</v>
      </c>
      <c r="G1307" s="2">
        <v>45716</v>
      </c>
      <c r="H1307" s="1" t="s">
        <v>27</v>
      </c>
      <c r="I1307" s="1" t="s">
        <v>40</v>
      </c>
      <c r="J1307" s="1">
        <v>5</v>
      </c>
      <c r="K1307" s="1" t="s">
        <v>19</v>
      </c>
      <c r="L1307" s="1" t="s">
        <v>59</v>
      </c>
      <c r="M1307" s="1">
        <f>orders[[#This Row],[Ship Date]]-orders[[#This Row],[Order Date]]</f>
        <v>9</v>
      </c>
      <c r="N1307" s="1">
        <f>WEEKNUM(orders[[#This Row],[Order Date]])</f>
        <v>8</v>
      </c>
      <c r="O1307" s="1"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s="1">
        <v>54.8</v>
      </c>
      <c r="F1308" s="2">
        <v>45707</v>
      </c>
      <c r="G1308" s="2">
        <v>45709</v>
      </c>
      <c r="H1308" s="1" t="s">
        <v>23</v>
      </c>
      <c r="I1308" s="1" t="s">
        <v>35</v>
      </c>
      <c r="J1308" s="1">
        <v>4</v>
      </c>
      <c r="K1308" s="1" t="s">
        <v>19</v>
      </c>
      <c r="L1308" s="1" t="s">
        <v>62</v>
      </c>
      <c r="M1308" s="1">
        <f>orders[[#This Row],[Ship Date]]-orders[[#This Row],[Order Date]]</f>
        <v>2</v>
      </c>
      <c r="N1308" s="1">
        <f>WEEKNUM(orders[[#This Row],[Order Date]])</f>
        <v>8</v>
      </c>
      <c r="O1308" s="1"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s="1">
        <v>395.2</v>
      </c>
      <c r="F1309" s="2">
        <v>45707</v>
      </c>
      <c r="G1309" s="2">
        <v>45708</v>
      </c>
      <c r="H1309" s="1" t="s">
        <v>27</v>
      </c>
      <c r="I1309" s="1" t="s">
        <v>18</v>
      </c>
      <c r="J1309" s="1">
        <v>5</v>
      </c>
      <c r="K1309" s="1" t="s">
        <v>19</v>
      </c>
      <c r="L1309" s="1" t="s">
        <v>62</v>
      </c>
      <c r="M1309" s="1">
        <f>orders[[#This Row],[Ship Date]]-orders[[#This Row],[Order Date]]</f>
        <v>1</v>
      </c>
      <c r="N1309" s="1">
        <f>WEEKNUM(orders[[#This Row],[Order Date]])</f>
        <v>8</v>
      </c>
      <c r="O1309" s="1"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s="1">
        <v>138.60000000000002</v>
      </c>
      <c r="F1310" s="2">
        <v>45707</v>
      </c>
      <c r="G1310" s="2">
        <v>45709</v>
      </c>
      <c r="H1310" s="1" t="s">
        <v>23</v>
      </c>
      <c r="I1310" s="1" t="s">
        <v>40</v>
      </c>
      <c r="J1310" s="1">
        <v>3</v>
      </c>
      <c r="K1310" s="1" t="s">
        <v>19</v>
      </c>
      <c r="L1310" s="1" t="s">
        <v>103</v>
      </c>
      <c r="M1310" s="1">
        <f>orders[[#This Row],[Ship Date]]-orders[[#This Row],[Order Date]]</f>
        <v>2</v>
      </c>
      <c r="N1310" s="1">
        <f>WEEKNUM(orders[[#This Row],[Order Date]])</f>
        <v>8</v>
      </c>
      <c r="O1310" s="1"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s="1">
        <v>628.79999999999995</v>
      </c>
      <c r="F1311" s="2">
        <v>45707</v>
      </c>
      <c r="G1311" s="2">
        <v>45711</v>
      </c>
      <c r="H1311" s="1" t="s">
        <v>23</v>
      </c>
      <c r="I1311" s="1" t="s">
        <v>51</v>
      </c>
      <c r="J1311" s="1">
        <v>4</v>
      </c>
      <c r="K1311" s="1" t="s">
        <v>19</v>
      </c>
      <c r="L1311" s="1" t="s">
        <v>103</v>
      </c>
      <c r="M1311" s="1">
        <f>orders[[#This Row],[Ship Date]]-orders[[#This Row],[Order Date]]</f>
        <v>4</v>
      </c>
      <c r="N1311" s="1">
        <f>WEEKNUM(orders[[#This Row],[Order Date]])</f>
        <v>8</v>
      </c>
      <c r="O1311" s="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s="1">
        <v>259</v>
      </c>
      <c r="F1312" s="2">
        <v>45707</v>
      </c>
      <c r="G1312" s="2">
        <v>45713</v>
      </c>
      <c r="H1312" s="1" t="s">
        <v>23</v>
      </c>
      <c r="I1312" s="1" t="s">
        <v>70</v>
      </c>
      <c r="J1312" s="1">
        <v>4</v>
      </c>
      <c r="K1312" s="1" t="s">
        <v>19</v>
      </c>
      <c r="L1312" s="1" t="s">
        <v>72</v>
      </c>
      <c r="M1312" s="1">
        <f>orders[[#This Row],[Ship Date]]-orders[[#This Row],[Order Date]]</f>
        <v>6</v>
      </c>
      <c r="N1312" s="1">
        <f>WEEKNUM(orders[[#This Row],[Order Date]])</f>
        <v>8</v>
      </c>
      <c r="O1312" s="1"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s="1">
        <v>134.80000000000001</v>
      </c>
      <c r="F1313" s="2">
        <v>45707</v>
      </c>
      <c r="G1313" s="2">
        <v>45709</v>
      </c>
      <c r="H1313" s="1" t="s">
        <v>23</v>
      </c>
      <c r="I1313" s="1" t="s">
        <v>40</v>
      </c>
      <c r="J1313" s="1">
        <v>5</v>
      </c>
      <c r="K1313" s="1" t="s">
        <v>19</v>
      </c>
      <c r="L1313" s="1" t="s">
        <v>72</v>
      </c>
      <c r="M1313" s="1">
        <f>orders[[#This Row],[Ship Date]]-orders[[#This Row],[Order Date]]</f>
        <v>2</v>
      </c>
      <c r="N1313" s="1">
        <f>WEEKNUM(orders[[#This Row],[Order Date]])</f>
        <v>8</v>
      </c>
      <c r="O1313" s="1"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s="1">
        <v>215.5</v>
      </c>
      <c r="F1314" s="2">
        <v>45707</v>
      </c>
      <c r="G1314" s="2">
        <v>45709</v>
      </c>
      <c r="H1314" s="1" t="s">
        <v>27</v>
      </c>
      <c r="I1314" s="1" t="s">
        <v>18</v>
      </c>
      <c r="J1314" s="1">
        <v>4</v>
      </c>
      <c r="K1314" s="1" t="s">
        <v>19</v>
      </c>
      <c r="L1314" s="1" t="s">
        <v>77</v>
      </c>
      <c r="M1314" s="1">
        <f>orders[[#This Row],[Ship Date]]-orders[[#This Row],[Order Date]]</f>
        <v>2</v>
      </c>
      <c r="N1314" s="1">
        <f>WEEKNUM(orders[[#This Row],[Order Date]])</f>
        <v>8</v>
      </c>
      <c r="O1314" s="1"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s="1">
        <v>431.2</v>
      </c>
      <c r="F1315" s="2">
        <v>45707</v>
      </c>
      <c r="G1315" s="2">
        <v>45708</v>
      </c>
      <c r="H1315" s="1" t="s">
        <v>27</v>
      </c>
      <c r="I1315" s="1" t="s">
        <v>40</v>
      </c>
      <c r="J1315" s="1">
        <v>4</v>
      </c>
      <c r="K1315" s="1" t="s">
        <v>19</v>
      </c>
      <c r="L1315" s="1" t="s">
        <v>108</v>
      </c>
      <c r="M1315" s="1">
        <f>orders[[#This Row],[Ship Date]]-orders[[#This Row],[Order Date]]</f>
        <v>1</v>
      </c>
      <c r="N1315" s="1">
        <f>WEEKNUM(orders[[#This Row],[Order Date]])</f>
        <v>8</v>
      </c>
      <c r="O1315" s="1"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s="1">
        <v>161.4</v>
      </c>
      <c r="F1316" s="2">
        <v>45707</v>
      </c>
      <c r="G1316" s="2">
        <v>45710</v>
      </c>
      <c r="H1316" s="1" t="s">
        <v>27</v>
      </c>
      <c r="I1316" s="1" t="s">
        <v>51</v>
      </c>
      <c r="J1316" s="1">
        <v>4</v>
      </c>
      <c r="K1316" s="1" t="s">
        <v>19</v>
      </c>
      <c r="L1316" s="1" t="s">
        <v>108</v>
      </c>
      <c r="M1316" s="1">
        <f>orders[[#This Row],[Ship Date]]-orders[[#This Row],[Order Date]]</f>
        <v>3</v>
      </c>
      <c r="N1316" s="1">
        <f>WEEKNUM(orders[[#This Row],[Order Date]])</f>
        <v>8</v>
      </c>
      <c r="O1316" s="1"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s="1">
        <v>144.20000000000002</v>
      </c>
      <c r="F1317" s="2">
        <v>45707</v>
      </c>
      <c r="G1317" s="2">
        <v>45712</v>
      </c>
      <c r="H1317" s="1" t="s">
        <v>17</v>
      </c>
      <c r="I1317" s="1" t="s">
        <v>40</v>
      </c>
      <c r="J1317" s="1">
        <v>3</v>
      </c>
      <c r="K1317" s="1" t="s">
        <v>19</v>
      </c>
      <c r="L1317" s="1" t="s">
        <v>110</v>
      </c>
      <c r="M1317" s="1">
        <f>orders[[#This Row],[Ship Date]]-orders[[#This Row],[Order Date]]</f>
        <v>5</v>
      </c>
      <c r="N1317" s="1">
        <f>WEEKNUM(orders[[#This Row],[Order Date]])</f>
        <v>8</v>
      </c>
      <c r="O1317" s="1"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s="1">
        <v>111.30000000000001</v>
      </c>
      <c r="F1318" s="2">
        <v>45707</v>
      </c>
      <c r="G1318" s="2">
        <v>45708</v>
      </c>
      <c r="H1318" s="1" t="s">
        <v>27</v>
      </c>
      <c r="I1318" s="1" t="s">
        <v>18</v>
      </c>
      <c r="J1318" s="1">
        <v>4</v>
      </c>
      <c r="K1318" s="1" t="s">
        <v>19</v>
      </c>
      <c r="L1318" s="1" t="s">
        <v>997</v>
      </c>
      <c r="M1318" s="1">
        <f>orders[[#This Row],[Ship Date]]-orders[[#This Row],[Order Date]]</f>
        <v>1</v>
      </c>
      <c r="N1318" s="1">
        <f>WEEKNUM(orders[[#This Row],[Order Date]])</f>
        <v>8</v>
      </c>
      <c r="O1318" s="1"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s="1">
        <v>104.8</v>
      </c>
      <c r="F1319" s="2">
        <v>45708</v>
      </c>
      <c r="G1319" s="2">
        <v>45710</v>
      </c>
      <c r="H1319" s="1" t="s">
        <v>27</v>
      </c>
      <c r="I1319" s="1" t="s">
        <v>18</v>
      </c>
      <c r="J1319" s="1">
        <v>4</v>
      </c>
      <c r="K1319" s="1" t="s">
        <v>19</v>
      </c>
      <c r="L1319" s="1" t="s">
        <v>82</v>
      </c>
      <c r="M1319" s="1">
        <f>orders[[#This Row],[Ship Date]]-orders[[#This Row],[Order Date]]</f>
        <v>2</v>
      </c>
      <c r="N1319" s="1">
        <f>WEEKNUM(orders[[#This Row],[Order Date]])</f>
        <v>8</v>
      </c>
      <c r="O1319" s="1"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s="1">
        <v>118</v>
      </c>
      <c r="F1320" s="2">
        <v>45708</v>
      </c>
      <c r="G1320" s="2">
        <v>45709</v>
      </c>
      <c r="H1320" s="1" t="s">
        <v>23</v>
      </c>
      <c r="I1320" s="1" t="s">
        <v>35</v>
      </c>
      <c r="J1320" s="1">
        <v>4</v>
      </c>
      <c r="K1320" s="1" t="s">
        <v>19</v>
      </c>
      <c r="L1320" s="1" t="s">
        <v>115</v>
      </c>
      <c r="M1320" s="1">
        <f>orders[[#This Row],[Ship Date]]-orders[[#This Row],[Order Date]]</f>
        <v>1</v>
      </c>
      <c r="N1320" s="1">
        <f>WEEKNUM(orders[[#This Row],[Order Date]])</f>
        <v>8</v>
      </c>
      <c r="O1320" s="1"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s="1">
        <v>64.599999999999994</v>
      </c>
      <c r="F1321" s="2">
        <v>45708</v>
      </c>
      <c r="G1321" s="2">
        <v>45709</v>
      </c>
      <c r="H1321" s="1" t="s">
        <v>23</v>
      </c>
      <c r="I1321" s="1" t="s">
        <v>18</v>
      </c>
      <c r="J1321" s="1">
        <v>5</v>
      </c>
      <c r="K1321" s="1" t="s">
        <v>19</v>
      </c>
      <c r="L1321" s="1" t="s">
        <v>115</v>
      </c>
      <c r="M1321" s="1">
        <f>orders[[#This Row],[Ship Date]]-orders[[#This Row],[Order Date]]</f>
        <v>1</v>
      </c>
      <c r="N1321" s="1">
        <f>WEEKNUM(orders[[#This Row],[Order Date]])</f>
        <v>8</v>
      </c>
      <c r="O1321" s="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s="1">
        <v>115.6</v>
      </c>
      <c r="F1322" s="2">
        <v>45708</v>
      </c>
      <c r="G1322" s="2">
        <v>45715</v>
      </c>
      <c r="H1322" s="1" t="s">
        <v>23</v>
      </c>
      <c r="I1322" s="1" t="s">
        <v>18</v>
      </c>
      <c r="J1322" s="1">
        <v>4</v>
      </c>
      <c r="K1322" s="1" t="s">
        <v>19</v>
      </c>
      <c r="L1322" s="1" t="s">
        <v>24</v>
      </c>
      <c r="M1322" s="1">
        <f>orders[[#This Row],[Ship Date]]-orders[[#This Row],[Order Date]]</f>
        <v>7</v>
      </c>
      <c r="N1322" s="1">
        <f>WEEKNUM(orders[[#This Row],[Order Date]])</f>
        <v>8</v>
      </c>
      <c r="O1322" s="1"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s="1">
        <v>59.2</v>
      </c>
      <c r="F1323" s="2">
        <v>45708</v>
      </c>
      <c r="G1323" s="2">
        <v>45710</v>
      </c>
      <c r="H1323" s="1" t="s">
        <v>23</v>
      </c>
      <c r="I1323" s="1" t="s">
        <v>18</v>
      </c>
      <c r="J1323" s="1">
        <v>4</v>
      </c>
      <c r="K1323" s="1" t="s">
        <v>19</v>
      </c>
      <c r="L1323" s="1" t="s">
        <v>24</v>
      </c>
      <c r="M1323" s="1">
        <f>orders[[#This Row],[Ship Date]]-orders[[#This Row],[Order Date]]</f>
        <v>2</v>
      </c>
      <c r="N1323" s="1">
        <f>WEEKNUM(orders[[#This Row],[Order Date]])</f>
        <v>8</v>
      </c>
      <c r="O1323" s="1"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s="1">
        <v>147</v>
      </c>
      <c r="F1324" s="2">
        <v>45708</v>
      </c>
      <c r="G1324" s="2">
        <v>45711</v>
      </c>
      <c r="H1324" s="1" t="s">
        <v>27</v>
      </c>
      <c r="I1324" s="1" t="s">
        <v>18</v>
      </c>
      <c r="J1324" s="1">
        <v>4</v>
      </c>
      <c r="K1324" s="1" t="s">
        <v>19</v>
      </c>
      <c r="L1324" s="1" t="s">
        <v>24</v>
      </c>
      <c r="M1324" s="1">
        <f>orders[[#This Row],[Ship Date]]-orders[[#This Row],[Order Date]]</f>
        <v>3</v>
      </c>
      <c r="N1324" s="1">
        <f>WEEKNUM(orders[[#This Row],[Order Date]])</f>
        <v>8</v>
      </c>
      <c r="O1324" s="1"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s="1">
        <v>81.2</v>
      </c>
      <c r="F1325" s="2">
        <v>45708</v>
      </c>
      <c r="G1325" s="2">
        <v>45709</v>
      </c>
      <c r="H1325" s="1" t="s">
        <v>23</v>
      </c>
      <c r="I1325" s="1" t="s">
        <v>18</v>
      </c>
      <c r="J1325" s="1">
        <v>2</v>
      </c>
      <c r="K1325" s="1" t="s">
        <v>19</v>
      </c>
      <c r="L1325" s="1" t="s">
        <v>28</v>
      </c>
      <c r="M1325" s="1">
        <f>orders[[#This Row],[Ship Date]]-orders[[#This Row],[Order Date]]</f>
        <v>1</v>
      </c>
      <c r="N1325" s="1">
        <f>WEEKNUM(orders[[#This Row],[Order Date]])</f>
        <v>8</v>
      </c>
      <c r="O1325" s="1"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s="1">
        <v>97.5</v>
      </c>
      <c r="F1326" s="2">
        <v>45708</v>
      </c>
      <c r="G1326" s="2">
        <v>45709</v>
      </c>
      <c r="H1326" s="1" t="s">
        <v>23</v>
      </c>
      <c r="I1326" s="1" t="s">
        <v>51</v>
      </c>
      <c r="J1326" s="1">
        <v>5</v>
      </c>
      <c r="K1326" s="1" t="s">
        <v>19</v>
      </c>
      <c r="L1326" s="1" t="s">
        <v>147</v>
      </c>
      <c r="M1326" s="1">
        <f>orders[[#This Row],[Ship Date]]-orders[[#This Row],[Order Date]]</f>
        <v>1</v>
      </c>
      <c r="N1326" s="1">
        <f>WEEKNUM(orders[[#This Row],[Order Date]])</f>
        <v>8</v>
      </c>
      <c r="O1326" s="1"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s="1">
        <v>26.2</v>
      </c>
      <c r="F1327" s="2">
        <v>45708</v>
      </c>
      <c r="G1327" s="2">
        <v>45710</v>
      </c>
      <c r="H1327" s="1" t="s">
        <v>23</v>
      </c>
      <c r="I1327" s="1" t="s">
        <v>40</v>
      </c>
      <c r="J1327" s="1">
        <v>4</v>
      </c>
      <c r="K1327" s="1" t="s">
        <v>19</v>
      </c>
      <c r="L1327" s="1" t="s">
        <v>1426</v>
      </c>
      <c r="M1327" s="1">
        <f>orders[[#This Row],[Ship Date]]-orders[[#This Row],[Order Date]]</f>
        <v>2</v>
      </c>
      <c r="N1327" s="1">
        <f>WEEKNUM(orders[[#This Row],[Order Date]])</f>
        <v>8</v>
      </c>
      <c r="O1327" s="1"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s="1">
        <v>1320</v>
      </c>
      <c r="F1328" s="2">
        <v>45708</v>
      </c>
      <c r="G1328" s="2">
        <v>45714</v>
      </c>
      <c r="H1328" s="1" t="s">
        <v>23</v>
      </c>
      <c r="I1328" s="1" t="s">
        <v>70</v>
      </c>
      <c r="J1328" s="1">
        <v>4</v>
      </c>
      <c r="K1328" s="1" t="s">
        <v>19</v>
      </c>
      <c r="L1328" s="1" t="s">
        <v>33</v>
      </c>
      <c r="M1328" s="1">
        <f>orders[[#This Row],[Ship Date]]-orders[[#This Row],[Order Date]]</f>
        <v>6</v>
      </c>
      <c r="N1328" s="1">
        <f>WEEKNUM(orders[[#This Row],[Order Date]])</f>
        <v>8</v>
      </c>
      <c r="O1328" s="1"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s="1">
        <v>262.39999999999998</v>
      </c>
      <c r="F1329" s="2">
        <v>45708</v>
      </c>
      <c r="G1329" s="2">
        <v>45709</v>
      </c>
      <c r="H1329" s="1" t="s">
        <v>27</v>
      </c>
      <c r="I1329" s="1" t="s">
        <v>35</v>
      </c>
      <c r="J1329" s="1">
        <v>3</v>
      </c>
      <c r="K1329" s="1" t="s">
        <v>19</v>
      </c>
      <c r="L1329" s="1" t="s">
        <v>33</v>
      </c>
      <c r="M1329" s="1">
        <f>orders[[#This Row],[Ship Date]]-orders[[#This Row],[Order Date]]</f>
        <v>1</v>
      </c>
      <c r="N1329" s="1">
        <f>WEEKNUM(orders[[#This Row],[Order Date]])</f>
        <v>8</v>
      </c>
      <c r="O1329" s="1"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s="1">
        <v>391.20000000000005</v>
      </c>
      <c r="F1330" s="2">
        <v>45708</v>
      </c>
      <c r="G1330" s="2">
        <v>45709</v>
      </c>
      <c r="H1330" s="1" t="s">
        <v>23</v>
      </c>
      <c r="I1330" s="1" t="s">
        <v>70</v>
      </c>
      <c r="J1330" s="1">
        <v>4</v>
      </c>
      <c r="K1330" s="1" t="s">
        <v>19</v>
      </c>
      <c r="L1330" s="1" t="s">
        <v>33</v>
      </c>
      <c r="M1330" s="1">
        <f>orders[[#This Row],[Ship Date]]-orders[[#This Row],[Order Date]]</f>
        <v>1</v>
      </c>
      <c r="N1330" s="1">
        <f>WEEKNUM(orders[[#This Row],[Order Date]])</f>
        <v>8</v>
      </c>
      <c r="O1330" s="1"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s="1">
        <v>177.4</v>
      </c>
      <c r="F1331" s="2">
        <v>45708</v>
      </c>
      <c r="G1331" s="2">
        <v>45709</v>
      </c>
      <c r="H1331" s="1" t="s">
        <v>17</v>
      </c>
      <c r="I1331" s="1" t="s">
        <v>51</v>
      </c>
      <c r="J1331" s="1">
        <v>5</v>
      </c>
      <c r="K1331" s="1" t="s">
        <v>19</v>
      </c>
      <c r="L1331" s="1" t="s">
        <v>33</v>
      </c>
      <c r="M1331" s="1">
        <f>orders[[#This Row],[Ship Date]]-orders[[#This Row],[Order Date]]</f>
        <v>1</v>
      </c>
      <c r="N1331" s="1">
        <f>WEEKNUM(orders[[#This Row],[Order Date]])</f>
        <v>8</v>
      </c>
      <c r="O1331" s="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s="1">
        <v>42.6</v>
      </c>
      <c r="F1332" s="2">
        <v>45708</v>
      </c>
      <c r="G1332" s="2">
        <v>45709</v>
      </c>
      <c r="H1332" s="1" t="s">
        <v>23</v>
      </c>
      <c r="I1332" s="1" t="s">
        <v>18</v>
      </c>
      <c r="J1332" s="1">
        <v>4</v>
      </c>
      <c r="K1332" s="1" t="s">
        <v>19</v>
      </c>
      <c r="L1332" s="1" t="s">
        <v>33</v>
      </c>
      <c r="M1332" s="1">
        <f>orders[[#This Row],[Ship Date]]-orders[[#This Row],[Order Date]]</f>
        <v>1</v>
      </c>
      <c r="N1332" s="1">
        <f>WEEKNUM(orders[[#This Row],[Order Date]])</f>
        <v>8</v>
      </c>
      <c r="O1332" s="1"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s="1">
        <v>303.60000000000002</v>
      </c>
      <c r="F1333" s="2">
        <v>45708</v>
      </c>
      <c r="G1333" s="2">
        <v>45712</v>
      </c>
      <c r="H1333" s="1" t="s">
        <v>27</v>
      </c>
      <c r="I1333" s="1" t="s">
        <v>40</v>
      </c>
      <c r="J1333" s="1">
        <v>4</v>
      </c>
      <c r="K1333" s="1" t="s">
        <v>19</v>
      </c>
      <c r="L1333" s="1" t="s">
        <v>33</v>
      </c>
      <c r="M1333" s="1">
        <f>orders[[#This Row],[Ship Date]]-orders[[#This Row],[Order Date]]</f>
        <v>4</v>
      </c>
      <c r="N1333" s="1">
        <f>WEEKNUM(orders[[#This Row],[Order Date]])</f>
        <v>8</v>
      </c>
      <c r="O1333" s="1"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s="1">
        <v>1824.9</v>
      </c>
      <c r="F1334" s="2">
        <v>45708</v>
      </c>
      <c r="G1334" s="2">
        <v>45711</v>
      </c>
      <c r="H1334" s="1" t="s">
        <v>27</v>
      </c>
      <c r="I1334" s="1" t="s">
        <v>18</v>
      </c>
      <c r="J1334" s="1">
        <v>3</v>
      </c>
      <c r="K1334" s="1" t="s">
        <v>19</v>
      </c>
      <c r="L1334" s="1" t="s">
        <v>33</v>
      </c>
      <c r="M1334" s="1">
        <f>orders[[#This Row],[Ship Date]]-orders[[#This Row],[Order Date]]</f>
        <v>3</v>
      </c>
      <c r="N1334" s="1">
        <f>WEEKNUM(orders[[#This Row],[Order Date]])</f>
        <v>8</v>
      </c>
      <c r="O1334" s="1"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s="1">
        <v>95.4</v>
      </c>
      <c r="F1335" s="2">
        <v>45708</v>
      </c>
      <c r="G1335" s="2">
        <v>45710</v>
      </c>
      <c r="H1335" s="1" t="s">
        <v>23</v>
      </c>
      <c r="I1335" s="1" t="s">
        <v>18</v>
      </c>
      <c r="J1335" s="1">
        <v>5</v>
      </c>
      <c r="K1335" s="1" t="s">
        <v>19</v>
      </c>
      <c r="L1335" s="1" t="s">
        <v>33</v>
      </c>
      <c r="M1335" s="1">
        <f>orders[[#This Row],[Ship Date]]-orders[[#This Row],[Order Date]]</f>
        <v>2</v>
      </c>
      <c r="N1335" s="1">
        <f>WEEKNUM(orders[[#This Row],[Order Date]])</f>
        <v>8</v>
      </c>
      <c r="O1335" s="1"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s="1">
        <v>19</v>
      </c>
      <c r="F1336" s="2">
        <v>45708</v>
      </c>
      <c r="G1336" s="2">
        <v>45709</v>
      </c>
      <c r="H1336" s="1" t="s">
        <v>27</v>
      </c>
      <c r="I1336" s="1" t="s">
        <v>18</v>
      </c>
      <c r="J1336" s="1">
        <v>5</v>
      </c>
      <c r="K1336" s="1" t="s">
        <v>19</v>
      </c>
      <c r="L1336" s="1" t="s">
        <v>33</v>
      </c>
      <c r="M1336" s="1">
        <f>orders[[#This Row],[Ship Date]]-orders[[#This Row],[Order Date]]</f>
        <v>1</v>
      </c>
      <c r="N1336" s="1">
        <f>WEEKNUM(orders[[#This Row],[Order Date]])</f>
        <v>8</v>
      </c>
      <c r="O1336" s="1"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s="1">
        <v>54.5</v>
      </c>
      <c r="F1337" s="2">
        <v>45708</v>
      </c>
      <c r="G1337" s="2">
        <v>45710</v>
      </c>
      <c r="H1337" s="1" t="s">
        <v>23</v>
      </c>
      <c r="I1337" s="1" t="s">
        <v>18</v>
      </c>
      <c r="J1337" s="1">
        <v>4</v>
      </c>
      <c r="K1337" s="1" t="s">
        <v>19</v>
      </c>
      <c r="L1337" s="1" t="s">
        <v>33</v>
      </c>
      <c r="M1337" s="1">
        <f>orders[[#This Row],[Ship Date]]-orders[[#This Row],[Order Date]]</f>
        <v>2</v>
      </c>
      <c r="N1337" s="1">
        <f>WEEKNUM(orders[[#This Row],[Order Date]])</f>
        <v>8</v>
      </c>
      <c r="O1337" s="1"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s="1">
        <v>344.5</v>
      </c>
      <c r="F1338" s="2">
        <v>45708</v>
      </c>
      <c r="G1338" s="2">
        <v>45710</v>
      </c>
      <c r="H1338" s="1" t="s">
        <v>23</v>
      </c>
      <c r="I1338" s="1" t="s">
        <v>70</v>
      </c>
      <c r="J1338" s="1">
        <v>3</v>
      </c>
      <c r="K1338" s="1" t="s">
        <v>19</v>
      </c>
      <c r="L1338" s="1" t="s">
        <v>33</v>
      </c>
      <c r="M1338" s="1">
        <f>orders[[#This Row],[Ship Date]]-orders[[#This Row],[Order Date]]</f>
        <v>2</v>
      </c>
      <c r="N1338" s="1">
        <f>WEEKNUM(orders[[#This Row],[Order Date]])</f>
        <v>8</v>
      </c>
      <c r="O1338" s="1"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s="1">
        <v>252</v>
      </c>
      <c r="F1339" s="2">
        <v>45708</v>
      </c>
      <c r="G1339" s="2">
        <v>45709</v>
      </c>
      <c r="H1339" s="1" t="s">
        <v>23</v>
      </c>
      <c r="I1339" s="1" t="s">
        <v>35</v>
      </c>
      <c r="J1339" s="1">
        <v>2</v>
      </c>
      <c r="K1339" s="1" t="s">
        <v>19</v>
      </c>
      <c r="L1339" s="1" t="s">
        <v>98</v>
      </c>
      <c r="M1339" s="1">
        <f>orders[[#This Row],[Ship Date]]-orders[[#This Row],[Order Date]]</f>
        <v>1</v>
      </c>
      <c r="N1339" s="1">
        <f>WEEKNUM(orders[[#This Row],[Order Date]])</f>
        <v>8</v>
      </c>
      <c r="O1339" s="1"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s="1">
        <v>184.8</v>
      </c>
      <c r="F1340" s="2">
        <v>45708</v>
      </c>
      <c r="G1340" s="2">
        <v>45713</v>
      </c>
      <c r="H1340" s="1" t="s">
        <v>23</v>
      </c>
      <c r="I1340" s="1" t="s">
        <v>18</v>
      </c>
      <c r="J1340" s="1">
        <v>5</v>
      </c>
      <c r="K1340" s="1" t="s">
        <v>19</v>
      </c>
      <c r="L1340" s="1" t="s">
        <v>158</v>
      </c>
      <c r="M1340" s="1">
        <f>orders[[#This Row],[Ship Date]]-orders[[#This Row],[Order Date]]</f>
        <v>5</v>
      </c>
      <c r="N1340" s="1">
        <f>WEEKNUM(orders[[#This Row],[Order Date]])</f>
        <v>8</v>
      </c>
      <c r="O1340" s="1"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s="1">
        <v>124.8</v>
      </c>
      <c r="F1341" s="2">
        <v>45708</v>
      </c>
      <c r="G1341" s="2">
        <v>45709</v>
      </c>
      <c r="H1341" s="1" t="s">
        <v>27</v>
      </c>
      <c r="I1341" s="1" t="s">
        <v>18</v>
      </c>
      <c r="J1341" s="1">
        <v>3</v>
      </c>
      <c r="K1341" s="1" t="s">
        <v>19</v>
      </c>
      <c r="L1341" s="1" t="s">
        <v>55</v>
      </c>
      <c r="M1341" s="1">
        <f>orders[[#This Row],[Ship Date]]-orders[[#This Row],[Order Date]]</f>
        <v>1</v>
      </c>
      <c r="N1341" s="1">
        <f>WEEKNUM(orders[[#This Row],[Order Date]])</f>
        <v>8</v>
      </c>
      <c r="O1341" s="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s="1">
        <v>488.40000000000003</v>
      </c>
      <c r="F1342" s="2">
        <v>45708</v>
      </c>
      <c r="G1342" s="2">
        <v>45710</v>
      </c>
      <c r="H1342" s="1" t="s">
        <v>23</v>
      </c>
      <c r="I1342" s="1" t="s">
        <v>35</v>
      </c>
      <c r="J1342" s="1">
        <v>5</v>
      </c>
      <c r="K1342" s="1" t="s">
        <v>19</v>
      </c>
      <c r="L1342" s="1" t="s">
        <v>55</v>
      </c>
      <c r="M1342" s="1">
        <f>orders[[#This Row],[Ship Date]]-orders[[#This Row],[Order Date]]</f>
        <v>2</v>
      </c>
      <c r="N1342" s="1">
        <f>WEEKNUM(orders[[#This Row],[Order Date]])</f>
        <v>8</v>
      </c>
      <c r="O1342" s="1"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s="1">
        <v>49.6</v>
      </c>
      <c r="F1343" s="2">
        <v>45708</v>
      </c>
      <c r="G1343" s="2">
        <v>45711</v>
      </c>
      <c r="H1343" s="1" t="s">
        <v>23</v>
      </c>
      <c r="I1343" s="1" t="s">
        <v>40</v>
      </c>
      <c r="J1343" s="1">
        <v>4</v>
      </c>
      <c r="K1343" s="1" t="s">
        <v>19</v>
      </c>
      <c r="L1343" s="1" t="s">
        <v>59</v>
      </c>
      <c r="M1343" s="1">
        <f>orders[[#This Row],[Ship Date]]-orders[[#This Row],[Order Date]]</f>
        <v>3</v>
      </c>
      <c r="N1343" s="1">
        <f>WEEKNUM(orders[[#This Row],[Order Date]])</f>
        <v>8</v>
      </c>
      <c r="O1343" s="1"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s="1">
        <v>2996.9999999999995</v>
      </c>
      <c r="F1344" s="2">
        <v>45708</v>
      </c>
      <c r="G1344" s="2">
        <v>45711</v>
      </c>
      <c r="H1344" s="1" t="s">
        <v>23</v>
      </c>
      <c r="I1344" s="1" t="s">
        <v>40</v>
      </c>
      <c r="J1344" s="1">
        <v>4</v>
      </c>
      <c r="K1344" s="1" t="s">
        <v>19</v>
      </c>
      <c r="L1344" s="1" t="s">
        <v>62</v>
      </c>
      <c r="M1344" s="1">
        <f>orders[[#This Row],[Ship Date]]-orders[[#This Row],[Order Date]]</f>
        <v>3</v>
      </c>
      <c r="N1344" s="1">
        <f>WEEKNUM(orders[[#This Row],[Order Date]])</f>
        <v>8</v>
      </c>
      <c r="O1344" s="1"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s="1">
        <v>79.199999999999989</v>
      </c>
      <c r="F1345" s="2">
        <v>45708</v>
      </c>
      <c r="G1345" s="2">
        <v>45709</v>
      </c>
      <c r="H1345" s="1" t="s">
        <v>27</v>
      </c>
      <c r="I1345" s="1" t="s">
        <v>35</v>
      </c>
      <c r="J1345" s="1">
        <v>3</v>
      </c>
      <c r="K1345" s="1" t="s">
        <v>19</v>
      </c>
      <c r="L1345" s="1" t="s">
        <v>62</v>
      </c>
      <c r="M1345" s="1">
        <f>orders[[#This Row],[Ship Date]]-orders[[#This Row],[Order Date]]</f>
        <v>1</v>
      </c>
      <c r="N1345" s="1">
        <f>WEEKNUM(orders[[#This Row],[Order Date]])</f>
        <v>8</v>
      </c>
      <c r="O1345" s="1"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s="1">
        <v>34.4</v>
      </c>
      <c r="F1346" s="2">
        <v>45708</v>
      </c>
      <c r="G1346" s="2">
        <v>45711</v>
      </c>
      <c r="H1346" s="1" t="s">
        <v>23</v>
      </c>
      <c r="I1346" s="1" t="s">
        <v>40</v>
      </c>
      <c r="J1346" s="1">
        <v>3</v>
      </c>
      <c r="K1346" s="1" t="s">
        <v>19</v>
      </c>
      <c r="L1346" s="1" t="s">
        <v>62</v>
      </c>
      <c r="M1346" s="1">
        <f>orders[[#This Row],[Ship Date]]-orders[[#This Row],[Order Date]]</f>
        <v>3</v>
      </c>
      <c r="N1346" s="1">
        <f>WEEKNUM(orders[[#This Row],[Order Date]])</f>
        <v>8</v>
      </c>
      <c r="O1346" s="1"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s="1">
        <v>464.8</v>
      </c>
      <c r="F1347" s="2">
        <v>45708</v>
      </c>
      <c r="G1347" s="2">
        <v>45711</v>
      </c>
      <c r="H1347" s="1" t="s">
        <v>27</v>
      </c>
      <c r="I1347" s="1" t="s">
        <v>70</v>
      </c>
      <c r="J1347" s="1">
        <v>4</v>
      </c>
      <c r="K1347" s="1" t="s">
        <v>19</v>
      </c>
      <c r="L1347" s="1" t="s">
        <v>62</v>
      </c>
      <c r="M1347" s="1">
        <f>orders[[#This Row],[Ship Date]]-orders[[#This Row],[Order Date]]</f>
        <v>3</v>
      </c>
      <c r="N1347" s="1">
        <f>WEEKNUM(orders[[#This Row],[Order Date]])</f>
        <v>8</v>
      </c>
      <c r="O1347" s="1"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s="1">
        <v>126</v>
      </c>
      <c r="F1348" s="2">
        <v>45708</v>
      </c>
      <c r="G1348" s="2">
        <v>45711</v>
      </c>
      <c r="H1348" s="1" t="s">
        <v>27</v>
      </c>
      <c r="I1348" s="1" t="s">
        <v>70</v>
      </c>
      <c r="J1348" s="1">
        <v>2</v>
      </c>
      <c r="K1348" s="1" t="s">
        <v>19</v>
      </c>
      <c r="L1348" s="1" t="s">
        <v>62</v>
      </c>
      <c r="M1348" s="1">
        <f>orders[[#This Row],[Ship Date]]-orders[[#This Row],[Order Date]]</f>
        <v>3</v>
      </c>
      <c r="N1348" s="1">
        <f>WEEKNUM(orders[[#This Row],[Order Date]])</f>
        <v>8</v>
      </c>
      <c r="O1348" s="1"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s="1">
        <v>27.1</v>
      </c>
      <c r="F1349" s="2">
        <v>45708</v>
      </c>
      <c r="G1349" s="2">
        <v>45710</v>
      </c>
      <c r="H1349" s="1" t="s">
        <v>27</v>
      </c>
      <c r="I1349" s="1" t="s">
        <v>18</v>
      </c>
      <c r="J1349" s="1">
        <v>3</v>
      </c>
      <c r="K1349" s="1" t="s">
        <v>19</v>
      </c>
      <c r="L1349" s="1" t="s">
        <v>103</v>
      </c>
      <c r="M1349" s="1">
        <f>orders[[#This Row],[Ship Date]]-orders[[#This Row],[Order Date]]</f>
        <v>2</v>
      </c>
      <c r="N1349" s="1">
        <f>WEEKNUM(orders[[#This Row],[Order Date]])</f>
        <v>8</v>
      </c>
      <c r="O1349" s="1"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s="1">
        <v>114</v>
      </c>
      <c r="F1350" s="2">
        <v>45708</v>
      </c>
      <c r="G1350" s="2">
        <v>45710</v>
      </c>
      <c r="H1350" s="1" t="s">
        <v>23</v>
      </c>
      <c r="I1350" s="1" t="s">
        <v>35</v>
      </c>
      <c r="J1350" s="1">
        <v>5</v>
      </c>
      <c r="K1350" s="1" t="s">
        <v>19</v>
      </c>
      <c r="L1350" s="1" t="s">
        <v>72</v>
      </c>
      <c r="M1350" s="1">
        <f>orders[[#This Row],[Ship Date]]-orders[[#This Row],[Order Date]]</f>
        <v>2</v>
      </c>
      <c r="N1350" s="1">
        <f>WEEKNUM(orders[[#This Row],[Order Date]])</f>
        <v>8</v>
      </c>
      <c r="O1350" s="1"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s="1">
        <v>40.5</v>
      </c>
      <c r="F1351" s="2">
        <v>45709</v>
      </c>
      <c r="G1351" s="2">
        <v>45711</v>
      </c>
      <c r="H1351" s="1" t="s">
        <v>89</v>
      </c>
      <c r="I1351" s="1" t="s">
        <v>40</v>
      </c>
      <c r="J1351" s="1">
        <v>4</v>
      </c>
      <c r="K1351" s="1" t="s">
        <v>19</v>
      </c>
      <c r="L1351" s="1" t="s">
        <v>72</v>
      </c>
      <c r="M1351" s="1">
        <f>orders[[#This Row],[Ship Date]]-orders[[#This Row],[Order Date]]</f>
        <v>2</v>
      </c>
      <c r="N1351" s="1">
        <f>WEEKNUM(orders[[#This Row],[Order Date]])</f>
        <v>8</v>
      </c>
      <c r="O1351" s="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s="1">
        <v>233.70000000000002</v>
      </c>
      <c r="F1352" s="2">
        <v>45709</v>
      </c>
      <c r="G1352" s="2">
        <v>45713</v>
      </c>
      <c r="H1352" s="1" t="s">
        <v>27</v>
      </c>
      <c r="I1352" s="1" t="s">
        <v>35</v>
      </c>
      <c r="J1352" s="1">
        <v>5</v>
      </c>
      <c r="K1352" s="1" t="s">
        <v>19</v>
      </c>
      <c r="L1352" s="1" t="s">
        <v>110</v>
      </c>
      <c r="M1352" s="1">
        <f>orders[[#This Row],[Ship Date]]-orders[[#This Row],[Order Date]]</f>
        <v>4</v>
      </c>
      <c r="N1352" s="1">
        <f>WEEKNUM(orders[[#This Row],[Order Date]])</f>
        <v>8</v>
      </c>
      <c r="O1352" s="1"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s="1">
        <v>148.4</v>
      </c>
      <c r="F1353" s="2">
        <v>45709</v>
      </c>
      <c r="G1353" s="2">
        <v>45711</v>
      </c>
      <c r="H1353" s="1" t="s">
        <v>23</v>
      </c>
      <c r="I1353" s="1" t="s">
        <v>70</v>
      </c>
      <c r="J1353" s="1">
        <v>5</v>
      </c>
      <c r="K1353" s="1" t="s">
        <v>19</v>
      </c>
      <c r="L1353" s="1" t="s">
        <v>110</v>
      </c>
      <c r="M1353" s="1">
        <f>orders[[#This Row],[Ship Date]]-orders[[#This Row],[Order Date]]</f>
        <v>2</v>
      </c>
      <c r="N1353" s="1">
        <f>WEEKNUM(orders[[#This Row],[Order Date]])</f>
        <v>8</v>
      </c>
      <c r="O1353" s="1"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s="1">
        <v>154.80000000000001</v>
      </c>
      <c r="F1354" s="2">
        <v>45709</v>
      </c>
      <c r="G1354" s="2">
        <v>45717</v>
      </c>
      <c r="H1354" s="1" t="s">
        <v>27</v>
      </c>
      <c r="I1354" s="1" t="s">
        <v>18</v>
      </c>
      <c r="J1354" s="1">
        <v>2</v>
      </c>
      <c r="K1354" s="1" t="s">
        <v>19</v>
      </c>
      <c r="L1354" s="1" t="s">
        <v>110</v>
      </c>
      <c r="M1354" s="1">
        <f>orders[[#This Row],[Ship Date]]-orders[[#This Row],[Order Date]]</f>
        <v>8</v>
      </c>
      <c r="N1354" s="1">
        <f>WEEKNUM(orders[[#This Row],[Order Date]])</f>
        <v>8</v>
      </c>
      <c r="O1354" s="1"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s="1">
        <v>294</v>
      </c>
      <c r="F1355" s="2">
        <v>45709</v>
      </c>
      <c r="G1355" s="2">
        <v>45710</v>
      </c>
      <c r="H1355" s="1" t="s">
        <v>23</v>
      </c>
      <c r="I1355" s="1" t="s">
        <v>35</v>
      </c>
      <c r="J1355" s="1">
        <v>3</v>
      </c>
      <c r="K1355" s="1" t="s">
        <v>19</v>
      </c>
      <c r="L1355" s="1" t="s">
        <v>110</v>
      </c>
      <c r="M1355" s="1">
        <f>orders[[#This Row],[Ship Date]]-orders[[#This Row],[Order Date]]</f>
        <v>1</v>
      </c>
      <c r="N1355" s="1">
        <f>WEEKNUM(orders[[#This Row],[Order Date]])</f>
        <v>8</v>
      </c>
      <c r="O1355" s="1"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s="1">
        <v>289.8</v>
      </c>
      <c r="F1356" s="2">
        <v>45709</v>
      </c>
      <c r="G1356" s="2">
        <v>45710</v>
      </c>
      <c r="H1356" s="1" t="s">
        <v>23</v>
      </c>
      <c r="I1356" s="1" t="s">
        <v>35</v>
      </c>
      <c r="J1356" s="1">
        <v>4</v>
      </c>
      <c r="K1356" s="1" t="s">
        <v>19</v>
      </c>
      <c r="L1356" s="1" t="s">
        <v>113</v>
      </c>
      <c r="M1356" s="1">
        <f>orders[[#This Row],[Ship Date]]-orders[[#This Row],[Order Date]]</f>
        <v>1</v>
      </c>
      <c r="N1356" s="1">
        <f>WEEKNUM(orders[[#This Row],[Order Date]])</f>
        <v>8</v>
      </c>
      <c r="O1356" s="1"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s="1">
        <v>272</v>
      </c>
      <c r="F1357" s="2">
        <v>45709</v>
      </c>
      <c r="G1357" s="2">
        <v>45714</v>
      </c>
      <c r="H1357" s="1" t="s">
        <v>27</v>
      </c>
      <c r="I1357" s="1" t="s">
        <v>18</v>
      </c>
      <c r="J1357" s="1">
        <v>5</v>
      </c>
      <c r="K1357" s="1" t="s">
        <v>19</v>
      </c>
      <c r="L1357" s="1" t="s">
        <v>997</v>
      </c>
      <c r="M1357" s="1">
        <f>orders[[#This Row],[Ship Date]]-orders[[#This Row],[Order Date]]</f>
        <v>5</v>
      </c>
      <c r="N1357" s="1">
        <f>WEEKNUM(orders[[#This Row],[Order Date]])</f>
        <v>8</v>
      </c>
      <c r="O1357" s="1"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s="1">
        <v>66.3</v>
      </c>
      <c r="F1358" s="2">
        <v>45709</v>
      </c>
      <c r="G1358" s="2">
        <v>45710</v>
      </c>
      <c r="H1358" s="1" t="s">
        <v>27</v>
      </c>
      <c r="I1358" s="1" t="s">
        <v>35</v>
      </c>
      <c r="J1358" s="1">
        <v>4</v>
      </c>
      <c r="K1358" s="1" t="s">
        <v>19</v>
      </c>
      <c r="L1358" s="1" t="s">
        <v>82</v>
      </c>
      <c r="M1358" s="1">
        <f>orders[[#This Row],[Ship Date]]-orders[[#This Row],[Order Date]]</f>
        <v>1</v>
      </c>
      <c r="N1358" s="1">
        <f>WEEKNUM(orders[[#This Row],[Order Date]])</f>
        <v>8</v>
      </c>
      <c r="O1358" s="1"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s="1">
        <v>33.5</v>
      </c>
      <c r="F1359" s="2">
        <v>45709</v>
      </c>
      <c r="G1359" s="2">
        <v>45713</v>
      </c>
      <c r="H1359" s="1" t="s">
        <v>23</v>
      </c>
      <c r="I1359" s="1" t="s">
        <v>40</v>
      </c>
      <c r="J1359" s="1">
        <v>4</v>
      </c>
      <c r="K1359" s="1" t="s">
        <v>19</v>
      </c>
      <c r="L1359" s="1" t="s">
        <v>82</v>
      </c>
      <c r="M1359" s="1">
        <f>orders[[#This Row],[Ship Date]]-orders[[#This Row],[Order Date]]</f>
        <v>4</v>
      </c>
      <c r="N1359" s="1">
        <f>WEEKNUM(orders[[#This Row],[Order Date]])</f>
        <v>8</v>
      </c>
      <c r="O1359" s="1"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s="1">
        <v>141.6</v>
      </c>
      <c r="F1360" s="2">
        <v>45709</v>
      </c>
      <c r="G1360" s="2">
        <v>45710</v>
      </c>
      <c r="H1360" s="1" t="s">
        <v>17</v>
      </c>
      <c r="I1360" s="1" t="s">
        <v>18</v>
      </c>
      <c r="J1360" s="1">
        <v>4</v>
      </c>
      <c r="K1360" s="1" t="s">
        <v>19</v>
      </c>
      <c r="L1360" s="1" t="s">
        <v>243</v>
      </c>
      <c r="M1360" s="1">
        <f>orders[[#This Row],[Ship Date]]-orders[[#This Row],[Order Date]]</f>
        <v>1</v>
      </c>
      <c r="N1360" s="1">
        <f>WEEKNUM(orders[[#This Row],[Order Date]])</f>
        <v>8</v>
      </c>
      <c r="O1360" s="1"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s="1">
        <v>255.2</v>
      </c>
      <c r="F1361" s="2">
        <v>45709</v>
      </c>
      <c r="G1361" s="2">
        <v>45710</v>
      </c>
      <c r="H1361" s="1" t="s">
        <v>23</v>
      </c>
      <c r="I1361" s="1" t="s">
        <v>18</v>
      </c>
      <c r="J1361" s="1">
        <v>4</v>
      </c>
      <c r="K1361" s="1" t="s">
        <v>19</v>
      </c>
      <c r="L1361" s="1" t="s">
        <v>115</v>
      </c>
      <c r="M1361" s="1">
        <f>orders[[#This Row],[Ship Date]]-orders[[#This Row],[Order Date]]</f>
        <v>1</v>
      </c>
      <c r="N1361" s="1">
        <f>WEEKNUM(orders[[#This Row],[Order Date]])</f>
        <v>8</v>
      </c>
      <c r="O1361" s="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s="1">
        <v>287.70000000000005</v>
      </c>
      <c r="F1362" s="2">
        <v>45709</v>
      </c>
      <c r="G1362" s="2">
        <v>45710</v>
      </c>
      <c r="H1362" s="1" t="s">
        <v>27</v>
      </c>
      <c r="I1362" s="1" t="s">
        <v>35</v>
      </c>
      <c r="J1362" s="1">
        <v>3</v>
      </c>
      <c r="K1362" s="1" t="s">
        <v>19</v>
      </c>
      <c r="L1362" s="1" t="s">
        <v>115</v>
      </c>
      <c r="M1362" s="1">
        <f>orders[[#This Row],[Ship Date]]-orders[[#This Row],[Order Date]]</f>
        <v>1</v>
      </c>
      <c r="N1362" s="1">
        <f>WEEKNUM(orders[[#This Row],[Order Date]])</f>
        <v>8</v>
      </c>
      <c r="O1362" s="1"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s="1">
        <v>156.19999999999999</v>
      </c>
      <c r="F1363" s="2">
        <v>45709</v>
      </c>
      <c r="G1363" s="2">
        <v>45710</v>
      </c>
      <c r="H1363" s="1" t="s">
        <v>23</v>
      </c>
      <c r="I1363" s="1" t="s">
        <v>18</v>
      </c>
      <c r="J1363" s="1">
        <v>4</v>
      </c>
      <c r="K1363" s="1" t="s">
        <v>19</v>
      </c>
      <c r="L1363" s="1" t="s">
        <v>24</v>
      </c>
      <c r="M1363" s="1">
        <f>orders[[#This Row],[Ship Date]]-orders[[#This Row],[Order Date]]</f>
        <v>1</v>
      </c>
      <c r="N1363" s="1">
        <f>WEEKNUM(orders[[#This Row],[Order Date]])</f>
        <v>8</v>
      </c>
      <c r="O1363" s="1"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s="1">
        <v>86.4</v>
      </c>
      <c r="F1364" s="2">
        <v>45709</v>
      </c>
      <c r="G1364" s="2">
        <v>45710</v>
      </c>
      <c r="H1364" s="1" t="s">
        <v>17</v>
      </c>
      <c r="I1364" s="1" t="s">
        <v>35</v>
      </c>
      <c r="J1364" s="1">
        <v>3</v>
      </c>
      <c r="K1364" s="1" t="s">
        <v>19</v>
      </c>
      <c r="L1364" s="1" t="s">
        <v>24</v>
      </c>
      <c r="M1364" s="1">
        <f>orders[[#This Row],[Ship Date]]-orders[[#This Row],[Order Date]]</f>
        <v>1</v>
      </c>
      <c r="N1364" s="1">
        <f>WEEKNUM(orders[[#This Row],[Order Date]])</f>
        <v>8</v>
      </c>
      <c r="O1364" s="1"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s="1">
        <v>113.6</v>
      </c>
      <c r="F1365" s="2">
        <v>45709</v>
      </c>
      <c r="G1365" s="2">
        <v>45715</v>
      </c>
      <c r="H1365" s="1" t="s">
        <v>23</v>
      </c>
      <c r="I1365" s="1" t="s">
        <v>40</v>
      </c>
      <c r="J1365" s="1">
        <v>4</v>
      </c>
      <c r="K1365" s="1" t="s">
        <v>19</v>
      </c>
      <c r="L1365" s="1" t="s">
        <v>33</v>
      </c>
      <c r="M1365" s="1">
        <f>orders[[#This Row],[Ship Date]]-orders[[#This Row],[Order Date]]</f>
        <v>6</v>
      </c>
      <c r="N1365" s="1">
        <f>WEEKNUM(orders[[#This Row],[Order Date]])</f>
        <v>8</v>
      </c>
      <c r="O1365" s="1"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s="1">
        <v>163.4</v>
      </c>
      <c r="F1366" s="2">
        <v>45709</v>
      </c>
      <c r="G1366" s="2">
        <v>45709</v>
      </c>
      <c r="H1366" s="1" t="s">
        <v>23</v>
      </c>
      <c r="I1366" s="1" t="s">
        <v>18</v>
      </c>
      <c r="J1366" s="1">
        <v>4</v>
      </c>
      <c r="K1366" s="1" t="s">
        <v>19</v>
      </c>
      <c r="L1366" s="1" t="s">
        <v>33</v>
      </c>
      <c r="M1366" s="1">
        <f>orders[[#This Row],[Ship Date]]-orders[[#This Row],[Order Date]]</f>
        <v>0</v>
      </c>
      <c r="N1366" s="1">
        <f>WEEKNUM(orders[[#This Row],[Order Date]])</f>
        <v>8</v>
      </c>
      <c r="O1366" s="1"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s="1">
        <v>113.4</v>
      </c>
      <c r="F1367" s="2">
        <v>45709</v>
      </c>
      <c r="G1367" s="2">
        <v>45711</v>
      </c>
      <c r="H1367" s="1" t="s">
        <v>17</v>
      </c>
      <c r="I1367" s="1" t="s">
        <v>18</v>
      </c>
      <c r="J1367" s="1">
        <v>5</v>
      </c>
      <c r="K1367" s="1" t="s">
        <v>19</v>
      </c>
      <c r="L1367" s="1" t="s">
        <v>33</v>
      </c>
      <c r="M1367" s="1">
        <f>orders[[#This Row],[Ship Date]]-orders[[#This Row],[Order Date]]</f>
        <v>2</v>
      </c>
      <c r="N1367" s="1">
        <f>WEEKNUM(orders[[#This Row],[Order Date]])</f>
        <v>8</v>
      </c>
      <c r="O1367" s="1"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s="1">
        <v>266</v>
      </c>
      <c r="F1368" s="2">
        <v>45709</v>
      </c>
      <c r="G1368" s="2">
        <v>45709</v>
      </c>
      <c r="H1368" s="1" t="s">
        <v>27</v>
      </c>
      <c r="I1368" s="1" t="s">
        <v>18</v>
      </c>
      <c r="J1368" s="1">
        <v>5</v>
      </c>
      <c r="K1368" s="1" t="s">
        <v>19</v>
      </c>
      <c r="L1368" s="1" t="s">
        <v>33</v>
      </c>
      <c r="M1368" s="1">
        <f>orders[[#This Row],[Ship Date]]-orders[[#This Row],[Order Date]]</f>
        <v>0</v>
      </c>
      <c r="N1368" s="1">
        <f>WEEKNUM(orders[[#This Row],[Order Date]])</f>
        <v>8</v>
      </c>
      <c r="O1368" s="1"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s="1">
        <v>210.6</v>
      </c>
      <c r="F1369" s="2">
        <v>45709</v>
      </c>
      <c r="G1369" s="2">
        <v>45713</v>
      </c>
      <c r="H1369" s="1" t="s">
        <v>23</v>
      </c>
      <c r="I1369" s="1" t="s">
        <v>18</v>
      </c>
      <c r="J1369" s="1">
        <v>3</v>
      </c>
      <c r="K1369" s="1" t="s">
        <v>19</v>
      </c>
      <c r="L1369" s="1" t="s">
        <v>33</v>
      </c>
      <c r="M1369" s="1">
        <f>orders[[#This Row],[Ship Date]]-orders[[#This Row],[Order Date]]</f>
        <v>4</v>
      </c>
      <c r="N1369" s="1">
        <f>WEEKNUM(orders[[#This Row],[Order Date]])</f>
        <v>8</v>
      </c>
      <c r="O1369" s="1"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s="1">
        <v>169</v>
      </c>
      <c r="F1370" s="2">
        <v>45709</v>
      </c>
      <c r="G1370" s="2">
        <v>45714</v>
      </c>
      <c r="H1370" s="1" t="s">
        <v>23</v>
      </c>
      <c r="I1370" s="1" t="s">
        <v>18</v>
      </c>
      <c r="J1370" s="1">
        <v>4</v>
      </c>
      <c r="K1370" s="1" t="s">
        <v>19</v>
      </c>
      <c r="L1370" s="1" t="s">
        <v>33</v>
      </c>
      <c r="M1370" s="1">
        <f>orders[[#This Row],[Ship Date]]-orders[[#This Row],[Order Date]]</f>
        <v>5</v>
      </c>
      <c r="N1370" s="1">
        <f>WEEKNUM(orders[[#This Row],[Order Date]])</f>
        <v>8</v>
      </c>
      <c r="O1370" s="1"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s="1">
        <v>190.2</v>
      </c>
      <c r="F1371" s="2">
        <v>45709</v>
      </c>
      <c r="G1371" s="2">
        <v>45714</v>
      </c>
      <c r="H1371" s="1" t="s">
        <v>23</v>
      </c>
      <c r="I1371" s="1" t="s">
        <v>51</v>
      </c>
      <c r="J1371" s="1">
        <v>3</v>
      </c>
      <c r="K1371" s="1" t="s">
        <v>19</v>
      </c>
      <c r="L1371" s="1" t="s">
        <v>186</v>
      </c>
      <c r="M1371" s="1">
        <f>orders[[#This Row],[Ship Date]]-orders[[#This Row],[Order Date]]</f>
        <v>5</v>
      </c>
      <c r="N1371" s="1">
        <f>WEEKNUM(orders[[#This Row],[Order Date]])</f>
        <v>8</v>
      </c>
      <c r="O1371" s="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s="1">
        <v>147</v>
      </c>
      <c r="F1372" s="2">
        <v>45709</v>
      </c>
      <c r="G1372" s="2">
        <v>45713</v>
      </c>
      <c r="H1372" s="1" t="s">
        <v>23</v>
      </c>
      <c r="I1372" s="1" t="s">
        <v>51</v>
      </c>
      <c r="J1372" s="1">
        <v>4</v>
      </c>
      <c r="K1372" s="1" t="s">
        <v>19</v>
      </c>
      <c r="L1372" s="1" t="s">
        <v>802</v>
      </c>
      <c r="M1372" s="1">
        <f>orders[[#This Row],[Ship Date]]-orders[[#This Row],[Order Date]]</f>
        <v>4</v>
      </c>
      <c r="N1372" s="1">
        <f>WEEKNUM(orders[[#This Row],[Order Date]])</f>
        <v>8</v>
      </c>
      <c r="O1372" s="1"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s="1">
        <v>80</v>
      </c>
      <c r="F1373" s="2">
        <v>45709</v>
      </c>
      <c r="G1373" s="2">
        <v>45710</v>
      </c>
      <c r="H1373" s="1" t="s">
        <v>27</v>
      </c>
      <c r="I1373" s="1" t="s">
        <v>70</v>
      </c>
      <c r="J1373" s="1">
        <v>3</v>
      </c>
      <c r="K1373" s="1" t="s">
        <v>19</v>
      </c>
      <c r="L1373" s="1" t="s">
        <v>158</v>
      </c>
      <c r="M1373" s="1">
        <f>orders[[#This Row],[Ship Date]]-orders[[#This Row],[Order Date]]</f>
        <v>1</v>
      </c>
      <c r="N1373" s="1">
        <f>WEEKNUM(orders[[#This Row],[Order Date]])</f>
        <v>8</v>
      </c>
      <c r="O1373" s="1"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s="1">
        <v>345.2</v>
      </c>
      <c r="F1374" s="2">
        <v>45709</v>
      </c>
      <c r="G1374" s="2">
        <v>45710</v>
      </c>
      <c r="H1374" s="1" t="s">
        <v>89</v>
      </c>
      <c r="I1374" s="1" t="s">
        <v>18</v>
      </c>
      <c r="J1374" s="1">
        <v>4</v>
      </c>
      <c r="K1374" s="1" t="s">
        <v>19</v>
      </c>
      <c r="L1374" s="1" t="s">
        <v>55</v>
      </c>
      <c r="M1374" s="1">
        <f>orders[[#This Row],[Ship Date]]-orders[[#This Row],[Order Date]]</f>
        <v>1</v>
      </c>
      <c r="N1374" s="1">
        <f>WEEKNUM(orders[[#This Row],[Order Date]])</f>
        <v>8</v>
      </c>
      <c r="O1374" s="1"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s="1">
        <v>51.6</v>
      </c>
      <c r="F1375" s="2">
        <v>45709</v>
      </c>
      <c r="G1375" s="2">
        <v>45711</v>
      </c>
      <c r="H1375" s="1" t="s">
        <v>27</v>
      </c>
      <c r="I1375" s="1" t="s">
        <v>40</v>
      </c>
      <c r="J1375" s="1">
        <v>5</v>
      </c>
      <c r="K1375" s="1" t="s">
        <v>19</v>
      </c>
      <c r="L1375" s="1" t="s">
        <v>55</v>
      </c>
      <c r="M1375" s="1">
        <f>orders[[#This Row],[Ship Date]]-orders[[#This Row],[Order Date]]</f>
        <v>2</v>
      </c>
      <c r="N1375" s="1">
        <f>WEEKNUM(orders[[#This Row],[Order Date]])</f>
        <v>8</v>
      </c>
      <c r="O1375" s="1"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s="1">
        <v>80.099999999999994</v>
      </c>
      <c r="F1376" s="2">
        <v>45709</v>
      </c>
      <c r="G1376" s="2">
        <v>45714</v>
      </c>
      <c r="H1376" s="1" t="s">
        <v>27</v>
      </c>
      <c r="I1376" s="1" t="s">
        <v>40</v>
      </c>
      <c r="J1376" s="1">
        <v>3</v>
      </c>
      <c r="K1376" s="1" t="s">
        <v>19</v>
      </c>
      <c r="L1376" s="1" t="s">
        <v>55</v>
      </c>
      <c r="M1376" s="1">
        <f>orders[[#This Row],[Ship Date]]-orders[[#This Row],[Order Date]]</f>
        <v>5</v>
      </c>
      <c r="N1376" s="1">
        <f>WEEKNUM(orders[[#This Row],[Order Date]])</f>
        <v>8</v>
      </c>
      <c r="O1376" s="1"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s="1">
        <v>136.19999999999999</v>
      </c>
      <c r="F1377" s="2">
        <v>45709</v>
      </c>
      <c r="G1377" s="2">
        <v>45710</v>
      </c>
      <c r="H1377" s="1" t="s">
        <v>23</v>
      </c>
      <c r="I1377" s="1" t="s">
        <v>18</v>
      </c>
      <c r="J1377" s="1">
        <v>3</v>
      </c>
      <c r="K1377" s="1" t="s">
        <v>19</v>
      </c>
      <c r="L1377" s="1" t="s">
        <v>55</v>
      </c>
      <c r="M1377" s="1">
        <f>orders[[#This Row],[Ship Date]]-orders[[#This Row],[Order Date]]</f>
        <v>1</v>
      </c>
      <c r="N1377" s="1">
        <f>WEEKNUM(orders[[#This Row],[Order Date]])</f>
        <v>8</v>
      </c>
      <c r="O1377" s="1"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s="1">
        <v>81.7</v>
      </c>
      <c r="F1378" s="2">
        <v>45709</v>
      </c>
      <c r="G1378" s="2">
        <v>45710</v>
      </c>
      <c r="H1378" s="1" t="s">
        <v>23</v>
      </c>
      <c r="I1378" s="1" t="s">
        <v>18</v>
      </c>
      <c r="J1378" s="1">
        <v>4</v>
      </c>
      <c r="K1378" s="1" t="s">
        <v>19</v>
      </c>
      <c r="L1378" s="1" t="s">
        <v>59</v>
      </c>
      <c r="M1378" s="1">
        <f>orders[[#This Row],[Ship Date]]-orders[[#This Row],[Order Date]]</f>
        <v>1</v>
      </c>
      <c r="N1378" s="1">
        <f>WEEKNUM(orders[[#This Row],[Order Date]])</f>
        <v>8</v>
      </c>
      <c r="O1378" s="1"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s="1">
        <v>251</v>
      </c>
      <c r="F1379" s="2">
        <v>45709</v>
      </c>
      <c r="G1379" s="2">
        <v>45712</v>
      </c>
      <c r="H1379" s="1" t="s">
        <v>23</v>
      </c>
      <c r="I1379" s="1" t="s">
        <v>51</v>
      </c>
      <c r="J1379" s="1">
        <v>3</v>
      </c>
      <c r="K1379" s="1" t="s">
        <v>19</v>
      </c>
      <c r="L1379" s="1" t="s">
        <v>62</v>
      </c>
      <c r="M1379" s="1">
        <f>orders[[#This Row],[Ship Date]]-orders[[#This Row],[Order Date]]</f>
        <v>3</v>
      </c>
      <c r="N1379" s="1">
        <f>WEEKNUM(orders[[#This Row],[Order Date]])</f>
        <v>8</v>
      </c>
      <c r="O1379" s="1"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s="1">
        <v>20.2</v>
      </c>
      <c r="F1380" s="2">
        <v>45709</v>
      </c>
      <c r="G1380" s="2">
        <v>45713</v>
      </c>
      <c r="H1380" s="1" t="s">
        <v>27</v>
      </c>
      <c r="I1380" s="1" t="s">
        <v>18</v>
      </c>
      <c r="J1380" s="1">
        <v>4</v>
      </c>
      <c r="K1380" s="1" t="s">
        <v>19</v>
      </c>
      <c r="L1380" s="1" t="s">
        <v>62</v>
      </c>
      <c r="M1380" s="1">
        <f>orders[[#This Row],[Ship Date]]-orders[[#This Row],[Order Date]]</f>
        <v>4</v>
      </c>
      <c r="N1380" s="1">
        <f>WEEKNUM(orders[[#This Row],[Order Date]])</f>
        <v>8</v>
      </c>
      <c r="O1380" s="1"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s="1">
        <v>46.2</v>
      </c>
      <c r="F1381" s="2">
        <v>45709</v>
      </c>
      <c r="G1381" s="2">
        <v>45710</v>
      </c>
      <c r="H1381" s="1" t="s">
        <v>23</v>
      </c>
      <c r="I1381" s="1" t="s">
        <v>35</v>
      </c>
      <c r="J1381" s="1">
        <v>5</v>
      </c>
      <c r="K1381" s="1" t="s">
        <v>19</v>
      </c>
      <c r="L1381" s="1" t="s">
        <v>62</v>
      </c>
      <c r="M1381" s="1">
        <f>orders[[#This Row],[Ship Date]]-orders[[#This Row],[Order Date]]</f>
        <v>1</v>
      </c>
      <c r="N1381" s="1">
        <f>WEEKNUM(orders[[#This Row],[Order Date]])</f>
        <v>8</v>
      </c>
      <c r="O1381" s="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s="1">
        <v>59.2</v>
      </c>
      <c r="F1382" s="2">
        <v>45709</v>
      </c>
      <c r="G1382" s="2">
        <v>45710</v>
      </c>
      <c r="H1382" s="1" t="s">
        <v>23</v>
      </c>
      <c r="I1382" s="1" t="s">
        <v>40</v>
      </c>
      <c r="J1382" s="1">
        <v>5</v>
      </c>
      <c r="K1382" s="1" t="s">
        <v>19</v>
      </c>
      <c r="L1382" s="1" t="s">
        <v>103</v>
      </c>
      <c r="M1382" s="1">
        <f>orders[[#This Row],[Ship Date]]-orders[[#This Row],[Order Date]]</f>
        <v>1</v>
      </c>
      <c r="N1382" s="1">
        <f>WEEKNUM(orders[[#This Row],[Order Date]])</f>
        <v>8</v>
      </c>
      <c r="O1382" s="1"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s="1">
        <v>46.7</v>
      </c>
      <c r="F1383" s="2">
        <v>45709</v>
      </c>
      <c r="G1383" s="2">
        <v>45714</v>
      </c>
      <c r="H1383" s="1" t="s">
        <v>23</v>
      </c>
      <c r="I1383" s="1" t="s">
        <v>18</v>
      </c>
      <c r="J1383" s="1">
        <v>4</v>
      </c>
      <c r="K1383" s="1" t="s">
        <v>19</v>
      </c>
      <c r="L1383" s="1" t="s">
        <v>103</v>
      </c>
      <c r="M1383" s="1">
        <f>orders[[#This Row],[Ship Date]]-orders[[#This Row],[Order Date]]</f>
        <v>5</v>
      </c>
      <c r="N1383" s="1">
        <f>WEEKNUM(orders[[#This Row],[Order Date]])</f>
        <v>8</v>
      </c>
      <c r="O1383" s="1"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s="1">
        <v>624</v>
      </c>
      <c r="F1384" s="2">
        <v>45709</v>
      </c>
      <c r="G1384" s="2">
        <v>45711</v>
      </c>
      <c r="H1384" s="1" t="s">
        <v>23</v>
      </c>
      <c r="I1384" s="1" t="s">
        <v>35</v>
      </c>
      <c r="J1384" s="1">
        <v>4</v>
      </c>
      <c r="K1384" s="1" t="s">
        <v>19</v>
      </c>
      <c r="L1384" s="1" t="s">
        <v>201</v>
      </c>
      <c r="M1384" s="1">
        <f>orders[[#This Row],[Ship Date]]-orders[[#This Row],[Order Date]]</f>
        <v>2</v>
      </c>
      <c r="N1384" s="1">
        <f>WEEKNUM(orders[[#This Row],[Order Date]])</f>
        <v>8</v>
      </c>
      <c r="O1384" s="1"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s="1">
        <v>38.4</v>
      </c>
      <c r="F1385" s="2">
        <v>45709</v>
      </c>
      <c r="G1385" s="2">
        <v>45712</v>
      </c>
      <c r="H1385" s="1" t="s">
        <v>23</v>
      </c>
      <c r="I1385" s="1" t="s">
        <v>70</v>
      </c>
      <c r="J1385" s="1">
        <v>5</v>
      </c>
      <c r="K1385" s="1" t="s">
        <v>19</v>
      </c>
      <c r="L1385" s="1" t="s">
        <v>72</v>
      </c>
      <c r="M1385" s="1">
        <f>orders[[#This Row],[Ship Date]]-orders[[#This Row],[Order Date]]</f>
        <v>3</v>
      </c>
      <c r="N1385" s="1">
        <f>WEEKNUM(orders[[#This Row],[Order Date]])</f>
        <v>8</v>
      </c>
      <c r="O1385" s="1"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s="1">
        <v>292.59999999999997</v>
      </c>
      <c r="F1386" s="2">
        <v>45709</v>
      </c>
      <c r="G1386" s="2">
        <v>45711</v>
      </c>
      <c r="H1386" s="1" t="s">
        <v>27</v>
      </c>
      <c r="I1386" s="1" t="s">
        <v>40</v>
      </c>
      <c r="J1386" s="1">
        <v>4</v>
      </c>
      <c r="K1386" s="1" t="s">
        <v>19</v>
      </c>
      <c r="L1386" s="1" t="s">
        <v>77</v>
      </c>
      <c r="M1386" s="1">
        <f>orders[[#This Row],[Ship Date]]-orders[[#This Row],[Order Date]]</f>
        <v>2</v>
      </c>
      <c r="N1386" s="1">
        <f>WEEKNUM(orders[[#This Row],[Order Date]])</f>
        <v>8</v>
      </c>
      <c r="O1386" s="1"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s="1">
        <v>224.39999999999998</v>
      </c>
      <c r="F1387" s="2">
        <v>45709</v>
      </c>
      <c r="G1387" s="2">
        <v>45711</v>
      </c>
      <c r="H1387" s="1" t="s">
        <v>23</v>
      </c>
      <c r="I1387" s="1" t="s">
        <v>18</v>
      </c>
      <c r="J1387" s="1">
        <v>5</v>
      </c>
      <c r="K1387" s="1" t="s">
        <v>19</v>
      </c>
      <c r="L1387" s="1" t="s">
        <v>77</v>
      </c>
      <c r="M1387" s="1">
        <f>orders[[#This Row],[Ship Date]]-orders[[#This Row],[Order Date]]</f>
        <v>2</v>
      </c>
      <c r="N1387" s="1">
        <f>WEEKNUM(orders[[#This Row],[Order Date]])</f>
        <v>8</v>
      </c>
      <c r="O1387" s="1"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s="1">
        <v>180.60000000000002</v>
      </c>
      <c r="F1388" s="2">
        <v>45709</v>
      </c>
      <c r="G1388" s="2">
        <v>45712</v>
      </c>
      <c r="H1388" s="1" t="s">
        <v>23</v>
      </c>
      <c r="I1388" s="1" t="s">
        <v>70</v>
      </c>
      <c r="J1388" s="1">
        <v>3</v>
      </c>
      <c r="K1388" s="1" t="s">
        <v>19</v>
      </c>
      <c r="L1388" s="1" t="s">
        <v>377</v>
      </c>
      <c r="M1388" s="1">
        <f>orders[[#This Row],[Ship Date]]-orders[[#This Row],[Order Date]]</f>
        <v>3</v>
      </c>
      <c r="N1388" s="1">
        <f>WEEKNUM(orders[[#This Row],[Order Date]])</f>
        <v>8</v>
      </c>
      <c r="O1388" s="1"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s="1">
        <v>183</v>
      </c>
      <c r="F1389" s="2">
        <v>45710</v>
      </c>
      <c r="G1389" s="2">
        <v>45711</v>
      </c>
      <c r="H1389" s="1" t="s">
        <v>23</v>
      </c>
      <c r="I1389" s="1" t="s">
        <v>18</v>
      </c>
      <c r="J1389" s="1">
        <v>4</v>
      </c>
      <c r="K1389" s="1" t="s">
        <v>19</v>
      </c>
      <c r="L1389" s="1" t="s">
        <v>82</v>
      </c>
      <c r="M1389" s="1">
        <f>orders[[#This Row],[Ship Date]]-orders[[#This Row],[Order Date]]</f>
        <v>1</v>
      </c>
      <c r="N1389" s="1">
        <f>WEEKNUM(orders[[#This Row],[Order Date]])</f>
        <v>8</v>
      </c>
      <c r="O1389" s="1"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s="1">
        <v>278.5</v>
      </c>
      <c r="F1390" s="2">
        <v>45710</v>
      </c>
      <c r="G1390" s="2">
        <v>45712</v>
      </c>
      <c r="H1390" s="1" t="s">
        <v>17</v>
      </c>
      <c r="I1390" s="1" t="s">
        <v>35</v>
      </c>
      <c r="J1390" s="1">
        <v>5</v>
      </c>
      <c r="K1390" s="1" t="s">
        <v>19</v>
      </c>
      <c r="L1390" s="1" t="s">
        <v>115</v>
      </c>
      <c r="M1390" s="1">
        <f>orders[[#This Row],[Ship Date]]-orders[[#This Row],[Order Date]]</f>
        <v>2</v>
      </c>
      <c r="N1390" s="1">
        <f>WEEKNUM(orders[[#This Row],[Order Date]])</f>
        <v>8</v>
      </c>
      <c r="O1390" s="1"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s="1">
        <v>153.4</v>
      </c>
      <c r="F1391" s="2">
        <v>45710</v>
      </c>
      <c r="G1391" s="2">
        <v>45712</v>
      </c>
      <c r="H1391" s="1" t="s">
        <v>23</v>
      </c>
      <c r="I1391" s="1" t="s">
        <v>18</v>
      </c>
      <c r="J1391" s="1">
        <v>3</v>
      </c>
      <c r="K1391" s="1" t="s">
        <v>19</v>
      </c>
      <c r="L1391" s="1" t="s">
        <v>115</v>
      </c>
      <c r="M1391" s="1">
        <f>orders[[#This Row],[Ship Date]]-orders[[#This Row],[Order Date]]</f>
        <v>2</v>
      </c>
      <c r="N1391" s="1">
        <f>WEEKNUM(orders[[#This Row],[Order Date]])</f>
        <v>8</v>
      </c>
      <c r="O1391" s="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s="1">
        <v>592.19999999999993</v>
      </c>
      <c r="F1392" s="2">
        <v>45710</v>
      </c>
      <c r="G1392" s="2">
        <v>45715</v>
      </c>
      <c r="H1392" s="1" t="s">
        <v>23</v>
      </c>
      <c r="I1392" s="1" t="s">
        <v>40</v>
      </c>
      <c r="J1392" s="1">
        <v>4</v>
      </c>
      <c r="K1392" s="1" t="s">
        <v>19</v>
      </c>
      <c r="L1392" s="1" t="s">
        <v>24</v>
      </c>
      <c r="M1392" s="1">
        <f>orders[[#This Row],[Ship Date]]-orders[[#This Row],[Order Date]]</f>
        <v>5</v>
      </c>
      <c r="N1392" s="1">
        <f>WEEKNUM(orders[[#This Row],[Order Date]])</f>
        <v>8</v>
      </c>
      <c r="O1392" s="1"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s="1">
        <v>466</v>
      </c>
      <c r="F1393" s="2">
        <v>45710</v>
      </c>
      <c r="G1393" s="2">
        <v>45712</v>
      </c>
      <c r="H1393" s="1" t="s">
        <v>27</v>
      </c>
      <c r="I1393" s="1" t="s">
        <v>70</v>
      </c>
      <c r="J1393" s="1">
        <v>5</v>
      </c>
      <c r="K1393" s="1" t="s">
        <v>19</v>
      </c>
      <c r="L1393" s="1" t="s">
        <v>24</v>
      </c>
      <c r="M1393" s="1">
        <f>orders[[#This Row],[Ship Date]]-orders[[#This Row],[Order Date]]</f>
        <v>2</v>
      </c>
      <c r="N1393" s="1">
        <f>WEEKNUM(orders[[#This Row],[Order Date]])</f>
        <v>8</v>
      </c>
      <c r="O1393" s="1"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s="1">
        <v>33.299999999999997</v>
      </c>
      <c r="F1394" s="2">
        <v>45710</v>
      </c>
      <c r="G1394" s="2">
        <v>45711</v>
      </c>
      <c r="H1394" s="1" t="s">
        <v>23</v>
      </c>
      <c r="I1394" s="1" t="s">
        <v>70</v>
      </c>
      <c r="J1394" s="1">
        <v>4</v>
      </c>
      <c r="K1394" s="1" t="s">
        <v>19</v>
      </c>
      <c r="L1394" s="1" t="s">
        <v>28</v>
      </c>
      <c r="M1394" s="1">
        <f>orders[[#This Row],[Ship Date]]-orders[[#This Row],[Order Date]]</f>
        <v>1</v>
      </c>
      <c r="N1394" s="1">
        <f>WEEKNUM(orders[[#This Row],[Order Date]])</f>
        <v>8</v>
      </c>
      <c r="O1394" s="1"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s="1">
        <v>78.2</v>
      </c>
      <c r="F1395" s="2">
        <v>45710</v>
      </c>
      <c r="G1395" s="2">
        <v>45713</v>
      </c>
      <c r="H1395" s="1" t="s">
        <v>23</v>
      </c>
      <c r="I1395" s="1" t="s">
        <v>18</v>
      </c>
      <c r="J1395" s="1">
        <v>4</v>
      </c>
      <c r="K1395" s="1" t="s">
        <v>19</v>
      </c>
      <c r="L1395" s="1" t="s">
        <v>587</v>
      </c>
      <c r="M1395" s="1">
        <f>orders[[#This Row],[Ship Date]]-orders[[#This Row],[Order Date]]</f>
        <v>3</v>
      </c>
      <c r="N1395" s="1">
        <f>WEEKNUM(orders[[#This Row],[Order Date]])</f>
        <v>8</v>
      </c>
      <c r="O1395" s="1"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s="1">
        <v>543.59999999999991</v>
      </c>
      <c r="F1396" s="2">
        <v>45710</v>
      </c>
      <c r="G1396" s="2">
        <v>45711</v>
      </c>
      <c r="H1396" s="1" t="s">
        <v>23</v>
      </c>
      <c r="I1396" s="1" t="s">
        <v>40</v>
      </c>
      <c r="J1396" s="1">
        <v>4</v>
      </c>
      <c r="K1396" s="1" t="s">
        <v>19</v>
      </c>
      <c r="L1396" s="1" t="s">
        <v>331</v>
      </c>
      <c r="M1396" s="1">
        <f>orders[[#This Row],[Ship Date]]-orders[[#This Row],[Order Date]]</f>
        <v>1</v>
      </c>
      <c r="N1396" s="1">
        <f>WEEKNUM(orders[[#This Row],[Order Date]])</f>
        <v>8</v>
      </c>
      <c r="O1396" s="1"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s="1">
        <v>237.29999999999998</v>
      </c>
      <c r="F1397" s="2">
        <v>45710</v>
      </c>
      <c r="G1397" s="2">
        <v>45711</v>
      </c>
      <c r="H1397" s="1" t="s">
        <v>23</v>
      </c>
      <c r="I1397" s="1" t="s">
        <v>70</v>
      </c>
      <c r="J1397" s="1">
        <v>4</v>
      </c>
      <c r="K1397" s="1" t="s">
        <v>19</v>
      </c>
      <c r="L1397" s="1" t="s">
        <v>331</v>
      </c>
      <c r="M1397" s="1">
        <f>orders[[#This Row],[Ship Date]]-orders[[#This Row],[Order Date]]</f>
        <v>1</v>
      </c>
      <c r="N1397" s="1">
        <f>WEEKNUM(orders[[#This Row],[Order Date]])</f>
        <v>8</v>
      </c>
      <c r="O1397" s="1"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s="1">
        <v>57</v>
      </c>
      <c r="F1398" s="2">
        <v>45710</v>
      </c>
      <c r="G1398" s="2">
        <v>45711</v>
      </c>
      <c r="H1398" s="1" t="s">
        <v>23</v>
      </c>
      <c r="I1398" s="1" t="s">
        <v>18</v>
      </c>
      <c r="J1398" s="1">
        <v>5</v>
      </c>
      <c r="K1398" s="1" t="s">
        <v>19</v>
      </c>
      <c r="L1398" s="1" t="s">
        <v>86</v>
      </c>
      <c r="M1398" s="1">
        <f>orders[[#This Row],[Ship Date]]-orders[[#This Row],[Order Date]]</f>
        <v>1</v>
      </c>
      <c r="N1398" s="1">
        <f>WEEKNUM(orders[[#This Row],[Order Date]])</f>
        <v>8</v>
      </c>
      <c r="O1398" s="1"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s="1">
        <v>41.9</v>
      </c>
      <c r="F1399" s="2">
        <v>45710</v>
      </c>
      <c r="G1399" s="2">
        <v>45713</v>
      </c>
      <c r="H1399" s="1" t="s">
        <v>27</v>
      </c>
      <c r="I1399" s="1" t="s">
        <v>40</v>
      </c>
      <c r="J1399" s="1">
        <v>4</v>
      </c>
      <c r="K1399" s="1" t="s">
        <v>19</v>
      </c>
      <c r="L1399" s="1" t="s">
        <v>147</v>
      </c>
      <c r="M1399" s="1">
        <f>orders[[#This Row],[Ship Date]]-orders[[#This Row],[Order Date]]</f>
        <v>3</v>
      </c>
      <c r="N1399" s="1">
        <f>WEEKNUM(orders[[#This Row],[Order Date]])</f>
        <v>8</v>
      </c>
      <c r="O1399" s="1"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s="1">
        <v>150</v>
      </c>
      <c r="F1400" s="2">
        <v>45710</v>
      </c>
      <c r="G1400" s="2">
        <v>45710</v>
      </c>
      <c r="H1400" s="1" t="s">
        <v>27</v>
      </c>
      <c r="I1400" s="1" t="s">
        <v>18</v>
      </c>
      <c r="J1400" s="1">
        <v>4</v>
      </c>
      <c r="K1400" s="1" t="s">
        <v>19</v>
      </c>
      <c r="L1400" s="1" t="s">
        <v>33</v>
      </c>
      <c r="M1400" s="1">
        <f>orders[[#This Row],[Ship Date]]-orders[[#This Row],[Order Date]]</f>
        <v>0</v>
      </c>
      <c r="N1400" s="1">
        <f>WEEKNUM(orders[[#This Row],[Order Date]])</f>
        <v>8</v>
      </c>
      <c r="O1400" s="1"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s="1">
        <v>81.599999999999994</v>
      </c>
      <c r="F1401" s="2">
        <v>45710</v>
      </c>
      <c r="G1401" s="2">
        <v>45713</v>
      </c>
      <c r="H1401" s="1" t="s">
        <v>23</v>
      </c>
      <c r="I1401" s="1" t="s">
        <v>18</v>
      </c>
      <c r="J1401" s="1">
        <v>4</v>
      </c>
      <c r="K1401" s="1" t="s">
        <v>19</v>
      </c>
      <c r="L1401" s="1" t="s">
        <v>33</v>
      </c>
      <c r="M1401" s="1">
        <f>orders[[#This Row],[Ship Date]]-orders[[#This Row],[Order Date]]</f>
        <v>3</v>
      </c>
      <c r="N1401" s="1">
        <f>WEEKNUM(orders[[#This Row],[Order Date]])</f>
        <v>8</v>
      </c>
      <c r="O1401" s="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s="1">
        <v>92.4</v>
      </c>
      <c r="F1402" s="2">
        <v>45710</v>
      </c>
      <c r="G1402" s="2">
        <v>45711</v>
      </c>
      <c r="H1402" s="1" t="s">
        <v>27</v>
      </c>
      <c r="I1402" s="1" t="s">
        <v>70</v>
      </c>
      <c r="J1402" s="1">
        <v>4</v>
      </c>
      <c r="K1402" s="1" t="s">
        <v>19</v>
      </c>
      <c r="L1402" s="1" t="s">
        <v>33</v>
      </c>
      <c r="M1402" s="1">
        <f>orders[[#This Row],[Ship Date]]-orders[[#This Row],[Order Date]]</f>
        <v>1</v>
      </c>
      <c r="N1402" s="1">
        <f>WEEKNUM(orders[[#This Row],[Order Date]])</f>
        <v>8</v>
      </c>
      <c r="O1402" s="1"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s="1">
        <v>196.5</v>
      </c>
      <c r="F1403" s="2">
        <v>45710</v>
      </c>
      <c r="G1403" s="2">
        <v>45711</v>
      </c>
      <c r="H1403" s="1" t="s">
        <v>27</v>
      </c>
      <c r="I1403" s="1" t="s">
        <v>18</v>
      </c>
      <c r="J1403" s="1">
        <v>4</v>
      </c>
      <c r="K1403" s="1" t="s">
        <v>19</v>
      </c>
      <c r="L1403" s="1" t="s">
        <v>33</v>
      </c>
      <c r="M1403" s="1">
        <f>orders[[#This Row],[Ship Date]]-orders[[#This Row],[Order Date]]</f>
        <v>1</v>
      </c>
      <c r="N1403" s="1">
        <f>WEEKNUM(orders[[#This Row],[Order Date]])</f>
        <v>8</v>
      </c>
      <c r="O1403" s="1"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s="1">
        <v>340.8</v>
      </c>
      <c r="F1404" s="2">
        <v>45710</v>
      </c>
      <c r="G1404" s="2">
        <v>45715</v>
      </c>
      <c r="H1404" s="1" t="s">
        <v>23</v>
      </c>
      <c r="I1404" s="1" t="s">
        <v>40</v>
      </c>
      <c r="J1404" s="1">
        <v>4</v>
      </c>
      <c r="K1404" s="1" t="s">
        <v>19</v>
      </c>
      <c r="L1404" s="1" t="s">
        <v>33</v>
      </c>
      <c r="M1404" s="1">
        <f>orders[[#This Row],[Ship Date]]-orders[[#This Row],[Order Date]]</f>
        <v>5</v>
      </c>
      <c r="N1404" s="1">
        <f>WEEKNUM(orders[[#This Row],[Order Date]])</f>
        <v>8</v>
      </c>
      <c r="O1404" s="1"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s="1">
        <v>96</v>
      </c>
      <c r="F1405" s="2">
        <v>45710</v>
      </c>
      <c r="G1405" s="2">
        <v>45713</v>
      </c>
      <c r="H1405" s="1" t="s">
        <v>23</v>
      </c>
      <c r="I1405" s="1" t="s">
        <v>35</v>
      </c>
      <c r="J1405" s="1">
        <v>4</v>
      </c>
      <c r="K1405" s="1" t="s">
        <v>19</v>
      </c>
      <c r="L1405" s="1" t="s">
        <v>33</v>
      </c>
      <c r="M1405" s="1">
        <f>orders[[#This Row],[Ship Date]]-orders[[#This Row],[Order Date]]</f>
        <v>3</v>
      </c>
      <c r="N1405" s="1">
        <f>WEEKNUM(orders[[#This Row],[Order Date]])</f>
        <v>8</v>
      </c>
      <c r="O1405" s="1"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s="1">
        <v>67.599999999999994</v>
      </c>
      <c r="F1406" s="2">
        <v>45710</v>
      </c>
      <c r="G1406" s="2">
        <v>45714</v>
      </c>
      <c r="H1406" s="1" t="s">
        <v>27</v>
      </c>
      <c r="I1406" s="1" t="s">
        <v>35</v>
      </c>
      <c r="J1406" s="1">
        <v>4</v>
      </c>
      <c r="K1406" s="1" t="s">
        <v>19</v>
      </c>
      <c r="L1406" s="1" t="s">
        <v>33</v>
      </c>
      <c r="M1406" s="1">
        <f>orders[[#This Row],[Ship Date]]-orders[[#This Row],[Order Date]]</f>
        <v>4</v>
      </c>
      <c r="N1406" s="1">
        <f>WEEKNUM(orders[[#This Row],[Order Date]])</f>
        <v>8</v>
      </c>
      <c r="O1406" s="1"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s="1">
        <v>70</v>
      </c>
      <c r="F1407" s="2">
        <v>45710</v>
      </c>
      <c r="G1407" s="2">
        <v>45711</v>
      </c>
      <c r="H1407" s="1" t="s">
        <v>27</v>
      </c>
      <c r="I1407" s="1" t="s">
        <v>18</v>
      </c>
      <c r="J1407" s="1">
        <v>4</v>
      </c>
      <c r="K1407" s="1" t="s">
        <v>19</v>
      </c>
      <c r="L1407" s="1" t="s">
        <v>33</v>
      </c>
      <c r="M1407" s="1">
        <f>orders[[#This Row],[Ship Date]]-orders[[#This Row],[Order Date]]</f>
        <v>1</v>
      </c>
      <c r="N1407" s="1">
        <f>WEEKNUM(orders[[#This Row],[Order Date]])</f>
        <v>8</v>
      </c>
      <c r="O1407" s="1"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s="1">
        <v>88</v>
      </c>
      <c r="F1408" s="2">
        <v>45710</v>
      </c>
      <c r="G1408" s="2">
        <v>45715</v>
      </c>
      <c r="H1408" s="1" t="s">
        <v>27</v>
      </c>
      <c r="I1408" s="1" t="s">
        <v>51</v>
      </c>
      <c r="J1408" s="1">
        <v>4</v>
      </c>
      <c r="K1408" s="1" t="s">
        <v>19</v>
      </c>
      <c r="L1408" s="1" t="s">
        <v>33</v>
      </c>
      <c r="M1408" s="1">
        <f>orders[[#This Row],[Ship Date]]-orders[[#This Row],[Order Date]]</f>
        <v>5</v>
      </c>
      <c r="N1408" s="1">
        <f>WEEKNUM(orders[[#This Row],[Order Date]])</f>
        <v>8</v>
      </c>
      <c r="O1408" s="1"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s="1">
        <v>222.29999999999998</v>
      </c>
      <c r="F1409" s="2">
        <v>45710</v>
      </c>
      <c r="G1409" s="2">
        <v>45710</v>
      </c>
      <c r="H1409" s="1" t="s">
        <v>23</v>
      </c>
      <c r="I1409" s="1" t="s">
        <v>70</v>
      </c>
      <c r="J1409" s="1">
        <v>3</v>
      </c>
      <c r="K1409" s="1" t="s">
        <v>19</v>
      </c>
      <c r="L1409" s="1" t="s">
        <v>33</v>
      </c>
      <c r="M1409" s="1">
        <f>orders[[#This Row],[Ship Date]]-orders[[#This Row],[Order Date]]</f>
        <v>0</v>
      </c>
      <c r="N1409" s="1">
        <f>WEEKNUM(orders[[#This Row],[Order Date]])</f>
        <v>8</v>
      </c>
      <c r="O1409" s="1"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s="1">
        <v>161.9</v>
      </c>
      <c r="F1410" s="2">
        <v>45710</v>
      </c>
      <c r="G1410" s="2">
        <v>45712</v>
      </c>
      <c r="H1410" s="1" t="s">
        <v>23</v>
      </c>
      <c r="I1410" s="1" t="s">
        <v>40</v>
      </c>
      <c r="J1410" s="1">
        <v>4</v>
      </c>
      <c r="K1410" s="1" t="s">
        <v>19</v>
      </c>
      <c r="L1410" s="1" t="s">
        <v>33</v>
      </c>
      <c r="M1410" s="1">
        <f>orders[[#This Row],[Ship Date]]-orders[[#This Row],[Order Date]]</f>
        <v>2</v>
      </c>
      <c r="N1410" s="1">
        <f>WEEKNUM(orders[[#This Row],[Order Date]])</f>
        <v>8</v>
      </c>
      <c r="O1410" s="1"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s="1">
        <v>88</v>
      </c>
      <c r="F1411" s="2">
        <v>45710</v>
      </c>
      <c r="G1411" s="2">
        <v>45711</v>
      </c>
      <c r="H1411" s="1" t="s">
        <v>89</v>
      </c>
      <c r="I1411" s="1" t="s">
        <v>70</v>
      </c>
      <c r="J1411" s="1">
        <v>3</v>
      </c>
      <c r="K1411" s="1" t="s">
        <v>19</v>
      </c>
      <c r="L1411" s="1" t="s">
        <v>33</v>
      </c>
      <c r="M1411" s="1">
        <f>orders[[#This Row],[Ship Date]]-orders[[#This Row],[Order Date]]</f>
        <v>1</v>
      </c>
      <c r="N1411" s="1">
        <f>WEEKNUM(orders[[#This Row],[Order Date]])</f>
        <v>8</v>
      </c>
      <c r="O1411" s="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s="1">
        <v>32.1</v>
      </c>
      <c r="F1412" s="2">
        <v>45710</v>
      </c>
      <c r="G1412" s="2">
        <v>45710</v>
      </c>
      <c r="H1412" s="1" t="s">
        <v>27</v>
      </c>
      <c r="I1412" s="1" t="s">
        <v>51</v>
      </c>
      <c r="J1412" s="1">
        <v>1</v>
      </c>
      <c r="K1412" s="1" t="s">
        <v>19</v>
      </c>
      <c r="L1412" s="1" t="s">
        <v>33</v>
      </c>
      <c r="M1412" s="1">
        <f>orders[[#This Row],[Ship Date]]-orders[[#This Row],[Order Date]]</f>
        <v>0</v>
      </c>
      <c r="N1412" s="1">
        <f>WEEKNUM(orders[[#This Row],[Order Date]])</f>
        <v>8</v>
      </c>
      <c r="O1412" s="1"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s="1">
        <v>419.2</v>
      </c>
      <c r="F1413" s="2">
        <v>45711</v>
      </c>
      <c r="G1413" s="2">
        <v>45713</v>
      </c>
      <c r="H1413" s="1" t="s">
        <v>89</v>
      </c>
      <c r="I1413" s="1" t="s">
        <v>18</v>
      </c>
      <c r="J1413" s="1">
        <v>4</v>
      </c>
      <c r="K1413" s="1" t="s">
        <v>19</v>
      </c>
      <c r="L1413" s="1" t="s">
        <v>33</v>
      </c>
      <c r="M1413" s="1">
        <f>orders[[#This Row],[Ship Date]]-orders[[#This Row],[Order Date]]</f>
        <v>2</v>
      </c>
      <c r="N1413" s="1">
        <f>WEEKNUM(orders[[#This Row],[Order Date]])</f>
        <v>9</v>
      </c>
      <c r="O1413" s="1"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s="1">
        <v>404.40000000000003</v>
      </c>
      <c r="F1414" s="2">
        <v>45711</v>
      </c>
      <c r="G1414" s="2">
        <v>45712</v>
      </c>
      <c r="H1414" s="1" t="s">
        <v>27</v>
      </c>
      <c r="I1414" s="1" t="s">
        <v>51</v>
      </c>
      <c r="J1414" s="1">
        <v>4</v>
      </c>
      <c r="K1414" s="1" t="s">
        <v>19</v>
      </c>
      <c r="L1414" s="1" t="s">
        <v>33</v>
      </c>
      <c r="M1414" s="1">
        <f>orders[[#This Row],[Ship Date]]-orders[[#This Row],[Order Date]]</f>
        <v>1</v>
      </c>
      <c r="N1414" s="1">
        <f>WEEKNUM(orders[[#This Row],[Order Date]])</f>
        <v>9</v>
      </c>
      <c r="O1414" s="1"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s="1">
        <v>230.4</v>
      </c>
      <c r="F1415" s="2">
        <v>45711</v>
      </c>
      <c r="G1415" s="2">
        <v>45712</v>
      </c>
      <c r="H1415" s="1" t="s">
        <v>27</v>
      </c>
      <c r="I1415" s="1" t="s">
        <v>35</v>
      </c>
      <c r="J1415" s="1">
        <v>4</v>
      </c>
      <c r="K1415" s="1" t="s">
        <v>19</v>
      </c>
      <c r="L1415" s="1" t="s">
        <v>49</v>
      </c>
      <c r="M1415" s="1">
        <f>orders[[#This Row],[Ship Date]]-orders[[#This Row],[Order Date]]</f>
        <v>1</v>
      </c>
      <c r="N1415" s="1">
        <f>WEEKNUM(orders[[#This Row],[Order Date]])</f>
        <v>9</v>
      </c>
      <c r="O1415" s="1"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s="1">
        <v>449.5</v>
      </c>
      <c r="F1416" s="2">
        <v>45711</v>
      </c>
      <c r="G1416" s="2">
        <v>45713</v>
      </c>
      <c r="H1416" s="1" t="s">
        <v>27</v>
      </c>
      <c r="I1416" s="1" t="s">
        <v>18</v>
      </c>
      <c r="J1416" s="1">
        <v>3</v>
      </c>
      <c r="K1416" s="1" t="s">
        <v>19</v>
      </c>
      <c r="L1416" s="1" t="s">
        <v>158</v>
      </c>
      <c r="M1416" s="1">
        <f>orders[[#This Row],[Ship Date]]-orders[[#This Row],[Order Date]]</f>
        <v>2</v>
      </c>
      <c r="N1416" s="1">
        <f>WEEKNUM(orders[[#This Row],[Order Date]])</f>
        <v>9</v>
      </c>
      <c r="O1416" s="1"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s="1">
        <v>730.40000000000009</v>
      </c>
      <c r="F1417" s="2">
        <v>45711</v>
      </c>
      <c r="G1417" s="2">
        <v>45713</v>
      </c>
      <c r="H1417" s="1" t="s">
        <v>27</v>
      </c>
      <c r="I1417" s="1" t="s">
        <v>18</v>
      </c>
      <c r="J1417" s="1">
        <v>4</v>
      </c>
      <c r="K1417" s="1" t="s">
        <v>19</v>
      </c>
      <c r="L1417" s="1" t="s">
        <v>55</v>
      </c>
      <c r="M1417" s="1">
        <f>orders[[#This Row],[Ship Date]]-orders[[#This Row],[Order Date]]</f>
        <v>2</v>
      </c>
      <c r="N1417" s="1">
        <f>WEEKNUM(orders[[#This Row],[Order Date]])</f>
        <v>9</v>
      </c>
      <c r="O1417" s="1"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s="1">
        <v>817.19999999999993</v>
      </c>
      <c r="F1418" s="2">
        <v>45711</v>
      </c>
      <c r="G1418" s="2">
        <v>45712</v>
      </c>
      <c r="H1418" s="1" t="s">
        <v>27</v>
      </c>
      <c r="I1418" s="1" t="s">
        <v>40</v>
      </c>
      <c r="J1418" s="1">
        <v>4</v>
      </c>
      <c r="K1418" s="1" t="s">
        <v>19</v>
      </c>
      <c r="L1418" s="1" t="s">
        <v>62</v>
      </c>
      <c r="M1418" s="1">
        <f>orders[[#This Row],[Ship Date]]-orders[[#This Row],[Order Date]]</f>
        <v>1</v>
      </c>
      <c r="N1418" s="1">
        <f>WEEKNUM(orders[[#This Row],[Order Date]])</f>
        <v>9</v>
      </c>
      <c r="O1418" s="1"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s="1">
        <v>162.5</v>
      </c>
      <c r="F1419" s="2">
        <v>45711</v>
      </c>
      <c r="G1419" s="2">
        <v>45715</v>
      </c>
      <c r="H1419" s="1" t="s">
        <v>23</v>
      </c>
      <c r="I1419" s="1" t="s">
        <v>40</v>
      </c>
      <c r="J1419" s="1">
        <v>3</v>
      </c>
      <c r="K1419" s="1" t="s">
        <v>19</v>
      </c>
      <c r="L1419" s="1" t="s">
        <v>62</v>
      </c>
      <c r="M1419" s="1">
        <f>orders[[#This Row],[Ship Date]]-orders[[#This Row],[Order Date]]</f>
        <v>4</v>
      </c>
      <c r="N1419" s="1">
        <f>WEEKNUM(orders[[#This Row],[Order Date]])</f>
        <v>9</v>
      </c>
      <c r="O1419" s="1"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s="1">
        <v>183.60000000000002</v>
      </c>
      <c r="F1420" s="2">
        <v>45711</v>
      </c>
      <c r="G1420" s="2">
        <v>45713</v>
      </c>
      <c r="H1420" s="1" t="s">
        <v>27</v>
      </c>
      <c r="I1420" s="1" t="s">
        <v>35</v>
      </c>
      <c r="J1420" s="1">
        <v>3</v>
      </c>
      <c r="K1420" s="1" t="s">
        <v>19</v>
      </c>
      <c r="L1420" s="1" t="s">
        <v>62</v>
      </c>
      <c r="M1420" s="1">
        <f>orders[[#This Row],[Ship Date]]-orders[[#This Row],[Order Date]]</f>
        <v>2</v>
      </c>
      <c r="N1420" s="1">
        <f>WEEKNUM(orders[[#This Row],[Order Date]])</f>
        <v>9</v>
      </c>
      <c r="O1420" s="1"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s="1">
        <v>108.4</v>
      </c>
      <c r="F1421" s="2">
        <v>45711</v>
      </c>
      <c r="G1421" s="2">
        <v>45712</v>
      </c>
      <c r="H1421" s="1" t="s">
        <v>27</v>
      </c>
      <c r="I1421" s="1" t="s">
        <v>35</v>
      </c>
      <c r="J1421" s="1">
        <v>4</v>
      </c>
      <c r="K1421" s="1" t="s">
        <v>19</v>
      </c>
      <c r="L1421" s="1" t="s">
        <v>62</v>
      </c>
      <c r="M1421" s="1">
        <f>orders[[#This Row],[Ship Date]]-orders[[#This Row],[Order Date]]</f>
        <v>1</v>
      </c>
      <c r="N1421" s="1">
        <f>WEEKNUM(orders[[#This Row],[Order Date]])</f>
        <v>9</v>
      </c>
      <c r="O1421" s="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s="1">
        <v>229.6</v>
      </c>
      <c r="F1422" s="2">
        <v>45711</v>
      </c>
      <c r="G1422" s="2">
        <v>45713</v>
      </c>
      <c r="H1422" s="1" t="s">
        <v>23</v>
      </c>
      <c r="I1422" s="1" t="s">
        <v>35</v>
      </c>
      <c r="J1422" s="1">
        <v>4</v>
      </c>
      <c r="K1422" s="1" t="s">
        <v>19</v>
      </c>
      <c r="L1422" s="1" t="s">
        <v>72</v>
      </c>
      <c r="M1422" s="1">
        <f>orders[[#This Row],[Ship Date]]-orders[[#This Row],[Order Date]]</f>
        <v>2</v>
      </c>
      <c r="N1422" s="1">
        <f>WEEKNUM(orders[[#This Row],[Order Date]])</f>
        <v>9</v>
      </c>
      <c r="O1422" s="1"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s="1">
        <v>229.20000000000002</v>
      </c>
      <c r="F1423" s="2">
        <v>45711</v>
      </c>
      <c r="G1423" s="2">
        <v>45715</v>
      </c>
      <c r="H1423" s="1" t="s">
        <v>27</v>
      </c>
      <c r="I1423" s="1" t="s">
        <v>18</v>
      </c>
      <c r="J1423" s="1">
        <v>3</v>
      </c>
      <c r="K1423" s="1" t="s">
        <v>19</v>
      </c>
      <c r="L1423" s="1" t="s">
        <v>72</v>
      </c>
      <c r="M1423" s="1">
        <f>orders[[#This Row],[Ship Date]]-orders[[#This Row],[Order Date]]</f>
        <v>4</v>
      </c>
      <c r="N1423" s="1">
        <f>WEEKNUM(orders[[#This Row],[Order Date]])</f>
        <v>9</v>
      </c>
      <c r="O1423" s="1"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s="1">
        <v>211.20000000000002</v>
      </c>
      <c r="F1424" s="2">
        <v>45711</v>
      </c>
      <c r="G1424" s="2">
        <v>45712</v>
      </c>
      <c r="H1424" s="1" t="s">
        <v>27</v>
      </c>
      <c r="I1424" s="1" t="s">
        <v>40</v>
      </c>
      <c r="J1424" s="1">
        <v>3</v>
      </c>
      <c r="K1424" s="1" t="s">
        <v>19</v>
      </c>
      <c r="L1424" s="1" t="s">
        <v>72</v>
      </c>
      <c r="M1424" s="1">
        <f>orders[[#This Row],[Ship Date]]-orders[[#This Row],[Order Date]]</f>
        <v>1</v>
      </c>
      <c r="N1424" s="1">
        <f>WEEKNUM(orders[[#This Row],[Order Date]])</f>
        <v>9</v>
      </c>
      <c r="O1424" s="1"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s="1">
        <v>223.79999999999998</v>
      </c>
      <c r="F1425" s="2">
        <v>45711</v>
      </c>
      <c r="G1425" s="2">
        <v>45711</v>
      </c>
      <c r="H1425" s="1" t="s">
        <v>27</v>
      </c>
      <c r="I1425" s="1" t="s">
        <v>40</v>
      </c>
      <c r="J1425" s="1">
        <v>4</v>
      </c>
      <c r="K1425" s="1" t="s">
        <v>19</v>
      </c>
      <c r="L1425" s="1" t="s">
        <v>77</v>
      </c>
      <c r="M1425" s="1">
        <f>orders[[#This Row],[Ship Date]]-orders[[#This Row],[Order Date]]</f>
        <v>0</v>
      </c>
      <c r="N1425" s="1">
        <f>WEEKNUM(orders[[#This Row],[Order Date]])</f>
        <v>9</v>
      </c>
      <c r="O1425" s="1"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s="1">
        <v>1089</v>
      </c>
      <c r="F1426" s="2">
        <v>45711</v>
      </c>
      <c r="G1426" s="2">
        <v>45711</v>
      </c>
      <c r="H1426" s="1" t="s">
        <v>17</v>
      </c>
      <c r="I1426" s="1" t="s">
        <v>35</v>
      </c>
      <c r="J1426" s="1">
        <v>3</v>
      </c>
      <c r="K1426" s="1" t="s">
        <v>19</v>
      </c>
      <c r="L1426" s="1" t="s">
        <v>77</v>
      </c>
      <c r="M1426" s="1">
        <f>orders[[#This Row],[Ship Date]]-orders[[#This Row],[Order Date]]</f>
        <v>0</v>
      </c>
      <c r="N1426" s="1">
        <f>WEEKNUM(orders[[#This Row],[Order Date]])</f>
        <v>9</v>
      </c>
      <c r="O1426" s="1"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s="1">
        <v>62.3</v>
      </c>
      <c r="F1427" s="2">
        <v>45711</v>
      </c>
      <c r="G1427" s="2">
        <v>45712</v>
      </c>
      <c r="H1427" s="1" t="s">
        <v>27</v>
      </c>
      <c r="I1427" s="1" t="s">
        <v>35</v>
      </c>
      <c r="J1427" s="1">
        <v>4</v>
      </c>
      <c r="K1427" s="1" t="s">
        <v>19</v>
      </c>
      <c r="L1427" s="1" t="s">
        <v>77</v>
      </c>
      <c r="M1427" s="1">
        <f>orders[[#This Row],[Ship Date]]-orders[[#This Row],[Order Date]]</f>
        <v>1</v>
      </c>
      <c r="N1427" s="1">
        <f>WEEKNUM(orders[[#This Row],[Order Date]])</f>
        <v>9</v>
      </c>
      <c r="O1427" s="1"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s="1">
        <v>101.39999999999999</v>
      </c>
      <c r="F1428" s="2">
        <v>45711</v>
      </c>
      <c r="G1428" s="2">
        <v>45713</v>
      </c>
      <c r="H1428" s="1" t="s">
        <v>23</v>
      </c>
      <c r="I1428" s="1" t="s">
        <v>18</v>
      </c>
      <c r="J1428" s="1">
        <v>5</v>
      </c>
      <c r="K1428" s="1" t="s">
        <v>19</v>
      </c>
      <c r="L1428" s="1" t="s">
        <v>113</v>
      </c>
      <c r="M1428" s="1">
        <f>orders[[#This Row],[Ship Date]]-orders[[#This Row],[Order Date]]</f>
        <v>2</v>
      </c>
      <c r="N1428" s="1">
        <f>WEEKNUM(orders[[#This Row],[Order Date]])</f>
        <v>9</v>
      </c>
      <c r="O1428" s="1"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s="1">
        <v>85.7</v>
      </c>
      <c r="F1429" s="2">
        <v>45711</v>
      </c>
      <c r="G1429" s="2">
        <v>45714</v>
      </c>
      <c r="H1429" s="1" t="s">
        <v>23</v>
      </c>
      <c r="I1429" s="1" t="s">
        <v>51</v>
      </c>
      <c r="J1429" s="1">
        <v>3</v>
      </c>
      <c r="K1429" s="1" t="s">
        <v>19</v>
      </c>
      <c r="L1429" s="1" t="s">
        <v>115</v>
      </c>
      <c r="M1429" s="1">
        <f>orders[[#This Row],[Ship Date]]-orders[[#This Row],[Order Date]]</f>
        <v>3</v>
      </c>
      <c r="N1429" s="1">
        <f>WEEKNUM(orders[[#This Row],[Order Date]])</f>
        <v>9</v>
      </c>
      <c r="O1429" s="1"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s="1">
        <v>184.2</v>
      </c>
      <c r="F1430" s="2">
        <v>45711</v>
      </c>
      <c r="G1430" s="2">
        <v>45713</v>
      </c>
      <c r="H1430" s="1" t="s">
        <v>23</v>
      </c>
      <c r="I1430" s="1" t="s">
        <v>35</v>
      </c>
      <c r="J1430" s="1">
        <v>4</v>
      </c>
      <c r="K1430" s="1" t="s">
        <v>19</v>
      </c>
      <c r="L1430" s="1" t="s">
        <v>115</v>
      </c>
      <c r="M1430" s="1">
        <f>orders[[#This Row],[Ship Date]]-orders[[#This Row],[Order Date]]</f>
        <v>2</v>
      </c>
      <c r="N1430" s="1">
        <f>WEEKNUM(orders[[#This Row],[Order Date]])</f>
        <v>9</v>
      </c>
      <c r="O1430" s="1"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s="1">
        <v>195.29999999999998</v>
      </c>
      <c r="F1431" s="2">
        <v>45711</v>
      </c>
      <c r="G1431" s="2">
        <v>45714</v>
      </c>
      <c r="H1431" s="1" t="s">
        <v>23</v>
      </c>
      <c r="I1431" s="1" t="s">
        <v>18</v>
      </c>
      <c r="J1431" s="1">
        <v>4</v>
      </c>
      <c r="K1431" s="1" t="s">
        <v>19</v>
      </c>
      <c r="L1431" s="1" t="s">
        <v>24</v>
      </c>
      <c r="M1431" s="1">
        <f>orders[[#This Row],[Ship Date]]-orders[[#This Row],[Order Date]]</f>
        <v>3</v>
      </c>
      <c r="N1431" s="1">
        <f>WEEKNUM(orders[[#This Row],[Order Date]])</f>
        <v>9</v>
      </c>
      <c r="O1431" s="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s="1">
        <v>142.1</v>
      </c>
      <c r="F1432" s="2">
        <v>45711</v>
      </c>
      <c r="G1432" s="2">
        <v>45712</v>
      </c>
      <c r="H1432" s="1" t="s">
        <v>27</v>
      </c>
      <c r="I1432" s="1" t="s">
        <v>40</v>
      </c>
      <c r="J1432" s="1">
        <v>5</v>
      </c>
      <c r="K1432" s="1" t="s">
        <v>19</v>
      </c>
      <c r="L1432" s="1" t="s">
        <v>28</v>
      </c>
      <c r="M1432" s="1">
        <f>orders[[#This Row],[Ship Date]]-orders[[#This Row],[Order Date]]</f>
        <v>1</v>
      </c>
      <c r="N1432" s="1">
        <f>WEEKNUM(orders[[#This Row],[Order Date]])</f>
        <v>9</v>
      </c>
      <c r="O1432" s="1"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s="1">
        <v>59.6</v>
      </c>
      <c r="F1433" s="2">
        <v>45711</v>
      </c>
      <c r="G1433" s="2">
        <v>45713</v>
      </c>
      <c r="H1433" s="1" t="s">
        <v>27</v>
      </c>
      <c r="I1433" s="1" t="s">
        <v>35</v>
      </c>
      <c r="J1433" s="1">
        <v>5</v>
      </c>
      <c r="K1433" s="1" t="s">
        <v>19</v>
      </c>
      <c r="L1433" s="1" t="s">
        <v>334</v>
      </c>
      <c r="M1433" s="1">
        <f>orders[[#This Row],[Ship Date]]-orders[[#This Row],[Order Date]]</f>
        <v>2</v>
      </c>
      <c r="N1433" s="1">
        <f>WEEKNUM(orders[[#This Row],[Order Date]])</f>
        <v>9</v>
      </c>
      <c r="O1433" s="1"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s="1">
        <v>48.4</v>
      </c>
      <c r="F1434" s="2">
        <v>45711</v>
      </c>
      <c r="G1434" s="2">
        <v>45713</v>
      </c>
      <c r="H1434" s="1" t="s">
        <v>27</v>
      </c>
      <c r="I1434" s="1" t="s">
        <v>51</v>
      </c>
      <c r="J1434" s="1">
        <v>5</v>
      </c>
      <c r="K1434" s="1" t="s">
        <v>19</v>
      </c>
      <c r="L1434" s="1" t="s">
        <v>33</v>
      </c>
      <c r="M1434" s="1">
        <f>orders[[#This Row],[Ship Date]]-orders[[#This Row],[Order Date]]</f>
        <v>2</v>
      </c>
      <c r="N1434" s="1">
        <f>WEEKNUM(orders[[#This Row],[Order Date]])</f>
        <v>9</v>
      </c>
      <c r="O1434" s="1"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s="1">
        <v>57.3</v>
      </c>
      <c r="F1435" s="2">
        <v>45711</v>
      </c>
      <c r="G1435" s="2">
        <v>45713</v>
      </c>
      <c r="H1435" s="1" t="s">
        <v>23</v>
      </c>
      <c r="I1435" s="1" t="s">
        <v>18</v>
      </c>
      <c r="J1435" s="1">
        <v>4</v>
      </c>
      <c r="K1435" s="1" t="s">
        <v>19</v>
      </c>
      <c r="L1435" s="1" t="s">
        <v>33</v>
      </c>
      <c r="M1435" s="1">
        <f>orders[[#This Row],[Ship Date]]-orders[[#This Row],[Order Date]]</f>
        <v>2</v>
      </c>
      <c r="N1435" s="1">
        <f>WEEKNUM(orders[[#This Row],[Order Date]])</f>
        <v>9</v>
      </c>
      <c r="O1435" s="1"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s="1">
        <v>108.9</v>
      </c>
      <c r="F1436" s="2">
        <v>45711</v>
      </c>
      <c r="G1436" s="2">
        <v>45713</v>
      </c>
      <c r="H1436" s="1" t="s">
        <v>27</v>
      </c>
      <c r="I1436" s="1" t="s">
        <v>35</v>
      </c>
      <c r="J1436" s="1">
        <v>4</v>
      </c>
      <c r="K1436" s="1" t="s">
        <v>19</v>
      </c>
      <c r="L1436" s="1" t="s">
        <v>33</v>
      </c>
      <c r="M1436" s="1">
        <f>orders[[#This Row],[Ship Date]]-orders[[#This Row],[Order Date]]</f>
        <v>2</v>
      </c>
      <c r="N1436" s="1">
        <f>WEEKNUM(orders[[#This Row],[Order Date]])</f>
        <v>9</v>
      </c>
      <c r="O1436" s="1"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s="1">
        <v>253.5</v>
      </c>
      <c r="F1437" s="2">
        <v>45711</v>
      </c>
      <c r="G1437" s="2">
        <v>45712</v>
      </c>
      <c r="H1437" s="1" t="s">
        <v>27</v>
      </c>
      <c r="I1437" s="1" t="s">
        <v>18</v>
      </c>
      <c r="J1437" s="1">
        <v>4</v>
      </c>
      <c r="K1437" s="1" t="s">
        <v>19</v>
      </c>
      <c r="L1437" s="1" t="s">
        <v>33</v>
      </c>
      <c r="M1437" s="1">
        <f>orders[[#This Row],[Ship Date]]-orders[[#This Row],[Order Date]]</f>
        <v>1</v>
      </c>
      <c r="N1437" s="1">
        <f>WEEKNUM(orders[[#This Row],[Order Date]])</f>
        <v>9</v>
      </c>
      <c r="O1437" s="1"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s="1">
        <v>594.9</v>
      </c>
      <c r="F1438" s="2">
        <v>45711</v>
      </c>
      <c r="G1438" s="2">
        <v>45725</v>
      </c>
      <c r="H1438" s="1" t="s">
        <v>27</v>
      </c>
      <c r="I1438" s="1" t="s">
        <v>35</v>
      </c>
      <c r="J1438" s="1">
        <v>4</v>
      </c>
      <c r="K1438" s="1" t="s">
        <v>19</v>
      </c>
      <c r="L1438" s="1" t="s">
        <v>33</v>
      </c>
      <c r="M1438" s="1">
        <f>orders[[#This Row],[Ship Date]]-orders[[#This Row],[Order Date]]</f>
        <v>14</v>
      </c>
      <c r="N1438" s="1">
        <f>WEEKNUM(orders[[#This Row],[Order Date]])</f>
        <v>9</v>
      </c>
      <c r="O1438" s="1"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s="1">
        <v>183.5</v>
      </c>
      <c r="F1439" s="2">
        <v>45711</v>
      </c>
      <c r="G1439" s="2">
        <v>45715</v>
      </c>
      <c r="H1439" s="1" t="s">
        <v>27</v>
      </c>
      <c r="I1439" s="1" t="s">
        <v>70</v>
      </c>
      <c r="J1439" s="1">
        <v>4</v>
      </c>
      <c r="K1439" s="1" t="s">
        <v>19</v>
      </c>
      <c r="L1439" s="1" t="s">
        <v>33</v>
      </c>
      <c r="M1439" s="1">
        <f>orders[[#This Row],[Ship Date]]-orders[[#This Row],[Order Date]]</f>
        <v>4</v>
      </c>
      <c r="N1439" s="1">
        <f>WEEKNUM(orders[[#This Row],[Order Date]])</f>
        <v>9</v>
      </c>
      <c r="O1439" s="1"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s="1">
        <v>328.1</v>
      </c>
      <c r="F1440" s="2">
        <v>45711</v>
      </c>
      <c r="G1440" s="2">
        <v>45713</v>
      </c>
      <c r="H1440" s="1" t="s">
        <v>23</v>
      </c>
      <c r="I1440" s="1" t="s">
        <v>18</v>
      </c>
      <c r="J1440" s="1">
        <v>4</v>
      </c>
      <c r="K1440" s="1" t="s">
        <v>19</v>
      </c>
      <c r="L1440" s="1" t="s">
        <v>545</v>
      </c>
      <c r="M1440" s="1">
        <f>orders[[#This Row],[Ship Date]]-orders[[#This Row],[Order Date]]</f>
        <v>2</v>
      </c>
      <c r="N1440" s="1">
        <f>WEEKNUM(orders[[#This Row],[Order Date]])</f>
        <v>9</v>
      </c>
      <c r="O1440" s="1"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s="1">
        <v>82.8</v>
      </c>
      <c r="F1441" s="2">
        <v>45711</v>
      </c>
      <c r="G1441" s="2">
        <v>45712</v>
      </c>
      <c r="H1441" s="1" t="s">
        <v>23</v>
      </c>
      <c r="I1441" s="1" t="s">
        <v>35</v>
      </c>
      <c r="J1441" s="1">
        <v>5</v>
      </c>
      <c r="K1441" s="1" t="s">
        <v>19</v>
      </c>
      <c r="L1441" s="1" t="s">
        <v>55</v>
      </c>
      <c r="M1441" s="1">
        <f>orders[[#This Row],[Ship Date]]-orders[[#This Row],[Order Date]]</f>
        <v>1</v>
      </c>
      <c r="N1441" s="1">
        <f>WEEKNUM(orders[[#This Row],[Order Date]])</f>
        <v>9</v>
      </c>
      <c r="O1441" s="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s="1">
        <v>164.10000000000002</v>
      </c>
      <c r="F1442" s="2">
        <v>45711</v>
      </c>
      <c r="G1442" s="2">
        <v>45711</v>
      </c>
      <c r="H1442" s="1" t="s">
        <v>89</v>
      </c>
      <c r="I1442" s="1" t="s">
        <v>35</v>
      </c>
      <c r="J1442" s="1">
        <v>2</v>
      </c>
      <c r="K1442" s="1" t="s">
        <v>19</v>
      </c>
      <c r="L1442" s="1" t="s">
        <v>55</v>
      </c>
      <c r="M1442" s="1">
        <f>orders[[#This Row],[Ship Date]]-orders[[#This Row],[Order Date]]</f>
        <v>0</v>
      </c>
      <c r="N1442" s="1">
        <f>WEEKNUM(orders[[#This Row],[Order Date]])</f>
        <v>9</v>
      </c>
      <c r="O1442" s="1"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s="1">
        <v>39.6</v>
      </c>
      <c r="F1443" s="2">
        <v>45711</v>
      </c>
      <c r="G1443" s="2">
        <v>45715</v>
      </c>
      <c r="H1443" s="1" t="s">
        <v>27</v>
      </c>
      <c r="I1443" s="1" t="s">
        <v>70</v>
      </c>
      <c r="J1443" s="1">
        <v>3</v>
      </c>
      <c r="K1443" s="1" t="s">
        <v>19</v>
      </c>
      <c r="L1443" s="1" t="s">
        <v>62</v>
      </c>
      <c r="M1443" s="1">
        <f>orders[[#This Row],[Ship Date]]-orders[[#This Row],[Order Date]]</f>
        <v>4</v>
      </c>
      <c r="N1443" s="1">
        <f>WEEKNUM(orders[[#This Row],[Order Date]])</f>
        <v>9</v>
      </c>
      <c r="O1443" s="1"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s="1">
        <v>41.1</v>
      </c>
      <c r="F1444" s="2">
        <v>45711</v>
      </c>
      <c r="G1444" s="2">
        <v>45713</v>
      </c>
      <c r="H1444" s="1" t="s">
        <v>27</v>
      </c>
      <c r="I1444" s="1" t="s">
        <v>18</v>
      </c>
      <c r="J1444" s="1">
        <v>5</v>
      </c>
      <c r="K1444" s="1" t="s">
        <v>19</v>
      </c>
      <c r="L1444" s="1" t="s">
        <v>62</v>
      </c>
      <c r="M1444" s="1">
        <f>orders[[#This Row],[Ship Date]]-orders[[#This Row],[Order Date]]</f>
        <v>2</v>
      </c>
      <c r="N1444" s="1">
        <f>WEEKNUM(orders[[#This Row],[Order Date]])</f>
        <v>9</v>
      </c>
      <c r="O1444" s="1"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s="1">
        <v>348</v>
      </c>
      <c r="F1445" s="2">
        <v>45711</v>
      </c>
      <c r="G1445" s="2">
        <v>45715</v>
      </c>
      <c r="H1445" s="1" t="s">
        <v>27</v>
      </c>
      <c r="I1445" s="1" t="s">
        <v>51</v>
      </c>
      <c r="J1445" s="1">
        <v>4</v>
      </c>
      <c r="K1445" s="1" t="s">
        <v>19</v>
      </c>
      <c r="L1445" s="1" t="s">
        <v>62</v>
      </c>
      <c r="M1445" s="1">
        <f>orders[[#This Row],[Ship Date]]-orders[[#This Row],[Order Date]]</f>
        <v>4</v>
      </c>
      <c r="N1445" s="1">
        <f>WEEKNUM(orders[[#This Row],[Order Date]])</f>
        <v>9</v>
      </c>
      <c r="O1445" s="1"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s="1">
        <v>266</v>
      </c>
      <c r="F1446" s="2">
        <v>45711</v>
      </c>
      <c r="G1446" s="2">
        <v>45712</v>
      </c>
      <c r="H1446" s="1" t="s">
        <v>23</v>
      </c>
      <c r="I1446" s="1" t="s">
        <v>18</v>
      </c>
      <c r="J1446" s="1">
        <v>4</v>
      </c>
      <c r="K1446" s="1" t="s">
        <v>19</v>
      </c>
      <c r="L1446" s="1" t="s">
        <v>201</v>
      </c>
      <c r="M1446" s="1">
        <f>orders[[#This Row],[Ship Date]]-orders[[#This Row],[Order Date]]</f>
        <v>1</v>
      </c>
      <c r="N1446" s="1">
        <f>WEEKNUM(orders[[#This Row],[Order Date]])</f>
        <v>9</v>
      </c>
      <c r="O1446" s="1"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s="1">
        <v>205.6</v>
      </c>
      <c r="F1447" s="2">
        <v>45711</v>
      </c>
      <c r="G1447" s="2">
        <v>45711</v>
      </c>
      <c r="H1447" s="1" t="s">
        <v>27</v>
      </c>
      <c r="I1447" s="1" t="s">
        <v>18</v>
      </c>
      <c r="J1447" s="1">
        <v>4</v>
      </c>
      <c r="K1447" s="1" t="s">
        <v>19</v>
      </c>
      <c r="L1447" s="1" t="s">
        <v>201</v>
      </c>
      <c r="M1447" s="1">
        <f>orders[[#This Row],[Ship Date]]-orders[[#This Row],[Order Date]]</f>
        <v>0</v>
      </c>
      <c r="N1447" s="1">
        <f>WEEKNUM(orders[[#This Row],[Order Date]])</f>
        <v>9</v>
      </c>
      <c r="O1447" s="1"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s="1">
        <v>79.599999999999994</v>
      </c>
      <c r="F1448" s="2">
        <v>45711</v>
      </c>
      <c r="G1448" s="2">
        <v>45714</v>
      </c>
      <c r="H1448" s="1" t="s">
        <v>23</v>
      </c>
      <c r="I1448" s="1" t="s">
        <v>51</v>
      </c>
      <c r="J1448" s="1">
        <v>3</v>
      </c>
      <c r="K1448" s="1" t="s">
        <v>19</v>
      </c>
      <c r="L1448" s="1" t="s">
        <v>82</v>
      </c>
      <c r="M1448" s="1">
        <f>orders[[#This Row],[Ship Date]]-orders[[#This Row],[Order Date]]</f>
        <v>3</v>
      </c>
      <c r="N1448" s="1">
        <f>WEEKNUM(orders[[#This Row],[Order Date]])</f>
        <v>9</v>
      </c>
      <c r="O1448" s="1"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s="1">
        <v>305</v>
      </c>
      <c r="F1449" s="2">
        <v>45711</v>
      </c>
      <c r="G1449" s="2">
        <v>45712</v>
      </c>
      <c r="H1449" s="1" t="s">
        <v>17</v>
      </c>
      <c r="I1449" s="1" t="s">
        <v>18</v>
      </c>
      <c r="J1449" s="1">
        <v>5</v>
      </c>
      <c r="K1449" s="1" t="s">
        <v>19</v>
      </c>
      <c r="L1449" s="1" t="s">
        <v>115</v>
      </c>
      <c r="M1449" s="1">
        <f>orders[[#This Row],[Ship Date]]-orders[[#This Row],[Order Date]]</f>
        <v>1</v>
      </c>
      <c r="N1449" s="1">
        <f>WEEKNUM(orders[[#This Row],[Order Date]])</f>
        <v>9</v>
      </c>
      <c r="O1449" s="1"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s="1">
        <v>166.1</v>
      </c>
      <c r="F1450" s="2">
        <v>45712</v>
      </c>
      <c r="G1450" s="2">
        <v>45717</v>
      </c>
      <c r="H1450" s="1" t="s">
        <v>23</v>
      </c>
      <c r="I1450" s="1" t="s">
        <v>51</v>
      </c>
      <c r="J1450" s="1">
        <v>5</v>
      </c>
      <c r="K1450" s="1" t="s">
        <v>19</v>
      </c>
      <c r="L1450" s="1" t="s">
        <v>28</v>
      </c>
      <c r="M1450" s="1">
        <f>orders[[#This Row],[Ship Date]]-orders[[#This Row],[Order Date]]</f>
        <v>5</v>
      </c>
      <c r="N1450" s="1">
        <f>WEEKNUM(orders[[#This Row],[Order Date]])</f>
        <v>9</v>
      </c>
      <c r="O1450" s="1"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s="1">
        <v>499.09999999999997</v>
      </c>
      <c r="F1451" s="2">
        <v>45712</v>
      </c>
      <c r="G1451" s="2">
        <v>45713</v>
      </c>
      <c r="H1451" s="1" t="s">
        <v>23</v>
      </c>
      <c r="I1451" s="1" t="s">
        <v>70</v>
      </c>
      <c r="J1451" s="1">
        <v>4</v>
      </c>
      <c r="K1451" s="1" t="s">
        <v>19</v>
      </c>
      <c r="L1451" s="1" t="s">
        <v>33</v>
      </c>
      <c r="M1451" s="1">
        <f>orders[[#This Row],[Ship Date]]-orders[[#This Row],[Order Date]]</f>
        <v>1</v>
      </c>
      <c r="N1451" s="1">
        <f>WEEKNUM(orders[[#This Row],[Order Date]])</f>
        <v>9</v>
      </c>
      <c r="O1451" s="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s="1">
        <v>25.8</v>
      </c>
      <c r="F1452" s="2">
        <v>45712</v>
      </c>
      <c r="G1452" s="2">
        <v>45714</v>
      </c>
      <c r="H1452" s="1" t="s">
        <v>27</v>
      </c>
      <c r="I1452" s="1" t="s">
        <v>18</v>
      </c>
      <c r="J1452" s="1">
        <v>5</v>
      </c>
      <c r="K1452" s="1" t="s">
        <v>19</v>
      </c>
      <c r="L1452" s="1" t="s">
        <v>33</v>
      </c>
      <c r="M1452" s="1">
        <f>orders[[#This Row],[Ship Date]]-orders[[#This Row],[Order Date]]</f>
        <v>2</v>
      </c>
      <c r="N1452" s="1">
        <f>WEEKNUM(orders[[#This Row],[Order Date]])</f>
        <v>9</v>
      </c>
      <c r="O1452" s="1"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s="1">
        <v>198</v>
      </c>
      <c r="F1453" s="2">
        <v>45712</v>
      </c>
      <c r="G1453" s="2">
        <v>45714</v>
      </c>
      <c r="H1453" s="1" t="s">
        <v>23</v>
      </c>
      <c r="I1453" s="1" t="s">
        <v>35</v>
      </c>
      <c r="J1453" s="1">
        <v>5</v>
      </c>
      <c r="K1453" s="1" t="s">
        <v>19</v>
      </c>
      <c r="L1453" s="1" t="s">
        <v>33</v>
      </c>
      <c r="M1453" s="1">
        <f>orders[[#This Row],[Ship Date]]-orders[[#This Row],[Order Date]]</f>
        <v>2</v>
      </c>
      <c r="N1453" s="1">
        <f>WEEKNUM(orders[[#This Row],[Order Date]])</f>
        <v>9</v>
      </c>
      <c r="O1453" s="1"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s="1">
        <v>128</v>
      </c>
      <c r="F1454" s="2">
        <v>45712</v>
      </c>
      <c r="G1454" s="2">
        <v>45712</v>
      </c>
      <c r="H1454" s="1" t="s">
        <v>23</v>
      </c>
      <c r="I1454" s="1" t="s">
        <v>35</v>
      </c>
      <c r="J1454" s="1">
        <v>3</v>
      </c>
      <c r="K1454" s="1" t="s">
        <v>19</v>
      </c>
      <c r="L1454" s="1" t="s">
        <v>33</v>
      </c>
      <c r="M1454" s="1">
        <f>orders[[#This Row],[Ship Date]]-orders[[#This Row],[Order Date]]</f>
        <v>0</v>
      </c>
      <c r="N1454" s="1">
        <f>WEEKNUM(orders[[#This Row],[Order Date]])</f>
        <v>9</v>
      </c>
      <c r="O1454" s="1"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s="1">
        <v>61.2</v>
      </c>
      <c r="F1455" s="2">
        <v>45712</v>
      </c>
      <c r="G1455" s="2">
        <v>45715</v>
      </c>
      <c r="H1455" s="1" t="s">
        <v>23</v>
      </c>
      <c r="I1455" s="1" t="s">
        <v>18</v>
      </c>
      <c r="J1455" s="1">
        <v>5</v>
      </c>
      <c r="K1455" s="1" t="s">
        <v>19</v>
      </c>
      <c r="L1455" s="1" t="s">
        <v>33</v>
      </c>
      <c r="M1455" s="1">
        <f>orders[[#This Row],[Ship Date]]-orders[[#This Row],[Order Date]]</f>
        <v>3</v>
      </c>
      <c r="N1455" s="1">
        <f>WEEKNUM(orders[[#This Row],[Order Date]])</f>
        <v>9</v>
      </c>
      <c r="O1455" s="1"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s="1">
        <v>42.6</v>
      </c>
      <c r="F1456" s="2">
        <v>45712</v>
      </c>
      <c r="G1456" s="2">
        <v>45713</v>
      </c>
      <c r="H1456" s="1" t="s">
        <v>23</v>
      </c>
      <c r="I1456" s="1" t="s">
        <v>18</v>
      </c>
      <c r="J1456" s="1">
        <v>3</v>
      </c>
      <c r="K1456" s="1" t="s">
        <v>19</v>
      </c>
      <c r="L1456" s="1" t="s">
        <v>33</v>
      </c>
      <c r="M1456" s="1">
        <f>orders[[#This Row],[Ship Date]]-orders[[#This Row],[Order Date]]</f>
        <v>1</v>
      </c>
      <c r="N1456" s="1">
        <f>WEEKNUM(orders[[#This Row],[Order Date]])</f>
        <v>9</v>
      </c>
      <c r="O1456" s="1"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s="1">
        <v>40.799999999999997</v>
      </c>
      <c r="F1457" s="2">
        <v>45712</v>
      </c>
      <c r="G1457" s="2">
        <v>45714</v>
      </c>
      <c r="H1457" s="1" t="s">
        <v>27</v>
      </c>
      <c r="I1457" s="1" t="s">
        <v>70</v>
      </c>
      <c r="J1457" s="1">
        <v>4</v>
      </c>
      <c r="K1457" s="1" t="s">
        <v>19</v>
      </c>
      <c r="L1457" s="1" t="s">
        <v>33</v>
      </c>
      <c r="M1457" s="1">
        <f>orders[[#This Row],[Ship Date]]-orders[[#This Row],[Order Date]]</f>
        <v>2</v>
      </c>
      <c r="N1457" s="1">
        <f>WEEKNUM(orders[[#This Row],[Order Date]])</f>
        <v>9</v>
      </c>
      <c r="O1457" s="1"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s="1">
        <v>110.8</v>
      </c>
      <c r="F1458" s="2">
        <v>45712</v>
      </c>
      <c r="G1458" s="2">
        <v>45713</v>
      </c>
      <c r="H1458" s="1" t="s">
        <v>27</v>
      </c>
      <c r="I1458" s="1" t="s">
        <v>18</v>
      </c>
      <c r="J1458" s="1">
        <v>3</v>
      </c>
      <c r="K1458" s="1" t="s">
        <v>19</v>
      </c>
      <c r="L1458" s="1" t="s">
        <v>33</v>
      </c>
      <c r="M1458" s="1">
        <f>orders[[#This Row],[Ship Date]]-orders[[#This Row],[Order Date]]</f>
        <v>1</v>
      </c>
      <c r="N1458" s="1">
        <f>WEEKNUM(orders[[#This Row],[Order Date]])</f>
        <v>9</v>
      </c>
      <c r="O1458" s="1"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s="1">
        <v>129.19999999999999</v>
      </c>
      <c r="F1459" s="2">
        <v>45712</v>
      </c>
      <c r="G1459" s="2">
        <v>45713</v>
      </c>
      <c r="H1459" s="1" t="s">
        <v>23</v>
      </c>
      <c r="I1459" s="1" t="s">
        <v>18</v>
      </c>
      <c r="J1459" s="1">
        <v>3</v>
      </c>
      <c r="K1459" s="1" t="s">
        <v>19</v>
      </c>
      <c r="L1459" s="1" t="s">
        <v>33</v>
      </c>
      <c r="M1459" s="1">
        <f>orders[[#This Row],[Ship Date]]-orders[[#This Row],[Order Date]]</f>
        <v>1</v>
      </c>
      <c r="N1459" s="1">
        <f>WEEKNUM(orders[[#This Row],[Order Date]])</f>
        <v>9</v>
      </c>
      <c r="O1459" s="1"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s="1">
        <v>1457.6</v>
      </c>
      <c r="F1460" s="2">
        <v>45712</v>
      </c>
      <c r="G1460" s="2">
        <v>45713</v>
      </c>
      <c r="H1460" s="1" t="s">
        <v>27</v>
      </c>
      <c r="I1460" s="1" t="s">
        <v>35</v>
      </c>
      <c r="J1460" s="1">
        <v>5</v>
      </c>
      <c r="K1460" s="1" t="s">
        <v>19</v>
      </c>
      <c r="L1460" s="1" t="s">
        <v>33</v>
      </c>
      <c r="M1460" s="1">
        <f>orders[[#This Row],[Ship Date]]-orders[[#This Row],[Order Date]]</f>
        <v>1</v>
      </c>
      <c r="N1460" s="1">
        <f>WEEKNUM(orders[[#This Row],[Order Date]])</f>
        <v>9</v>
      </c>
      <c r="O1460" s="1"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s="1">
        <v>39.5</v>
      </c>
      <c r="F1461" s="2">
        <v>45712</v>
      </c>
      <c r="G1461" s="2">
        <v>45720</v>
      </c>
      <c r="H1461" s="1" t="s">
        <v>27</v>
      </c>
      <c r="I1461" s="1" t="s">
        <v>18</v>
      </c>
      <c r="J1461" s="1">
        <v>4</v>
      </c>
      <c r="K1461" s="1" t="s">
        <v>19</v>
      </c>
      <c r="L1461" s="1" t="s">
        <v>33</v>
      </c>
      <c r="M1461" s="1">
        <f>orders[[#This Row],[Ship Date]]-orders[[#This Row],[Order Date]]</f>
        <v>8</v>
      </c>
      <c r="N1461" s="1">
        <f>WEEKNUM(orders[[#This Row],[Order Date]])</f>
        <v>9</v>
      </c>
      <c r="O1461" s="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s="1">
        <v>43.6</v>
      </c>
      <c r="F1462" s="2">
        <v>45712</v>
      </c>
      <c r="G1462" s="2">
        <v>45716</v>
      </c>
      <c r="H1462" s="1" t="s">
        <v>23</v>
      </c>
      <c r="I1462" s="1" t="s">
        <v>70</v>
      </c>
      <c r="J1462" s="1">
        <v>5</v>
      </c>
      <c r="K1462" s="1" t="s">
        <v>19</v>
      </c>
      <c r="L1462" s="1" t="s">
        <v>33</v>
      </c>
      <c r="M1462" s="1">
        <f>orders[[#This Row],[Ship Date]]-orders[[#This Row],[Order Date]]</f>
        <v>4</v>
      </c>
      <c r="N1462" s="1">
        <f>WEEKNUM(orders[[#This Row],[Order Date]])</f>
        <v>9</v>
      </c>
      <c r="O1462" s="1"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s="1">
        <v>102</v>
      </c>
      <c r="F1463" s="2">
        <v>45712</v>
      </c>
      <c r="G1463" s="2">
        <v>45715</v>
      </c>
      <c r="H1463" s="1" t="s">
        <v>23</v>
      </c>
      <c r="I1463" s="1" t="s">
        <v>51</v>
      </c>
      <c r="J1463" s="1">
        <v>5</v>
      </c>
      <c r="K1463" s="1" t="s">
        <v>19</v>
      </c>
      <c r="L1463" s="1" t="s">
        <v>33</v>
      </c>
      <c r="M1463" s="1">
        <f>orders[[#This Row],[Ship Date]]-orders[[#This Row],[Order Date]]</f>
        <v>3</v>
      </c>
      <c r="N1463" s="1">
        <f>WEEKNUM(orders[[#This Row],[Order Date]])</f>
        <v>9</v>
      </c>
      <c r="O1463" s="1"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s="1">
        <v>92.6</v>
      </c>
      <c r="F1464" s="2">
        <v>45712</v>
      </c>
      <c r="G1464" s="2">
        <v>45715</v>
      </c>
      <c r="H1464" s="1" t="s">
        <v>27</v>
      </c>
      <c r="I1464" s="1" t="s">
        <v>18</v>
      </c>
      <c r="J1464" s="1">
        <v>5</v>
      </c>
      <c r="K1464" s="1" t="s">
        <v>19</v>
      </c>
      <c r="L1464" s="1" t="s">
        <v>338</v>
      </c>
      <c r="M1464" s="1">
        <f>orders[[#This Row],[Ship Date]]-orders[[#This Row],[Order Date]]</f>
        <v>3</v>
      </c>
      <c r="N1464" s="1">
        <f>WEEKNUM(orders[[#This Row],[Order Date]])</f>
        <v>9</v>
      </c>
      <c r="O1464" s="1"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s="1">
        <v>62.2</v>
      </c>
      <c r="F1465" s="2">
        <v>45712</v>
      </c>
      <c r="G1465" s="2">
        <v>45717</v>
      </c>
      <c r="H1465" s="1" t="s">
        <v>17</v>
      </c>
      <c r="I1465" s="1" t="s">
        <v>35</v>
      </c>
      <c r="J1465" s="1">
        <v>1</v>
      </c>
      <c r="K1465" s="1" t="s">
        <v>19</v>
      </c>
      <c r="L1465" s="1" t="s">
        <v>158</v>
      </c>
      <c r="M1465" s="1">
        <f>orders[[#This Row],[Ship Date]]-orders[[#This Row],[Order Date]]</f>
        <v>5</v>
      </c>
      <c r="N1465" s="1">
        <f>WEEKNUM(orders[[#This Row],[Order Date]])</f>
        <v>9</v>
      </c>
      <c r="O1465" s="1"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s="1">
        <v>169.2</v>
      </c>
      <c r="F1466" s="2">
        <v>45712</v>
      </c>
      <c r="G1466" s="2">
        <v>45713</v>
      </c>
      <c r="H1466" s="1" t="s">
        <v>17</v>
      </c>
      <c r="I1466" s="1" t="s">
        <v>35</v>
      </c>
      <c r="J1466" s="1">
        <v>4</v>
      </c>
      <c r="K1466" s="1" t="s">
        <v>19</v>
      </c>
      <c r="L1466" s="1" t="s">
        <v>55</v>
      </c>
      <c r="M1466" s="1">
        <f>orders[[#This Row],[Ship Date]]-orders[[#This Row],[Order Date]]</f>
        <v>1</v>
      </c>
      <c r="N1466" s="1">
        <f>WEEKNUM(orders[[#This Row],[Order Date]])</f>
        <v>9</v>
      </c>
      <c r="O1466" s="1"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s="1">
        <v>41.9</v>
      </c>
      <c r="F1467" s="2">
        <v>45712</v>
      </c>
      <c r="G1467" s="2">
        <v>45712</v>
      </c>
      <c r="H1467" s="1" t="s">
        <v>23</v>
      </c>
      <c r="I1467" s="1" t="s">
        <v>35</v>
      </c>
      <c r="J1467" s="1">
        <v>4</v>
      </c>
      <c r="K1467" s="1" t="s">
        <v>19</v>
      </c>
      <c r="L1467" s="1" t="s">
        <v>55</v>
      </c>
      <c r="M1467" s="1">
        <f>orders[[#This Row],[Ship Date]]-orders[[#This Row],[Order Date]]</f>
        <v>0</v>
      </c>
      <c r="N1467" s="1">
        <f>WEEKNUM(orders[[#This Row],[Order Date]])</f>
        <v>9</v>
      </c>
      <c r="O1467" s="1"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s="1">
        <v>321.3</v>
      </c>
      <c r="F1468" s="2">
        <v>45712</v>
      </c>
      <c r="G1468" s="2">
        <v>45713</v>
      </c>
      <c r="H1468" s="1" t="s">
        <v>23</v>
      </c>
      <c r="I1468" s="1" t="s">
        <v>51</v>
      </c>
      <c r="J1468" s="1">
        <v>5</v>
      </c>
      <c r="K1468" s="1" t="s">
        <v>19</v>
      </c>
      <c r="L1468" s="1" t="s">
        <v>62</v>
      </c>
      <c r="M1468" s="1">
        <f>orders[[#This Row],[Ship Date]]-orders[[#This Row],[Order Date]]</f>
        <v>1</v>
      </c>
      <c r="N1468" s="1">
        <f>WEEKNUM(orders[[#This Row],[Order Date]])</f>
        <v>9</v>
      </c>
      <c r="O1468" s="1"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s="1">
        <v>219.6</v>
      </c>
      <c r="F1469" s="2">
        <v>45712</v>
      </c>
      <c r="G1469" s="2">
        <v>45716</v>
      </c>
      <c r="H1469" s="1" t="s">
        <v>23</v>
      </c>
      <c r="I1469" s="1" t="s">
        <v>51</v>
      </c>
      <c r="J1469" s="1">
        <v>5</v>
      </c>
      <c r="K1469" s="1" t="s">
        <v>19</v>
      </c>
      <c r="L1469" s="1" t="s">
        <v>62</v>
      </c>
      <c r="M1469" s="1">
        <f>orders[[#This Row],[Ship Date]]-orders[[#This Row],[Order Date]]</f>
        <v>4</v>
      </c>
      <c r="N1469" s="1">
        <f>WEEKNUM(orders[[#This Row],[Order Date]])</f>
        <v>9</v>
      </c>
      <c r="O1469" s="1"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s="1">
        <v>18.2</v>
      </c>
      <c r="F1470" s="2">
        <v>45712</v>
      </c>
      <c r="G1470" s="2">
        <v>45713</v>
      </c>
      <c r="H1470" s="1" t="s">
        <v>27</v>
      </c>
      <c r="I1470" s="1" t="s">
        <v>40</v>
      </c>
      <c r="J1470" s="1">
        <v>5</v>
      </c>
      <c r="K1470" s="1" t="s">
        <v>19</v>
      </c>
      <c r="L1470" s="1" t="s">
        <v>62</v>
      </c>
      <c r="M1470" s="1">
        <f>orders[[#This Row],[Ship Date]]-orders[[#This Row],[Order Date]]</f>
        <v>1</v>
      </c>
      <c r="N1470" s="1">
        <f>WEEKNUM(orders[[#This Row],[Order Date]])</f>
        <v>9</v>
      </c>
      <c r="O1470" s="1"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s="1">
        <v>204.8</v>
      </c>
      <c r="F1471" s="2">
        <v>45712</v>
      </c>
      <c r="G1471" s="2">
        <v>45713</v>
      </c>
      <c r="H1471" s="1" t="s">
        <v>27</v>
      </c>
      <c r="I1471" s="1" t="s">
        <v>18</v>
      </c>
      <c r="J1471" s="1">
        <v>4</v>
      </c>
      <c r="K1471" s="1" t="s">
        <v>19</v>
      </c>
      <c r="L1471" s="1" t="s">
        <v>62</v>
      </c>
      <c r="M1471" s="1">
        <f>orders[[#This Row],[Ship Date]]-orders[[#This Row],[Order Date]]</f>
        <v>1</v>
      </c>
      <c r="N1471" s="1">
        <f>WEEKNUM(orders[[#This Row],[Order Date]])</f>
        <v>9</v>
      </c>
      <c r="O1471" s="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s="1">
        <v>59.7</v>
      </c>
      <c r="F1472" s="2">
        <v>45712</v>
      </c>
      <c r="G1472" s="2">
        <v>45715</v>
      </c>
      <c r="H1472" s="1" t="s">
        <v>23</v>
      </c>
      <c r="I1472" s="1" t="s">
        <v>18</v>
      </c>
      <c r="J1472" s="1">
        <v>5</v>
      </c>
      <c r="K1472" s="1" t="s">
        <v>19</v>
      </c>
      <c r="L1472" s="1" t="s">
        <v>62</v>
      </c>
      <c r="M1472" s="1">
        <f>orders[[#This Row],[Ship Date]]-orders[[#This Row],[Order Date]]</f>
        <v>3</v>
      </c>
      <c r="N1472" s="1">
        <f>WEEKNUM(orders[[#This Row],[Order Date]])</f>
        <v>9</v>
      </c>
      <c r="O1472" s="1"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s="1">
        <v>67.2</v>
      </c>
      <c r="F1473" s="2">
        <v>45712</v>
      </c>
      <c r="G1473" s="2">
        <v>45714</v>
      </c>
      <c r="H1473" s="1" t="s">
        <v>27</v>
      </c>
      <c r="I1473" s="1" t="s">
        <v>18</v>
      </c>
      <c r="J1473" s="1">
        <v>4</v>
      </c>
      <c r="K1473" s="1" t="s">
        <v>19</v>
      </c>
      <c r="L1473" s="1" t="s">
        <v>103</v>
      </c>
      <c r="M1473" s="1">
        <f>orders[[#This Row],[Ship Date]]-orders[[#This Row],[Order Date]]</f>
        <v>2</v>
      </c>
      <c r="N1473" s="1">
        <f>WEEKNUM(orders[[#This Row],[Order Date]])</f>
        <v>9</v>
      </c>
      <c r="O1473" s="1"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s="1">
        <v>90.4</v>
      </c>
      <c r="F1474" s="2">
        <v>45712</v>
      </c>
      <c r="G1474" s="2">
        <v>45716</v>
      </c>
      <c r="H1474" s="1" t="s">
        <v>23</v>
      </c>
      <c r="I1474" s="1" t="s">
        <v>35</v>
      </c>
      <c r="J1474" s="1">
        <v>5</v>
      </c>
      <c r="K1474" s="1" t="s">
        <v>19</v>
      </c>
      <c r="L1474" s="1" t="s">
        <v>74</v>
      </c>
      <c r="M1474" s="1">
        <f>orders[[#This Row],[Ship Date]]-orders[[#This Row],[Order Date]]</f>
        <v>4</v>
      </c>
      <c r="N1474" s="1">
        <f>WEEKNUM(orders[[#This Row],[Order Date]])</f>
        <v>9</v>
      </c>
      <c r="O1474" s="1"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s="1">
        <v>210.89999999999998</v>
      </c>
      <c r="F1475" s="2">
        <v>45712</v>
      </c>
      <c r="G1475" s="2">
        <v>45712</v>
      </c>
      <c r="H1475" s="1" t="s">
        <v>23</v>
      </c>
      <c r="I1475" s="1" t="s">
        <v>35</v>
      </c>
      <c r="J1475" s="1">
        <v>5</v>
      </c>
      <c r="K1475" s="1" t="s">
        <v>19</v>
      </c>
      <c r="L1475" s="1" t="s">
        <v>77</v>
      </c>
      <c r="M1475" s="1">
        <f>orders[[#This Row],[Ship Date]]-orders[[#This Row],[Order Date]]</f>
        <v>0</v>
      </c>
      <c r="N1475" s="1">
        <f>WEEKNUM(orders[[#This Row],[Order Date]])</f>
        <v>9</v>
      </c>
      <c r="O1475" s="1"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s="1">
        <v>41</v>
      </c>
      <c r="F1476" s="2">
        <v>45712</v>
      </c>
      <c r="G1476" s="2">
        <v>45715</v>
      </c>
      <c r="H1476" s="1" t="s">
        <v>27</v>
      </c>
      <c r="I1476" s="1" t="s">
        <v>18</v>
      </c>
      <c r="J1476" s="1">
        <v>3</v>
      </c>
      <c r="K1476" s="1" t="s">
        <v>19</v>
      </c>
      <c r="L1476" s="1" t="s">
        <v>77</v>
      </c>
      <c r="M1476" s="1">
        <f>orders[[#This Row],[Ship Date]]-orders[[#This Row],[Order Date]]</f>
        <v>3</v>
      </c>
      <c r="N1476" s="1">
        <f>WEEKNUM(orders[[#This Row],[Order Date]])</f>
        <v>9</v>
      </c>
      <c r="O1476" s="1"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s="1">
        <v>413.6</v>
      </c>
      <c r="F1477" s="2">
        <v>45712</v>
      </c>
      <c r="G1477" s="2">
        <v>45713</v>
      </c>
      <c r="H1477" s="1" t="s">
        <v>23</v>
      </c>
      <c r="I1477" s="1" t="s">
        <v>18</v>
      </c>
      <c r="J1477" s="1">
        <v>4</v>
      </c>
      <c r="K1477" s="1" t="s">
        <v>19</v>
      </c>
      <c r="L1477" s="1" t="s">
        <v>377</v>
      </c>
      <c r="M1477" s="1">
        <f>orders[[#This Row],[Ship Date]]-orders[[#This Row],[Order Date]]</f>
        <v>1</v>
      </c>
      <c r="N1477" s="1">
        <f>WEEKNUM(orders[[#This Row],[Order Date]])</f>
        <v>9</v>
      </c>
      <c r="O1477" s="1"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s="1">
        <v>246</v>
      </c>
      <c r="F1478" s="2">
        <v>45712</v>
      </c>
      <c r="G1478" s="2">
        <v>45719</v>
      </c>
      <c r="H1478" s="1" t="s">
        <v>27</v>
      </c>
      <c r="I1478" s="1" t="s">
        <v>35</v>
      </c>
      <c r="J1478" s="1">
        <v>2</v>
      </c>
      <c r="K1478" s="1" t="s">
        <v>19</v>
      </c>
      <c r="L1478" s="1" t="s">
        <v>82</v>
      </c>
      <c r="M1478" s="1">
        <f>orders[[#This Row],[Ship Date]]-orders[[#This Row],[Order Date]]</f>
        <v>7</v>
      </c>
      <c r="N1478" s="1">
        <f>WEEKNUM(orders[[#This Row],[Order Date]])</f>
        <v>9</v>
      </c>
      <c r="O1478" s="1"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s="1">
        <v>33.5</v>
      </c>
      <c r="F1479" s="2">
        <v>45713</v>
      </c>
      <c r="G1479" s="2">
        <v>45717</v>
      </c>
      <c r="H1479" s="1" t="s">
        <v>23</v>
      </c>
      <c r="I1479" s="1" t="s">
        <v>70</v>
      </c>
      <c r="J1479" s="1">
        <v>3</v>
      </c>
      <c r="K1479" s="1" t="s">
        <v>19</v>
      </c>
      <c r="L1479" s="1" t="s">
        <v>115</v>
      </c>
      <c r="M1479" s="1">
        <f>orders[[#This Row],[Ship Date]]-orders[[#This Row],[Order Date]]</f>
        <v>4</v>
      </c>
      <c r="N1479" s="1">
        <f>WEEKNUM(orders[[#This Row],[Order Date]])</f>
        <v>9</v>
      </c>
      <c r="O1479" s="1"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s="1">
        <v>87.9</v>
      </c>
      <c r="F1480" s="2">
        <v>45713</v>
      </c>
      <c r="G1480" s="2">
        <v>45715</v>
      </c>
      <c r="H1480" s="1" t="s">
        <v>27</v>
      </c>
      <c r="I1480" s="1" t="s">
        <v>35</v>
      </c>
      <c r="J1480" s="1">
        <v>5</v>
      </c>
      <c r="K1480" s="1" t="s">
        <v>19</v>
      </c>
      <c r="L1480" s="1" t="s">
        <v>24</v>
      </c>
      <c r="M1480" s="1">
        <f>orders[[#This Row],[Ship Date]]-orders[[#This Row],[Order Date]]</f>
        <v>2</v>
      </c>
      <c r="N1480" s="1">
        <f>WEEKNUM(orders[[#This Row],[Order Date]])</f>
        <v>9</v>
      </c>
      <c r="O1480" s="1"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s="1">
        <v>251.8</v>
      </c>
      <c r="F1481" s="2">
        <v>45713</v>
      </c>
      <c r="G1481" s="2">
        <v>45718</v>
      </c>
      <c r="H1481" s="1" t="s">
        <v>27</v>
      </c>
      <c r="I1481" s="1" t="s">
        <v>70</v>
      </c>
      <c r="J1481" s="1">
        <v>3</v>
      </c>
      <c r="K1481" s="1" t="s">
        <v>19</v>
      </c>
      <c r="L1481" s="1" t="s">
        <v>24</v>
      </c>
      <c r="M1481" s="1">
        <f>orders[[#This Row],[Ship Date]]-orders[[#This Row],[Order Date]]</f>
        <v>5</v>
      </c>
      <c r="N1481" s="1">
        <f>WEEKNUM(orders[[#This Row],[Order Date]])</f>
        <v>9</v>
      </c>
      <c r="O1481" s="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s="1">
        <v>146.5</v>
      </c>
      <c r="F1482" s="2">
        <v>45713</v>
      </c>
      <c r="G1482" s="2">
        <v>45713</v>
      </c>
      <c r="H1482" s="1" t="s">
        <v>23</v>
      </c>
      <c r="I1482" s="1" t="s">
        <v>40</v>
      </c>
      <c r="J1482" s="1">
        <v>4</v>
      </c>
      <c r="K1482" s="1" t="s">
        <v>19</v>
      </c>
      <c r="L1482" s="1" t="s">
        <v>587</v>
      </c>
      <c r="M1482" s="1">
        <f>orders[[#This Row],[Ship Date]]-orders[[#This Row],[Order Date]]</f>
        <v>0</v>
      </c>
      <c r="N1482" s="1">
        <f>WEEKNUM(orders[[#This Row],[Order Date]])</f>
        <v>9</v>
      </c>
      <c r="O1482" s="1"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s="1">
        <v>37.799999999999997</v>
      </c>
      <c r="F1483" s="2">
        <v>45713</v>
      </c>
      <c r="G1483" s="2">
        <v>45716</v>
      </c>
      <c r="H1483" s="1" t="s">
        <v>27</v>
      </c>
      <c r="I1483" s="1" t="s">
        <v>18</v>
      </c>
      <c r="J1483" s="1">
        <v>5</v>
      </c>
      <c r="K1483" s="1" t="s">
        <v>19</v>
      </c>
      <c r="L1483" s="1" t="s">
        <v>33</v>
      </c>
      <c r="M1483" s="1">
        <f>orders[[#This Row],[Ship Date]]-orders[[#This Row],[Order Date]]</f>
        <v>3</v>
      </c>
      <c r="N1483" s="1">
        <f>WEEKNUM(orders[[#This Row],[Order Date]])</f>
        <v>9</v>
      </c>
      <c r="O1483" s="1"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s="1">
        <v>126.8</v>
      </c>
      <c r="F1484" s="2">
        <v>45713</v>
      </c>
      <c r="G1484" s="2">
        <v>45714</v>
      </c>
      <c r="H1484" s="1" t="s">
        <v>23</v>
      </c>
      <c r="I1484" s="1" t="s">
        <v>40</v>
      </c>
      <c r="J1484" s="1">
        <v>5</v>
      </c>
      <c r="K1484" s="1" t="s">
        <v>19</v>
      </c>
      <c r="L1484" s="1" t="s">
        <v>33</v>
      </c>
      <c r="M1484" s="1">
        <f>orders[[#This Row],[Ship Date]]-orders[[#This Row],[Order Date]]</f>
        <v>1</v>
      </c>
      <c r="N1484" s="1">
        <f>WEEKNUM(orders[[#This Row],[Order Date]])</f>
        <v>9</v>
      </c>
      <c r="O1484" s="1"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s="1">
        <v>131.5</v>
      </c>
      <c r="F1485" s="2">
        <v>45713</v>
      </c>
      <c r="G1485" s="2">
        <v>45714</v>
      </c>
      <c r="H1485" s="1" t="s">
        <v>27</v>
      </c>
      <c r="I1485" s="1" t="s">
        <v>51</v>
      </c>
      <c r="J1485" s="1">
        <v>5</v>
      </c>
      <c r="K1485" s="1" t="s">
        <v>19</v>
      </c>
      <c r="L1485" s="1" t="s">
        <v>33</v>
      </c>
      <c r="M1485" s="1">
        <f>orders[[#This Row],[Ship Date]]-orders[[#This Row],[Order Date]]</f>
        <v>1</v>
      </c>
      <c r="N1485" s="1">
        <f>WEEKNUM(orders[[#This Row],[Order Date]])</f>
        <v>9</v>
      </c>
      <c r="O1485" s="1"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s="1">
        <v>69.300000000000011</v>
      </c>
      <c r="F1486" s="2">
        <v>45713</v>
      </c>
      <c r="G1486" s="2">
        <v>45714</v>
      </c>
      <c r="H1486" s="1" t="s">
        <v>89</v>
      </c>
      <c r="I1486" s="1" t="s">
        <v>40</v>
      </c>
      <c r="J1486" s="1">
        <v>3</v>
      </c>
      <c r="K1486" s="1" t="s">
        <v>19</v>
      </c>
      <c r="L1486" s="1" t="s">
        <v>33</v>
      </c>
      <c r="M1486" s="1">
        <f>orders[[#This Row],[Ship Date]]-orders[[#This Row],[Order Date]]</f>
        <v>1</v>
      </c>
      <c r="N1486" s="1">
        <f>WEEKNUM(orders[[#This Row],[Order Date]])</f>
        <v>9</v>
      </c>
      <c r="O1486" s="1"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s="1">
        <v>22.3</v>
      </c>
      <c r="F1487" s="2">
        <v>45713</v>
      </c>
      <c r="G1487" s="2">
        <v>45715</v>
      </c>
      <c r="H1487" s="1" t="s">
        <v>27</v>
      </c>
      <c r="I1487" s="1" t="s">
        <v>40</v>
      </c>
      <c r="J1487" s="1">
        <v>4</v>
      </c>
      <c r="K1487" s="1" t="s">
        <v>19</v>
      </c>
      <c r="L1487" s="1" t="s">
        <v>33</v>
      </c>
      <c r="M1487" s="1">
        <f>orders[[#This Row],[Ship Date]]-orders[[#This Row],[Order Date]]</f>
        <v>2</v>
      </c>
      <c r="N1487" s="1">
        <f>WEEKNUM(orders[[#This Row],[Order Date]])</f>
        <v>9</v>
      </c>
      <c r="O1487" s="1"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s="1">
        <v>199</v>
      </c>
      <c r="F1488" s="2">
        <v>45713</v>
      </c>
      <c r="G1488" s="2">
        <v>45715</v>
      </c>
      <c r="H1488" s="1" t="s">
        <v>27</v>
      </c>
      <c r="I1488" s="1" t="s">
        <v>40</v>
      </c>
      <c r="J1488" s="1">
        <v>4</v>
      </c>
      <c r="K1488" s="1" t="s">
        <v>19</v>
      </c>
      <c r="L1488" s="1" t="s">
        <v>33</v>
      </c>
      <c r="M1488" s="1">
        <f>orders[[#This Row],[Ship Date]]-orders[[#This Row],[Order Date]]</f>
        <v>2</v>
      </c>
      <c r="N1488" s="1">
        <f>WEEKNUM(orders[[#This Row],[Order Date]])</f>
        <v>9</v>
      </c>
      <c r="O1488" s="1"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s="1">
        <v>189.6</v>
      </c>
      <c r="F1489" s="2">
        <v>45713</v>
      </c>
      <c r="G1489" s="2">
        <v>45716</v>
      </c>
      <c r="H1489" s="1" t="s">
        <v>27</v>
      </c>
      <c r="I1489" s="1" t="s">
        <v>35</v>
      </c>
      <c r="J1489" s="1">
        <v>4</v>
      </c>
      <c r="K1489" s="1" t="s">
        <v>19</v>
      </c>
      <c r="L1489" s="1" t="s">
        <v>33</v>
      </c>
      <c r="M1489" s="1">
        <f>orders[[#This Row],[Ship Date]]-orders[[#This Row],[Order Date]]</f>
        <v>3</v>
      </c>
      <c r="N1489" s="1">
        <f>WEEKNUM(orders[[#This Row],[Order Date]])</f>
        <v>9</v>
      </c>
      <c r="O1489" s="1"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s="1">
        <v>412.5</v>
      </c>
      <c r="F1490" s="2">
        <v>45713</v>
      </c>
      <c r="G1490" s="2">
        <v>45715</v>
      </c>
      <c r="H1490" s="1" t="s">
        <v>27</v>
      </c>
      <c r="I1490" s="1" t="s">
        <v>18</v>
      </c>
      <c r="J1490" s="1">
        <v>1</v>
      </c>
      <c r="K1490" s="1" t="s">
        <v>19</v>
      </c>
      <c r="L1490" s="1" t="s">
        <v>33</v>
      </c>
      <c r="M1490" s="1">
        <f>orders[[#This Row],[Ship Date]]-orders[[#This Row],[Order Date]]</f>
        <v>2</v>
      </c>
      <c r="N1490" s="1">
        <f>WEEKNUM(orders[[#This Row],[Order Date]])</f>
        <v>9</v>
      </c>
      <c r="O1490" s="1"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s="1">
        <v>45.1</v>
      </c>
      <c r="F1491" s="2">
        <v>45713</v>
      </c>
      <c r="G1491" s="2">
        <v>45718</v>
      </c>
      <c r="H1491" s="1" t="s">
        <v>23</v>
      </c>
      <c r="I1491" s="1" t="s">
        <v>51</v>
      </c>
      <c r="J1491" s="1">
        <v>5</v>
      </c>
      <c r="K1491" s="1" t="s">
        <v>19</v>
      </c>
      <c r="L1491" s="1" t="s">
        <v>186</v>
      </c>
      <c r="M1491" s="1">
        <f>orders[[#This Row],[Ship Date]]-orders[[#This Row],[Order Date]]</f>
        <v>5</v>
      </c>
      <c r="N1491" s="1">
        <f>WEEKNUM(orders[[#This Row],[Order Date]])</f>
        <v>9</v>
      </c>
      <c r="O1491" s="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s="1">
        <v>344</v>
      </c>
      <c r="F1492" s="2">
        <v>45713</v>
      </c>
      <c r="G1492" s="2">
        <v>45716</v>
      </c>
      <c r="H1492" s="1" t="s">
        <v>23</v>
      </c>
      <c r="I1492" s="1" t="s">
        <v>40</v>
      </c>
      <c r="J1492" s="1">
        <v>4</v>
      </c>
      <c r="K1492" s="1" t="s">
        <v>19</v>
      </c>
      <c r="L1492" s="1" t="s">
        <v>98</v>
      </c>
      <c r="M1492" s="1">
        <f>orders[[#This Row],[Ship Date]]-orders[[#This Row],[Order Date]]</f>
        <v>3</v>
      </c>
      <c r="N1492" s="1">
        <f>WEEKNUM(orders[[#This Row],[Order Date]])</f>
        <v>9</v>
      </c>
      <c r="O1492" s="1"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s="1">
        <v>76</v>
      </c>
      <c r="F1493" s="2">
        <v>45713</v>
      </c>
      <c r="G1493" s="2">
        <v>45715</v>
      </c>
      <c r="H1493" s="1" t="s">
        <v>27</v>
      </c>
      <c r="I1493" s="1" t="s">
        <v>35</v>
      </c>
      <c r="J1493" s="1">
        <v>4</v>
      </c>
      <c r="K1493" s="1" t="s">
        <v>19</v>
      </c>
      <c r="L1493" s="1" t="s">
        <v>52</v>
      </c>
      <c r="M1493" s="1">
        <f>orders[[#This Row],[Ship Date]]-orders[[#This Row],[Order Date]]</f>
        <v>2</v>
      </c>
      <c r="N1493" s="1">
        <f>WEEKNUM(orders[[#This Row],[Order Date]])</f>
        <v>9</v>
      </c>
      <c r="O1493" s="1"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s="1">
        <v>453.59999999999997</v>
      </c>
      <c r="F1494" s="2">
        <v>45713</v>
      </c>
      <c r="G1494" s="2">
        <v>45716</v>
      </c>
      <c r="H1494" s="1" t="s">
        <v>23</v>
      </c>
      <c r="I1494" s="1" t="s">
        <v>70</v>
      </c>
      <c r="J1494" s="1">
        <v>4</v>
      </c>
      <c r="K1494" s="1" t="s">
        <v>19</v>
      </c>
      <c r="L1494" s="1" t="s">
        <v>55</v>
      </c>
      <c r="M1494" s="1">
        <f>orders[[#This Row],[Ship Date]]-orders[[#This Row],[Order Date]]</f>
        <v>3</v>
      </c>
      <c r="N1494" s="1">
        <f>WEEKNUM(orders[[#This Row],[Order Date]])</f>
        <v>9</v>
      </c>
      <c r="O1494" s="1"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s="1">
        <v>122.69999999999999</v>
      </c>
      <c r="F1495" s="2">
        <v>45713</v>
      </c>
      <c r="G1495" s="2">
        <v>45713</v>
      </c>
      <c r="H1495" s="1" t="s">
        <v>17</v>
      </c>
      <c r="I1495" s="1" t="s">
        <v>35</v>
      </c>
      <c r="J1495" s="1">
        <v>4</v>
      </c>
      <c r="K1495" s="1" t="s">
        <v>19</v>
      </c>
      <c r="L1495" s="1" t="s">
        <v>62</v>
      </c>
      <c r="M1495" s="1">
        <f>orders[[#This Row],[Ship Date]]-orders[[#This Row],[Order Date]]</f>
        <v>0</v>
      </c>
      <c r="N1495" s="1">
        <f>WEEKNUM(orders[[#This Row],[Order Date]])</f>
        <v>9</v>
      </c>
      <c r="O1495" s="1"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s="1">
        <v>533.4</v>
      </c>
      <c r="F1496" s="2">
        <v>45713</v>
      </c>
      <c r="G1496" s="2">
        <v>45715</v>
      </c>
      <c r="H1496" s="1" t="s">
        <v>27</v>
      </c>
      <c r="I1496" s="1" t="s">
        <v>40</v>
      </c>
      <c r="J1496" s="1">
        <v>3</v>
      </c>
      <c r="K1496" s="1" t="s">
        <v>19</v>
      </c>
      <c r="L1496" s="1" t="s">
        <v>62</v>
      </c>
      <c r="M1496" s="1">
        <f>orders[[#This Row],[Ship Date]]-orders[[#This Row],[Order Date]]</f>
        <v>2</v>
      </c>
      <c r="N1496" s="1">
        <f>WEEKNUM(orders[[#This Row],[Order Date]])</f>
        <v>9</v>
      </c>
      <c r="O1496" s="1"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s="1">
        <v>85.6</v>
      </c>
      <c r="F1497" s="2">
        <v>45713</v>
      </c>
      <c r="G1497" s="2">
        <v>45715</v>
      </c>
      <c r="H1497" s="1" t="s">
        <v>23</v>
      </c>
      <c r="I1497" s="1" t="s">
        <v>40</v>
      </c>
      <c r="J1497" s="1">
        <v>4</v>
      </c>
      <c r="K1497" s="1" t="s">
        <v>19</v>
      </c>
      <c r="L1497" s="1" t="s">
        <v>62</v>
      </c>
      <c r="M1497" s="1">
        <f>orders[[#This Row],[Ship Date]]-orders[[#This Row],[Order Date]]</f>
        <v>2</v>
      </c>
      <c r="N1497" s="1">
        <f>WEEKNUM(orders[[#This Row],[Order Date]])</f>
        <v>9</v>
      </c>
      <c r="O1497" s="1"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s="1">
        <v>100</v>
      </c>
      <c r="F1498" s="2">
        <v>45713</v>
      </c>
      <c r="G1498" s="2">
        <v>45715</v>
      </c>
      <c r="H1498" s="1" t="s">
        <v>27</v>
      </c>
      <c r="I1498" s="1" t="s">
        <v>40</v>
      </c>
      <c r="J1498" s="1">
        <v>5</v>
      </c>
      <c r="K1498" s="1" t="s">
        <v>19</v>
      </c>
      <c r="L1498" s="1" t="s">
        <v>62</v>
      </c>
      <c r="M1498" s="1">
        <f>orders[[#This Row],[Ship Date]]-orders[[#This Row],[Order Date]]</f>
        <v>2</v>
      </c>
      <c r="N1498" s="1">
        <f>WEEKNUM(orders[[#This Row],[Order Date]])</f>
        <v>9</v>
      </c>
      <c r="O1498" s="1"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s="1">
        <v>753.5</v>
      </c>
      <c r="F1499" s="2">
        <v>45713</v>
      </c>
      <c r="G1499" s="2">
        <v>45714</v>
      </c>
      <c r="H1499" s="1" t="s">
        <v>17</v>
      </c>
      <c r="I1499" s="1" t="s">
        <v>18</v>
      </c>
      <c r="J1499" s="1">
        <v>5</v>
      </c>
      <c r="K1499" s="1" t="s">
        <v>19</v>
      </c>
      <c r="L1499" s="1" t="s">
        <v>62</v>
      </c>
      <c r="M1499" s="1">
        <f>orders[[#This Row],[Ship Date]]-orders[[#This Row],[Order Date]]</f>
        <v>1</v>
      </c>
      <c r="N1499" s="1">
        <f>WEEKNUM(orders[[#This Row],[Order Date]])</f>
        <v>9</v>
      </c>
      <c r="O1499" s="1"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s="1">
        <v>19.600000000000001</v>
      </c>
      <c r="F1500" s="2">
        <v>45713</v>
      </c>
      <c r="G1500" s="2">
        <v>45714</v>
      </c>
      <c r="H1500" s="1" t="s">
        <v>23</v>
      </c>
      <c r="I1500" s="1" t="s">
        <v>35</v>
      </c>
      <c r="J1500" s="1">
        <v>2</v>
      </c>
      <c r="K1500" s="1" t="s">
        <v>19</v>
      </c>
      <c r="L1500" s="1" t="s">
        <v>62</v>
      </c>
      <c r="M1500" s="1">
        <f>orders[[#This Row],[Ship Date]]-orders[[#This Row],[Order Date]]</f>
        <v>1</v>
      </c>
      <c r="N1500" s="1">
        <f>WEEKNUM(orders[[#This Row],[Order Date]])</f>
        <v>9</v>
      </c>
      <c r="O1500" s="1"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s="1">
        <v>75</v>
      </c>
      <c r="F1501" s="2">
        <v>45713</v>
      </c>
      <c r="G1501" s="2">
        <v>45716</v>
      </c>
      <c r="H1501" s="1" t="s">
        <v>27</v>
      </c>
      <c r="I1501" s="1" t="s">
        <v>35</v>
      </c>
      <c r="J1501" s="1">
        <v>5</v>
      </c>
      <c r="K1501" s="1" t="s">
        <v>19</v>
      </c>
      <c r="L1501" s="1" t="s">
        <v>103</v>
      </c>
      <c r="M1501" s="1">
        <f>orders[[#This Row],[Ship Date]]-orders[[#This Row],[Order Date]]</f>
        <v>3</v>
      </c>
      <c r="N1501" s="1">
        <f>WEEKNUM(orders[[#This Row],[Order Date]])</f>
        <v>9</v>
      </c>
      <c r="O1501" s="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s="1">
        <v>155.69999999999999</v>
      </c>
      <c r="F1502" s="2">
        <v>45713</v>
      </c>
      <c r="G1502" s="2">
        <v>45719</v>
      </c>
      <c r="H1502" s="1" t="s">
        <v>27</v>
      </c>
      <c r="I1502" s="1" t="s">
        <v>18</v>
      </c>
      <c r="J1502" s="1">
        <v>2</v>
      </c>
      <c r="K1502" s="1" t="s">
        <v>19</v>
      </c>
      <c r="L1502" s="1" t="s">
        <v>77</v>
      </c>
      <c r="M1502" s="1">
        <f>orders[[#This Row],[Ship Date]]-orders[[#This Row],[Order Date]]</f>
        <v>6</v>
      </c>
      <c r="N1502" s="1">
        <f>WEEKNUM(orders[[#This Row],[Order Date]])</f>
        <v>9</v>
      </c>
      <c r="O1502" s="1"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s="1">
        <v>61.8</v>
      </c>
      <c r="F1503" s="2">
        <v>45713</v>
      </c>
      <c r="G1503" s="2">
        <v>45715</v>
      </c>
      <c r="H1503" s="1" t="s">
        <v>27</v>
      </c>
      <c r="I1503" s="1" t="s">
        <v>35</v>
      </c>
      <c r="J1503" s="1">
        <v>4</v>
      </c>
      <c r="K1503" s="1" t="s">
        <v>19</v>
      </c>
      <c r="L1503" s="1" t="s">
        <v>108</v>
      </c>
      <c r="M1503" s="1">
        <f>orders[[#This Row],[Ship Date]]-orders[[#This Row],[Order Date]]</f>
        <v>2</v>
      </c>
      <c r="N1503" s="1">
        <f>WEEKNUM(orders[[#This Row],[Order Date]])</f>
        <v>9</v>
      </c>
      <c r="O1503" s="1"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s="1">
        <v>63.599999999999994</v>
      </c>
      <c r="F1504" s="2">
        <v>45713</v>
      </c>
      <c r="G1504" s="2">
        <v>45716</v>
      </c>
      <c r="H1504" s="1" t="s">
        <v>27</v>
      </c>
      <c r="I1504" s="1" t="s">
        <v>35</v>
      </c>
      <c r="J1504" s="1">
        <v>4</v>
      </c>
      <c r="K1504" s="1" t="s">
        <v>19</v>
      </c>
      <c r="L1504" s="1" t="s">
        <v>110</v>
      </c>
      <c r="M1504" s="1">
        <f>orders[[#This Row],[Ship Date]]-orders[[#This Row],[Order Date]]</f>
        <v>3</v>
      </c>
      <c r="N1504" s="1">
        <f>WEEKNUM(orders[[#This Row],[Order Date]])</f>
        <v>9</v>
      </c>
      <c r="O1504" s="1"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s="1">
        <v>297.5</v>
      </c>
      <c r="F1505" s="2">
        <v>45713</v>
      </c>
      <c r="G1505" s="2">
        <v>45714</v>
      </c>
      <c r="H1505" s="1" t="s">
        <v>23</v>
      </c>
      <c r="I1505" s="1" t="s">
        <v>35</v>
      </c>
      <c r="J1505" s="1">
        <v>3</v>
      </c>
      <c r="K1505" s="1" t="s">
        <v>19</v>
      </c>
      <c r="L1505" s="1" t="s">
        <v>82</v>
      </c>
      <c r="M1505" s="1">
        <f>orders[[#This Row],[Ship Date]]-orders[[#This Row],[Order Date]]</f>
        <v>1</v>
      </c>
      <c r="N1505" s="1">
        <f>WEEKNUM(orders[[#This Row],[Order Date]])</f>
        <v>9</v>
      </c>
      <c r="O1505" s="1"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s="1">
        <v>107.6</v>
      </c>
      <c r="F1506" s="2">
        <v>45713</v>
      </c>
      <c r="G1506" s="2">
        <v>45718</v>
      </c>
      <c r="H1506" s="1" t="s">
        <v>27</v>
      </c>
      <c r="I1506" s="1" t="s">
        <v>18</v>
      </c>
      <c r="J1506" s="1">
        <v>5</v>
      </c>
      <c r="K1506" s="1" t="s">
        <v>19</v>
      </c>
      <c r="L1506" s="1" t="s">
        <v>115</v>
      </c>
      <c r="M1506" s="1">
        <f>orders[[#This Row],[Ship Date]]-orders[[#This Row],[Order Date]]</f>
        <v>5</v>
      </c>
      <c r="N1506" s="1">
        <f>WEEKNUM(orders[[#This Row],[Order Date]])</f>
        <v>9</v>
      </c>
      <c r="O1506" s="1"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s="1">
        <v>34</v>
      </c>
      <c r="F1507" s="2">
        <v>45713</v>
      </c>
      <c r="G1507" s="2">
        <v>45714</v>
      </c>
      <c r="H1507" s="1" t="s">
        <v>23</v>
      </c>
      <c r="I1507" s="1" t="s">
        <v>51</v>
      </c>
      <c r="J1507" s="1">
        <v>4</v>
      </c>
      <c r="K1507" s="1" t="s">
        <v>19</v>
      </c>
      <c r="L1507" s="1" t="s">
        <v>115</v>
      </c>
      <c r="M1507" s="1">
        <f>orders[[#This Row],[Ship Date]]-orders[[#This Row],[Order Date]]</f>
        <v>1</v>
      </c>
      <c r="N1507" s="1">
        <f>WEEKNUM(orders[[#This Row],[Order Date]])</f>
        <v>9</v>
      </c>
      <c r="O1507" s="1"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s="1">
        <v>103.2</v>
      </c>
      <c r="F1508" s="2">
        <v>45713</v>
      </c>
      <c r="G1508" s="2">
        <v>45721</v>
      </c>
      <c r="H1508" s="1" t="s">
        <v>23</v>
      </c>
      <c r="I1508" s="1" t="s">
        <v>40</v>
      </c>
      <c r="J1508" s="1">
        <v>3</v>
      </c>
      <c r="K1508" s="1" t="s">
        <v>19</v>
      </c>
      <c r="L1508" s="1" t="s">
        <v>24</v>
      </c>
      <c r="M1508" s="1">
        <f>orders[[#This Row],[Ship Date]]-orders[[#This Row],[Order Date]]</f>
        <v>8</v>
      </c>
      <c r="N1508" s="1">
        <f>WEEKNUM(orders[[#This Row],[Order Date]])</f>
        <v>9</v>
      </c>
      <c r="O1508" s="1"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s="1">
        <v>281.2</v>
      </c>
      <c r="F1509" s="2">
        <v>45713</v>
      </c>
      <c r="G1509" s="2">
        <v>45714</v>
      </c>
      <c r="H1509" s="1" t="s">
        <v>23</v>
      </c>
      <c r="I1509" s="1" t="s">
        <v>18</v>
      </c>
      <c r="J1509" s="1">
        <v>4</v>
      </c>
      <c r="K1509" s="1" t="s">
        <v>19</v>
      </c>
      <c r="L1509" s="1" t="s">
        <v>33</v>
      </c>
      <c r="M1509" s="1">
        <f>orders[[#This Row],[Ship Date]]-orders[[#This Row],[Order Date]]</f>
        <v>1</v>
      </c>
      <c r="N1509" s="1">
        <f>WEEKNUM(orders[[#This Row],[Order Date]])</f>
        <v>9</v>
      </c>
      <c r="O1509" s="1"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s="1">
        <v>147.6</v>
      </c>
      <c r="F1510" s="2">
        <v>45713</v>
      </c>
      <c r="G1510" s="2">
        <v>45713</v>
      </c>
      <c r="H1510" s="1" t="s">
        <v>23</v>
      </c>
      <c r="I1510" s="1" t="s">
        <v>51</v>
      </c>
      <c r="J1510" s="1">
        <v>5</v>
      </c>
      <c r="K1510" s="1" t="s">
        <v>19</v>
      </c>
      <c r="L1510" s="1" t="s">
        <v>33</v>
      </c>
      <c r="M1510" s="1">
        <f>orders[[#This Row],[Ship Date]]-orders[[#This Row],[Order Date]]</f>
        <v>0</v>
      </c>
      <c r="N1510" s="1">
        <f>WEEKNUM(orders[[#This Row],[Order Date]])</f>
        <v>9</v>
      </c>
      <c r="O1510" s="1"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s="1">
        <v>812.40000000000009</v>
      </c>
      <c r="F1511" s="2">
        <v>45713</v>
      </c>
      <c r="G1511" s="2">
        <v>45717</v>
      </c>
      <c r="H1511" s="1" t="s">
        <v>23</v>
      </c>
      <c r="I1511" s="1" t="s">
        <v>35</v>
      </c>
      <c r="J1511" s="1">
        <v>3</v>
      </c>
      <c r="K1511" s="1" t="s">
        <v>19</v>
      </c>
      <c r="L1511" s="1" t="s">
        <v>33</v>
      </c>
      <c r="M1511" s="1">
        <f>orders[[#This Row],[Ship Date]]-orders[[#This Row],[Order Date]]</f>
        <v>4</v>
      </c>
      <c r="N1511" s="1">
        <f>WEEKNUM(orders[[#This Row],[Order Date]])</f>
        <v>9</v>
      </c>
      <c r="O1511" s="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s="1">
        <v>306.59999999999997</v>
      </c>
      <c r="F1512" s="2">
        <v>45713</v>
      </c>
      <c r="G1512" s="2">
        <v>45715</v>
      </c>
      <c r="H1512" s="1" t="s">
        <v>23</v>
      </c>
      <c r="I1512" s="1" t="s">
        <v>35</v>
      </c>
      <c r="J1512" s="1">
        <v>4</v>
      </c>
      <c r="K1512" s="1" t="s">
        <v>19</v>
      </c>
      <c r="L1512" s="1" t="s">
        <v>33</v>
      </c>
      <c r="M1512" s="1">
        <f>orders[[#This Row],[Ship Date]]-orders[[#This Row],[Order Date]]</f>
        <v>2</v>
      </c>
      <c r="N1512" s="1">
        <f>WEEKNUM(orders[[#This Row],[Order Date]])</f>
        <v>9</v>
      </c>
      <c r="O1512" s="1"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s="1">
        <v>431.40000000000003</v>
      </c>
      <c r="F1513" s="2">
        <v>45713</v>
      </c>
      <c r="G1513" s="2">
        <v>45714</v>
      </c>
      <c r="H1513" s="1" t="s">
        <v>27</v>
      </c>
      <c r="I1513" s="1" t="s">
        <v>40</v>
      </c>
      <c r="J1513" s="1">
        <v>4</v>
      </c>
      <c r="K1513" s="1" t="s">
        <v>19</v>
      </c>
      <c r="L1513" s="1" t="s">
        <v>33</v>
      </c>
      <c r="M1513" s="1">
        <f>orders[[#This Row],[Ship Date]]-orders[[#This Row],[Order Date]]</f>
        <v>1</v>
      </c>
      <c r="N1513" s="1">
        <f>WEEKNUM(orders[[#This Row],[Order Date]])</f>
        <v>9</v>
      </c>
      <c r="O1513" s="1"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s="1">
        <v>52.6</v>
      </c>
      <c r="F1514" s="2">
        <v>45714</v>
      </c>
      <c r="G1514" s="2">
        <v>45716</v>
      </c>
      <c r="H1514" s="1" t="s">
        <v>27</v>
      </c>
      <c r="I1514" s="1" t="s">
        <v>18</v>
      </c>
      <c r="J1514" s="1">
        <v>3</v>
      </c>
      <c r="K1514" s="1" t="s">
        <v>19</v>
      </c>
      <c r="L1514" s="1" t="s">
        <v>33</v>
      </c>
      <c r="M1514" s="1">
        <f>orders[[#This Row],[Ship Date]]-orders[[#This Row],[Order Date]]</f>
        <v>2</v>
      </c>
      <c r="N1514" s="1">
        <f>WEEKNUM(orders[[#This Row],[Order Date]])</f>
        <v>9</v>
      </c>
      <c r="O1514" s="1"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s="1">
        <v>210.4</v>
      </c>
      <c r="F1515" s="2">
        <v>45714</v>
      </c>
      <c r="G1515" s="2">
        <v>45716</v>
      </c>
      <c r="H1515" s="1" t="s">
        <v>27</v>
      </c>
      <c r="I1515" s="1" t="s">
        <v>40</v>
      </c>
      <c r="J1515" s="1">
        <v>3</v>
      </c>
      <c r="K1515" s="1" t="s">
        <v>19</v>
      </c>
      <c r="L1515" s="1" t="s">
        <v>33</v>
      </c>
      <c r="M1515" s="1">
        <f>orders[[#This Row],[Ship Date]]-orders[[#This Row],[Order Date]]</f>
        <v>2</v>
      </c>
      <c r="N1515" s="1">
        <f>WEEKNUM(orders[[#This Row],[Order Date]])</f>
        <v>9</v>
      </c>
      <c r="O1515" s="1"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s="1">
        <v>32.700000000000003</v>
      </c>
      <c r="F1516" s="2">
        <v>45714</v>
      </c>
      <c r="G1516" s="2">
        <v>45721</v>
      </c>
      <c r="H1516" s="1" t="s">
        <v>27</v>
      </c>
      <c r="I1516" s="1" t="s">
        <v>18</v>
      </c>
      <c r="J1516" s="1">
        <v>5</v>
      </c>
      <c r="K1516" s="1" t="s">
        <v>19</v>
      </c>
      <c r="L1516" s="1" t="s">
        <v>33</v>
      </c>
      <c r="M1516" s="1">
        <f>orders[[#This Row],[Ship Date]]-orders[[#This Row],[Order Date]]</f>
        <v>7</v>
      </c>
      <c r="N1516" s="1">
        <f>WEEKNUM(orders[[#This Row],[Order Date]])</f>
        <v>9</v>
      </c>
      <c r="O1516" s="1"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s="1">
        <v>155.6</v>
      </c>
      <c r="F1517" s="2">
        <v>45714</v>
      </c>
      <c r="G1517" s="2">
        <v>45715</v>
      </c>
      <c r="H1517" s="1" t="s">
        <v>27</v>
      </c>
      <c r="I1517" s="1" t="s">
        <v>18</v>
      </c>
      <c r="J1517" s="1">
        <v>4</v>
      </c>
      <c r="K1517" s="1" t="s">
        <v>19</v>
      </c>
      <c r="L1517" s="1" t="s">
        <v>33</v>
      </c>
      <c r="M1517" s="1">
        <f>orders[[#This Row],[Ship Date]]-orders[[#This Row],[Order Date]]</f>
        <v>1</v>
      </c>
      <c r="N1517" s="1">
        <f>WEEKNUM(orders[[#This Row],[Order Date]])</f>
        <v>9</v>
      </c>
      <c r="O1517" s="1"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s="1">
        <v>175</v>
      </c>
      <c r="F1518" s="2">
        <v>45714</v>
      </c>
      <c r="G1518" s="2">
        <v>45716</v>
      </c>
      <c r="H1518" s="1" t="s">
        <v>23</v>
      </c>
      <c r="I1518" s="1" t="s">
        <v>18</v>
      </c>
      <c r="J1518" s="1">
        <v>4</v>
      </c>
      <c r="K1518" s="1" t="s">
        <v>19</v>
      </c>
      <c r="L1518" s="1" t="s">
        <v>33</v>
      </c>
      <c r="M1518" s="1">
        <f>orders[[#This Row],[Ship Date]]-orders[[#This Row],[Order Date]]</f>
        <v>2</v>
      </c>
      <c r="N1518" s="1">
        <f>WEEKNUM(orders[[#This Row],[Order Date]])</f>
        <v>9</v>
      </c>
      <c r="O1518" s="1"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s="1">
        <v>242</v>
      </c>
      <c r="F1519" s="2">
        <v>45714</v>
      </c>
      <c r="G1519" s="2">
        <v>45715</v>
      </c>
      <c r="H1519" s="1" t="s">
        <v>27</v>
      </c>
      <c r="I1519" s="1" t="s">
        <v>35</v>
      </c>
      <c r="J1519" s="1">
        <v>3</v>
      </c>
      <c r="K1519" s="1" t="s">
        <v>19</v>
      </c>
      <c r="L1519" s="1" t="s">
        <v>33</v>
      </c>
      <c r="M1519" s="1">
        <f>orders[[#This Row],[Ship Date]]-orders[[#This Row],[Order Date]]</f>
        <v>1</v>
      </c>
      <c r="N1519" s="1">
        <f>WEEKNUM(orders[[#This Row],[Order Date]])</f>
        <v>9</v>
      </c>
      <c r="O1519" s="1"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s="1">
        <v>195.29999999999998</v>
      </c>
      <c r="F1520" s="2">
        <v>45714</v>
      </c>
      <c r="G1520" s="2">
        <v>45718</v>
      </c>
      <c r="H1520" s="1" t="s">
        <v>23</v>
      </c>
      <c r="I1520" s="1" t="s">
        <v>40</v>
      </c>
      <c r="J1520" s="1">
        <v>4</v>
      </c>
      <c r="K1520" s="1" t="s">
        <v>19</v>
      </c>
      <c r="L1520" s="1" t="s">
        <v>342</v>
      </c>
      <c r="M1520" s="1">
        <f>orders[[#This Row],[Ship Date]]-orders[[#This Row],[Order Date]]</f>
        <v>4</v>
      </c>
      <c r="N1520" s="1">
        <f>WEEKNUM(orders[[#This Row],[Order Date]])</f>
        <v>9</v>
      </c>
      <c r="O1520" s="1"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s="1">
        <v>1339.8</v>
      </c>
      <c r="F1521" s="2">
        <v>45714</v>
      </c>
      <c r="G1521" s="2">
        <v>45716</v>
      </c>
      <c r="H1521" s="1" t="s">
        <v>27</v>
      </c>
      <c r="I1521" s="1" t="s">
        <v>18</v>
      </c>
      <c r="J1521" s="1">
        <v>4</v>
      </c>
      <c r="K1521" s="1" t="s">
        <v>19</v>
      </c>
      <c r="L1521" s="1" t="s">
        <v>62</v>
      </c>
      <c r="M1521" s="1">
        <f>orders[[#This Row],[Ship Date]]-orders[[#This Row],[Order Date]]</f>
        <v>2</v>
      </c>
      <c r="N1521" s="1">
        <f>WEEKNUM(orders[[#This Row],[Order Date]])</f>
        <v>9</v>
      </c>
      <c r="O1521" s="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s="1">
        <v>77.7</v>
      </c>
      <c r="F1522" s="2">
        <v>45714</v>
      </c>
      <c r="G1522" s="2">
        <v>45716</v>
      </c>
      <c r="H1522" s="1" t="s">
        <v>23</v>
      </c>
      <c r="I1522" s="1" t="s">
        <v>18</v>
      </c>
      <c r="J1522" s="1">
        <v>4</v>
      </c>
      <c r="K1522" s="1" t="s">
        <v>19</v>
      </c>
      <c r="L1522" s="1" t="s">
        <v>62</v>
      </c>
      <c r="M1522" s="1">
        <f>orders[[#This Row],[Ship Date]]-orders[[#This Row],[Order Date]]</f>
        <v>2</v>
      </c>
      <c r="N1522" s="1">
        <f>WEEKNUM(orders[[#This Row],[Order Date]])</f>
        <v>9</v>
      </c>
      <c r="O1522" s="1"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s="1">
        <v>241.2</v>
      </c>
      <c r="F1523" s="2">
        <v>45714</v>
      </c>
      <c r="G1523" s="2">
        <v>45714</v>
      </c>
      <c r="H1523" s="1" t="s">
        <v>23</v>
      </c>
      <c r="I1523" s="1" t="s">
        <v>18</v>
      </c>
      <c r="J1523" s="1">
        <v>5</v>
      </c>
      <c r="K1523" s="1" t="s">
        <v>19</v>
      </c>
      <c r="L1523" s="1" t="s">
        <v>62</v>
      </c>
      <c r="M1523" s="1">
        <f>orders[[#This Row],[Ship Date]]-orders[[#This Row],[Order Date]]</f>
        <v>0</v>
      </c>
      <c r="N1523" s="1">
        <f>WEEKNUM(orders[[#This Row],[Order Date]])</f>
        <v>9</v>
      </c>
      <c r="O1523" s="1"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s="1">
        <v>248.2</v>
      </c>
      <c r="F1524" s="2">
        <v>45714</v>
      </c>
      <c r="G1524" s="2">
        <v>45717</v>
      </c>
      <c r="H1524" s="1" t="s">
        <v>27</v>
      </c>
      <c r="I1524" s="1" t="s">
        <v>18</v>
      </c>
      <c r="J1524" s="1">
        <v>5</v>
      </c>
      <c r="K1524" s="1" t="s">
        <v>19</v>
      </c>
      <c r="L1524" s="1" t="s">
        <v>62</v>
      </c>
      <c r="M1524" s="1">
        <f>orders[[#This Row],[Ship Date]]-orders[[#This Row],[Order Date]]</f>
        <v>3</v>
      </c>
      <c r="N1524" s="1">
        <f>WEEKNUM(orders[[#This Row],[Order Date]])</f>
        <v>9</v>
      </c>
      <c r="O1524" s="1"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s="1">
        <v>462</v>
      </c>
      <c r="F1525" s="2">
        <v>45714</v>
      </c>
      <c r="G1525" s="2">
        <v>45714</v>
      </c>
      <c r="H1525" s="1" t="s">
        <v>17</v>
      </c>
      <c r="I1525" s="1" t="s">
        <v>51</v>
      </c>
      <c r="J1525" s="1">
        <v>4</v>
      </c>
      <c r="K1525" s="1" t="s">
        <v>19</v>
      </c>
      <c r="L1525" s="1" t="s">
        <v>103</v>
      </c>
      <c r="M1525" s="1">
        <f>orders[[#This Row],[Ship Date]]-orders[[#This Row],[Order Date]]</f>
        <v>0</v>
      </c>
      <c r="N1525" s="1">
        <f>WEEKNUM(orders[[#This Row],[Order Date]])</f>
        <v>9</v>
      </c>
      <c r="O1525" s="1"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s="1">
        <v>7446.6</v>
      </c>
      <c r="F1526" s="2">
        <v>45714</v>
      </c>
      <c r="G1526" s="2">
        <v>45719</v>
      </c>
      <c r="H1526" s="1" t="s">
        <v>17</v>
      </c>
      <c r="I1526" s="1" t="s">
        <v>18</v>
      </c>
      <c r="J1526" s="1">
        <v>4</v>
      </c>
      <c r="K1526" s="1" t="s">
        <v>19</v>
      </c>
      <c r="L1526" s="1" t="s">
        <v>103</v>
      </c>
      <c r="M1526" s="1">
        <f>orders[[#This Row],[Ship Date]]-orders[[#This Row],[Order Date]]</f>
        <v>5</v>
      </c>
      <c r="N1526" s="1">
        <f>WEEKNUM(orders[[#This Row],[Order Date]])</f>
        <v>9</v>
      </c>
      <c r="O1526" s="1"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s="1">
        <v>321.5</v>
      </c>
      <c r="F1527" s="2">
        <v>45714</v>
      </c>
      <c r="G1527" s="2">
        <v>45715</v>
      </c>
      <c r="H1527" s="1" t="s">
        <v>23</v>
      </c>
      <c r="I1527" s="1" t="s">
        <v>70</v>
      </c>
      <c r="J1527" s="1">
        <v>2</v>
      </c>
      <c r="K1527" s="1" t="s">
        <v>19</v>
      </c>
      <c r="L1527" s="1" t="s">
        <v>201</v>
      </c>
      <c r="M1527" s="1">
        <f>orders[[#This Row],[Ship Date]]-orders[[#This Row],[Order Date]]</f>
        <v>1</v>
      </c>
      <c r="N1527" s="1">
        <f>WEEKNUM(orders[[#This Row],[Order Date]])</f>
        <v>9</v>
      </c>
      <c r="O1527" s="1"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s="1">
        <v>109.6</v>
      </c>
      <c r="F1528" s="2">
        <v>45714</v>
      </c>
      <c r="G1528" s="2">
        <v>45714</v>
      </c>
      <c r="H1528" s="1" t="s">
        <v>23</v>
      </c>
      <c r="I1528" s="1" t="s">
        <v>18</v>
      </c>
      <c r="J1528" s="1">
        <v>3</v>
      </c>
      <c r="K1528" s="1" t="s">
        <v>19</v>
      </c>
      <c r="L1528" s="1" t="s">
        <v>201</v>
      </c>
      <c r="M1528" s="1">
        <f>orders[[#This Row],[Ship Date]]-orders[[#This Row],[Order Date]]</f>
        <v>0</v>
      </c>
      <c r="N1528" s="1">
        <f>WEEKNUM(orders[[#This Row],[Order Date]])</f>
        <v>9</v>
      </c>
      <c r="O1528" s="1"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s="1">
        <v>157.19999999999999</v>
      </c>
      <c r="F1529" s="2">
        <v>45714</v>
      </c>
      <c r="G1529" s="2">
        <v>45715</v>
      </c>
      <c r="H1529" s="1" t="s">
        <v>23</v>
      </c>
      <c r="I1529" s="1" t="s">
        <v>18</v>
      </c>
      <c r="J1529" s="1">
        <v>5</v>
      </c>
      <c r="K1529" s="1" t="s">
        <v>19</v>
      </c>
      <c r="L1529" s="1" t="s">
        <v>72</v>
      </c>
      <c r="M1529" s="1">
        <f>orders[[#This Row],[Ship Date]]-orders[[#This Row],[Order Date]]</f>
        <v>1</v>
      </c>
      <c r="N1529" s="1">
        <f>WEEKNUM(orders[[#This Row],[Order Date]])</f>
        <v>9</v>
      </c>
      <c r="O1529" s="1"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s="1">
        <v>792.5</v>
      </c>
      <c r="F1530" s="2">
        <v>45714</v>
      </c>
      <c r="G1530" s="2">
        <v>45716</v>
      </c>
      <c r="H1530" s="1" t="s">
        <v>17</v>
      </c>
      <c r="I1530" s="1" t="s">
        <v>40</v>
      </c>
      <c r="J1530" s="1">
        <v>5</v>
      </c>
      <c r="K1530" s="1" t="s">
        <v>19</v>
      </c>
      <c r="L1530" s="1" t="s">
        <v>72</v>
      </c>
      <c r="M1530" s="1">
        <f>orders[[#This Row],[Ship Date]]-orders[[#This Row],[Order Date]]</f>
        <v>2</v>
      </c>
      <c r="N1530" s="1">
        <f>WEEKNUM(orders[[#This Row],[Order Date]])</f>
        <v>9</v>
      </c>
      <c r="O1530" s="1"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s="1">
        <v>235</v>
      </c>
      <c r="F1531" s="2">
        <v>45714</v>
      </c>
      <c r="G1531" s="2">
        <v>45717</v>
      </c>
      <c r="H1531" s="1" t="s">
        <v>23</v>
      </c>
      <c r="I1531" s="1" t="s">
        <v>18</v>
      </c>
      <c r="J1531" s="1">
        <v>2</v>
      </c>
      <c r="K1531" s="1" t="s">
        <v>19</v>
      </c>
      <c r="L1531" s="1" t="s">
        <v>74</v>
      </c>
      <c r="M1531" s="1">
        <f>orders[[#This Row],[Ship Date]]-orders[[#This Row],[Order Date]]</f>
        <v>3</v>
      </c>
      <c r="N1531" s="1">
        <f>WEEKNUM(orders[[#This Row],[Order Date]])</f>
        <v>9</v>
      </c>
      <c r="O1531" s="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s="1">
        <v>64.2</v>
      </c>
      <c r="F1532" s="2">
        <v>45714</v>
      </c>
      <c r="G1532" s="2">
        <v>45716</v>
      </c>
      <c r="H1532" s="1" t="s">
        <v>17</v>
      </c>
      <c r="I1532" s="1" t="s">
        <v>51</v>
      </c>
      <c r="J1532" s="1">
        <v>4</v>
      </c>
      <c r="K1532" s="1" t="s">
        <v>19</v>
      </c>
      <c r="L1532" s="1" t="s">
        <v>74</v>
      </c>
      <c r="M1532" s="1">
        <f>orders[[#This Row],[Ship Date]]-orders[[#This Row],[Order Date]]</f>
        <v>2</v>
      </c>
      <c r="N1532" s="1">
        <f>WEEKNUM(orders[[#This Row],[Order Date]])</f>
        <v>9</v>
      </c>
      <c r="O1532" s="1"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s="1">
        <v>287.60000000000002</v>
      </c>
      <c r="F1533" s="2">
        <v>45714</v>
      </c>
      <c r="G1533" s="2">
        <v>45714</v>
      </c>
      <c r="H1533" s="1" t="s">
        <v>23</v>
      </c>
      <c r="I1533" s="1" t="s">
        <v>40</v>
      </c>
      <c r="J1533" s="1">
        <v>4</v>
      </c>
      <c r="K1533" s="1" t="s">
        <v>19</v>
      </c>
      <c r="L1533" s="1" t="s">
        <v>110</v>
      </c>
      <c r="M1533" s="1">
        <f>orders[[#This Row],[Ship Date]]-orders[[#This Row],[Order Date]]</f>
        <v>0</v>
      </c>
      <c r="N1533" s="1">
        <f>WEEKNUM(orders[[#This Row],[Order Date]])</f>
        <v>9</v>
      </c>
      <c r="O1533" s="1"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s="1">
        <v>133.80000000000001</v>
      </c>
      <c r="F1534" s="2">
        <v>45714</v>
      </c>
      <c r="G1534" s="2">
        <v>45715</v>
      </c>
      <c r="H1534" s="1" t="s">
        <v>17</v>
      </c>
      <c r="I1534" s="1" t="s">
        <v>51</v>
      </c>
      <c r="J1534" s="1">
        <v>5</v>
      </c>
      <c r="K1534" s="1" t="s">
        <v>19</v>
      </c>
      <c r="L1534" s="1" t="s">
        <v>82</v>
      </c>
      <c r="M1534" s="1">
        <f>orders[[#This Row],[Ship Date]]-orders[[#This Row],[Order Date]]</f>
        <v>1</v>
      </c>
      <c r="N1534" s="1">
        <f>WEEKNUM(orders[[#This Row],[Order Date]])</f>
        <v>9</v>
      </c>
      <c r="O1534" s="1"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s="1">
        <v>59</v>
      </c>
      <c r="F1535" s="2">
        <v>45714</v>
      </c>
      <c r="G1535" s="2">
        <v>45715</v>
      </c>
      <c r="H1535" s="1" t="s">
        <v>27</v>
      </c>
      <c r="I1535" s="1" t="s">
        <v>18</v>
      </c>
      <c r="J1535" s="1">
        <v>5</v>
      </c>
      <c r="K1535" s="1" t="s">
        <v>19</v>
      </c>
      <c r="L1535" s="1" t="s">
        <v>82</v>
      </c>
      <c r="M1535" s="1">
        <f>orders[[#This Row],[Ship Date]]-orders[[#This Row],[Order Date]]</f>
        <v>1</v>
      </c>
      <c r="N1535" s="1">
        <f>WEEKNUM(orders[[#This Row],[Order Date]])</f>
        <v>9</v>
      </c>
      <c r="O1535" s="1"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s="1">
        <v>167.6</v>
      </c>
      <c r="F1536" s="2">
        <v>45714</v>
      </c>
      <c r="G1536" s="2">
        <v>45718</v>
      </c>
      <c r="H1536" s="1" t="s">
        <v>27</v>
      </c>
      <c r="I1536" s="1" t="s">
        <v>18</v>
      </c>
      <c r="J1536" s="1">
        <v>3</v>
      </c>
      <c r="K1536" s="1" t="s">
        <v>19</v>
      </c>
      <c r="L1536" s="1" t="s">
        <v>115</v>
      </c>
      <c r="M1536" s="1">
        <f>orders[[#This Row],[Ship Date]]-orders[[#This Row],[Order Date]]</f>
        <v>4</v>
      </c>
      <c r="N1536" s="1">
        <f>WEEKNUM(orders[[#This Row],[Order Date]])</f>
        <v>9</v>
      </c>
      <c r="O1536" s="1"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s="1">
        <v>323.39999999999998</v>
      </c>
      <c r="F1537" s="2">
        <v>45714</v>
      </c>
      <c r="G1537" s="2">
        <v>45715</v>
      </c>
      <c r="H1537" s="1" t="s">
        <v>23</v>
      </c>
      <c r="I1537" s="1" t="s">
        <v>35</v>
      </c>
      <c r="J1537" s="1">
        <v>5</v>
      </c>
      <c r="K1537" s="1" t="s">
        <v>19</v>
      </c>
      <c r="L1537" s="1" t="s">
        <v>641</v>
      </c>
      <c r="M1537" s="1">
        <f>orders[[#This Row],[Ship Date]]-orders[[#This Row],[Order Date]]</f>
        <v>1</v>
      </c>
      <c r="N1537" s="1">
        <f>WEEKNUM(orders[[#This Row],[Order Date]])</f>
        <v>9</v>
      </c>
      <c r="O1537" s="1"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s="1">
        <v>90.5</v>
      </c>
      <c r="F1538" s="2">
        <v>45714</v>
      </c>
      <c r="G1538" s="2">
        <v>45717</v>
      </c>
      <c r="H1538" s="1" t="s">
        <v>23</v>
      </c>
      <c r="I1538" s="1" t="s">
        <v>18</v>
      </c>
      <c r="J1538" s="1">
        <v>5</v>
      </c>
      <c r="K1538" s="1" t="s">
        <v>19</v>
      </c>
      <c r="L1538" s="1" t="s">
        <v>28</v>
      </c>
      <c r="M1538" s="1">
        <f>orders[[#This Row],[Ship Date]]-orders[[#This Row],[Order Date]]</f>
        <v>3</v>
      </c>
      <c r="N1538" s="1">
        <f>WEEKNUM(orders[[#This Row],[Order Date]])</f>
        <v>9</v>
      </c>
      <c r="O1538" s="1"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s="1">
        <v>718.19999999999993</v>
      </c>
      <c r="F1539" s="2">
        <v>45714</v>
      </c>
      <c r="G1539" s="2">
        <v>45715</v>
      </c>
      <c r="H1539" s="1" t="s">
        <v>27</v>
      </c>
      <c r="I1539" s="1" t="s">
        <v>35</v>
      </c>
      <c r="J1539" s="1">
        <v>3</v>
      </c>
      <c r="K1539" s="1" t="s">
        <v>19</v>
      </c>
      <c r="L1539" s="1" t="s">
        <v>147</v>
      </c>
      <c r="M1539" s="1">
        <f>orders[[#This Row],[Ship Date]]-orders[[#This Row],[Order Date]]</f>
        <v>1</v>
      </c>
      <c r="N1539" s="1">
        <f>WEEKNUM(orders[[#This Row],[Order Date]])</f>
        <v>9</v>
      </c>
      <c r="O1539" s="1"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s="1">
        <v>66.900000000000006</v>
      </c>
      <c r="F1540" s="2">
        <v>45714</v>
      </c>
      <c r="G1540" s="2">
        <v>45717</v>
      </c>
      <c r="H1540" s="1" t="s">
        <v>27</v>
      </c>
      <c r="I1540" s="1" t="s">
        <v>18</v>
      </c>
      <c r="J1540" s="1">
        <v>5</v>
      </c>
      <c r="K1540" s="1" t="s">
        <v>19</v>
      </c>
      <c r="L1540" s="1" t="s">
        <v>147</v>
      </c>
      <c r="M1540" s="1">
        <f>orders[[#This Row],[Ship Date]]-orders[[#This Row],[Order Date]]</f>
        <v>3</v>
      </c>
      <c r="N1540" s="1">
        <f>WEEKNUM(orders[[#This Row],[Order Date]])</f>
        <v>9</v>
      </c>
      <c r="O1540" s="1"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s="1">
        <v>22.9</v>
      </c>
      <c r="F1541" s="2">
        <v>45714</v>
      </c>
      <c r="G1541" s="2">
        <v>45714</v>
      </c>
      <c r="H1541" s="1" t="s">
        <v>27</v>
      </c>
      <c r="I1541" s="1" t="s">
        <v>35</v>
      </c>
      <c r="J1541" s="1">
        <v>4</v>
      </c>
      <c r="K1541" s="1" t="s">
        <v>19</v>
      </c>
      <c r="L1541" s="1" t="s">
        <v>147</v>
      </c>
      <c r="M1541" s="1">
        <f>orders[[#This Row],[Ship Date]]-orders[[#This Row],[Order Date]]</f>
        <v>0</v>
      </c>
      <c r="N1541" s="1">
        <f>WEEKNUM(orders[[#This Row],[Order Date]])</f>
        <v>9</v>
      </c>
      <c r="O1541" s="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s="1">
        <v>48.599999999999994</v>
      </c>
      <c r="F1542" s="2">
        <v>45715</v>
      </c>
      <c r="G1542" s="2">
        <v>45715</v>
      </c>
      <c r="H1542" s="1" t="s">
        <v>23</v>
      </c>
      <c r="I1542" s="1" t="s">
        <v>70</v>
      </c>
      <c r="J1542" s="1">
        <v>5</v>
      </c>
      <c r="K1542" s="1" t="s">
        <v>19</v>
      </c>
      <c r="L1542" s="1" t="s">
        <v>33</v>
      </c>
      <c r="M1542" s="1">
        <f>orders[[#This Row],[Ship Date]]-orders[[#This Row],[Order Date]]</f>
        <v>0</v>
      </c>
      <c r="N1542" s="1">
        <f>WEEKNUM(orders[[#This Row],[Order Date]])</f>
        <v>9</v>
      </c>
      <c r="O1542" s="1"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s="1">
        <v>238</v>
      </c>
      <c r="F1543" s="2">
        <v>45715</v>
      </c>
      <c r="G1543" s="2">
        <v>45716</v>
      </c>
      <c r="H1543" s="1" t="s">
        <v>23</v>
      </c>
      <c r="I1543" s="1" t="s">
        <v>35</v>
      </c>
      <c r="J1543" s="1">
        <v>5</v>
      </c>
      <c r="K1543" s="1" t="s">
        <v>19</v>
      </c>
      <c r="L1543" s="1" t="s">
        <v>33</v>
      </c>
      <c r="M1543" s="1">
        <f>orders[[#This Row],[Ship Date]]-orders[[#This Row],[Order Date]]</f>
        <v>1</v>
      </c>
      <c r="N1543" s="1">
        <f>WEEKNUM(orders[[#This Row],[Order Date]])</f>
        <v>9</v>
      </c>
      <c r="O1543" s="1"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s="1">
        <v>131</v>
      </c>
      <c r="F1544" s="2">
        <v>45715</v>
      </c>
      <c r="G1544" s="2">
        <v>45718</v>
      </c>
      <c r="H1544" s="1" t="s">
        <v>23</v>
      </c>
      <c r="I1544" s="1" t="s">
        <v>51</v>
      </c>
      <c r="J1544" s="1">
        <v>2</v>
      </c>
      <c r="K1544" s="1" t="s">
        <v>19</v>
      </c>
      <c r="L1544" s="1" t="s">
        <v>33</v>
      </c>
      <c r="M1544" s="1">
        <f>orders[[#This Row],[Ship Date]]-orders[[#This Row],[Order Date]]</f>
        <v>3</v>
      </c>
      <c r="N1544" s="1">
        <f>WEEKNUM(orders[[#This Row],[Order Date]])</f>
        <v>9</v>
      </c>
      <c r="O1544" s="1"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s="1">
        <v>44.2</v>
      </c>
      <c r="F1545" s="2">
        <v>45715</v>
      </c>
      <c r="G1545" s="2">
        <v>45718</v>
      </c>
      <c r="H1545" s="1" t="s">
        <v>27</v>
      </c>
      <c r="I1545" s="1" t="s">
        <v>35</v>
      </c>
      <c r="J1545" s="1">
        <v>4</v>
      </c>
      <c r="K1545" s="1" t="s">
        <v>19</v>
      </c>
      <c r="L1545" s="1" t="s">
        <v>33</v>
      </c>
      <c r="M1545" s="1">
        <f>orders[[#This Row],[Ship Date]]-orders[[#This Row],[Order Date]]</f>
        <v>3</v>
      </c>
      <c r="N1545" s="1">
        <f>WEEKNUM(orders[[#This Row],[Order Date]])</f>
        <v>9</v>
      </c>
      <c r="O1545" s="1"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s="1">
        <v>118.4</v>
      </c>
      <c r="F1546" s="2">
        <v>45715</v>
      </c>
      <c r="G1546" s="2">
        <v>45715</v>
      </c>
      <c r="H1546" s="1" t="s">
        <v>27</v>
      </c>
      <c r="I1546" s="1" t="s">
        <v>35</v>
      </c>
      <c r="J1546" s="1">
        <v>2</v>
      </c>
      <c r="K1546" s="1" t="s">
        <v>19</v>
      </c>
      <c r="L1546" s="1" t="s">
        <v>33</v>
      </c>
      <c r="M1546" s="1">
        <f>orders[[#This Row],[Ship Date]]-orders[[#This Row],[Order Date]]</f>
        <v>0</v>
      </c>
      <c r="N1546" s="1">
        <f>WEEKNUM(orders[[#This Row],[Order Date]])</f>
        <v>9</v>
      </c>
      <c r="O1546" s="1"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s="1">
        <v>166</v>
      </c>
      <c r="F1547" s="2">
        <v>45715</v>
      </c>
      <c r="G1547" s="2">
        <v>45717</v>
      </c>
      <c r="H1547" s="1" t="s">
        <v>27</v>
      </c>
      <c r="I1547" s="1" t="s">
        <v>18</v>
      </c>
      <c r="J1547" s="1">
        <v>4</v>
      </c>
      <c r="K1547" s="1" t="s">
        <v>19</v>
      </c>
      <c r="L1547" s="1" t="s">
        <v>98</v>
      </c>
      <c r="M1547" s="1">
        <f>orders[[#This Row],[Ship Date]]-orders[[#This Row],[Order Date]]</f>
        <v>2</v>
      </c>
      <c r="N1547" s="1">
        <f>WEEKNUM(orders[[#This Row],[Order Date]])</f>
        <v>9</v>
      </c>
      <c r="O1547" s="1"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s="1">
        <v>805.19999999999993</v>
      </c>
      <c r="F1548" s="2">
        <v>45715</v>
      </c>
      <c r="G1548" s="2">
        <v>45729</v>
      </c>
      <c r="H1548" s="1" t="s">
        <v>27</v>
      </c>
      <c r="I1548" s="1" t="s">
        <v>18</v>
      </c>
      <c r="J1548" s="1">
        <v>5</v>
      </c>
      <c r="K1548" s="1" t="s">
        <v>19</v>
      </c>
      <c r="L1548" s="1" t="s">
        <v>158</v>
      </c>
      <c r="M1548" s="1">
        <f>orders[[#This Row],[Ship Date]]-orders[[#This Row],[Order Date]]</f>
        <v>14</v>
      </c>
      <c r="N1548" s="1">
        <f>WEEKNUM(orders[[#This Row],[Order Date]])</f>
        <v>9</v>
      </c>
      <c r="O1548" s="1"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s="1">
        <v>57.4</v>
      </c>
      <c r="F1549" s="2">
        <v>45715</v>
      </c>
      <c r="G1549" s="2">
        <v>45719</v>
      </c>
      <c r="H1549" s="1" t="s">
        <v>27</v>
      </c>
      <c r="I1549" s="1" t="s">
        <v>35</v>
      </c>
      <c r="J1549" s="1">
        <v>4</v>
      </c>
      <c r="K1549" s="1" t="s">
        <v>19</v>
      </c>
      <c r="L1549" s="1" t="s">
        <v>55</v>
      </c>
      <c r="M1549" s="1">
        <f>orders[[#This Row],[Ship Date]]-orders[[#This Row],[Order Date]]</f>
        <v>4</v>
      </c>
      <c r="N1549" s="1">
        <f>WEEKNUM(orders[[#This Row],[Order Date]])</f>
        <v>9</v>
      </c>
      <c r="O1549" s="1"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s="1">
        <v>528.4</v>
      </c>
      <c r="F1550" s="2">
        <v>45715</v>
      </c>
      <c r="G1550" s="2">
        <v>45716</v>
      </c>
      <c r="H1550" s="1" t="s">
        <v>27</v>
      </c>
      <c r="I1550" s="1" t="s">
        <v>18</v>
      </c>
      <c r="J1550" s="1">
        <v>3</v>
      </c>
      <c r="K1550" s="1" t="s">
        <v>19</v>
      </c>
      <c r="L1550" s="1" t="s">
        <v>55</v>
      </c>
      <c r="M1550" s="1">
        <f>orders[[#This Row],[Ship Date]]-orders[[#This Row],[Order Date]]</f>
        <v>1</v>
      </c>
      <c r="N1550" s="1">
        <f>WEEKNUM(orders[[#This Row],[Order Date]])</f>
        <v>9</v>
      </c>
      <c r="O1550" s="1"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s="1">
        <v>94</v>
      </c>
      <c r="F1551" s="2">
        <v>45715</v>
      </c>
      <c r="G1551" s="2">
        <v>45717</v>
      </c>
      <c r="H1551" s="1" t="s">
        <v>23</v>
      </c>
      <c r="I1551" s="1" t="s">
        <v>70</v>
      </c>
      <c r="J1551" s="1">
        <v>4</v>
      </c>
      <c r="K1551" s="1" t="s">
        <v>19</v>
      </c>
      <c r="L1551" s="1" t="s">
        <v>62</v>
      </c>
      <c r="M1551" s="1">
        <f>orders[[#This Row],[Ship Date]]-orders[[#This Row],[Order Date]]</f>
        <v>2</v>
      </c>
      <c r="N1551" s="1">
        <f>WEEKNUM(orders[[#This Row],[Order Date]])</f>
        <v>9</v>
      </c>
      <c r="O1551" s="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s="1">
        <v>83.2</v>
      </c>
      <c r="F1552" s="2">
        <v>45715</v>
      </c>
      <c r="G1552" s="2">
        <v>45719</v>
      </c>
      <c r="H1552" s="1" t="s">
        <v>23</v>
      </c>
      <c r="I1552" s="1" t="s">
        <v>35</v>
      </c>
      <c r="J1552" s="1">
        <v>5</v>
      </c>
      <c r="K1552" s="1" t="s">
        <v>19</v>
      </c>
      <c r="L1552" s="1" t="s">
        <v>62</v>
      </c>
      <c r="M1552" s="1">
        <f>orders[[#This Row],[Ship Date]]-orders[[#This Row],[Order Date]]</f>
        <v>4</v>
      </c>
      <c r="N1552" s="1">
        <f>WEEKNUM(orders[[#This Row],[Order Date]])</f>
        <v>9</v>
      </c>
      <c r="O1552" s="1"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s="1">
        <v>657.4</v>
      </c>
      <c r="F1553" s="2">
        <v>45715</v>
      </c>
      <c r="G1553" s="2">
        <v>45717</v>
      </c>
      <c r="H1553" s="1" t="s">
        <v>23</v>
      </c>
      <c r="I1553" s="1" t="s">
        <v>40</v>
      </c>
      <c r="J1553" s="1">
        <v>5</v>
      </c>
      <c r="K1553" s="1" t="s">
        <v>19</v>
      </c>
      <c r="L1553" s="1" t="s">
        <v>62</v>
      </c>
      <c r="M1553" s="1">
        <f>orders[[#This Row],[Ship Date]]-orders[[#This Row],[Order Date]]</f>
        <v>2</v>
      </c>
      <c r="N1553" s="1">
        <f>WEEKNUM(orders[[#This Row],[Order Date]])</f>
        <v>9</v>
      </c>
      <c r="O1553" s="1"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s="1">
        <v>125.39999999999999</v>
      </c>
      <c r="F1554" s="2">
        <v>45715</v>
      </c>
      <c r="G1554" s="2">
        <v>45718</v>
      </c>
      <c r="H1554" s="1" t="s">
        <v>23</v>
      </c>
      <c r="I1554" s="1" t="s">
        <v>18</v>
      </c>
      <c r="J1554" s="1">
        <v>5</v>
      </c>
      <c r="K1554" s="1" t="s">
        <v>19</v>
      </c>
      <c r="L1554" s="1" t="s">
        <v>62</v>
      </c>
      <c r="M1554" s="1">
        <f>orders[[#This Row],[Ship Date]]-orders[[#This Row],[Order Date]]</f>
        <v>3</v>
      </c>
      <c r="N1554" s="1">
        <f>WEEKNUM(orders[[#This Row],[Order Date]])</f>
        <v>9</v>
      </c>
      <c r="O1554" s="1"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s="1">
        <v>24</v>
      </c>
      <c r="F1555" s="2">
        <v>45715</v>
      </c>
      <c r="G1555" s="2">
        <v>45716</v>
      </c>
      <c r="H1555" s="1" t="s">
        <v>27</v>
      </c>
      <c r="I1555" s="1" t="s">
        <v>18</v>
      </c>
      <c r="J1555" s="1">
        <v>4</v>
      </c>
      <c r="K1555" s="1" t="s">
        <v>19</v>
      </c>
      <c r="L1555" s="1" t="s">
        <v>103</v>
      </c>
      <c r="M1555" s="1">
        <f>orders[[#This Row],[Ship Date]]-orders[[#This Row],[Order Date]]</f>
        <v>1</v>
      </c>
      <c r="N1555" s="1">
        <f>WEEKNUM(orders[[#This Row],[Order Date]])</f>
        <v>9</v>
      </c>
      <c r="O1555" s="1"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s="1">
        <v>166.5</v>
      </c>
      <c r="F1556" s="2">
        <v>45715</v>
      </c>
      <c r="G1556" s="2">
        <v>45717</v>
      </c>
      <c r="H1556" s="1" t="s">
        <v>27</v>
      </c>
      <c r="I1556" s="1" t="s">
        <v>18</v>
      </c>
      <c r="J1556" s="1">
        <v>4</v>
      </c>
      <c r="K1556" s="1" t="s">
        <v>19</v>
      </c>
      <c r="L1556" s="1" t="s">
        <v>72</v>
      </c>
      <c r="M1556" s="1">
        <f>orders[[#This Row],[Ship Date]]-orders[[#This Row],[Order Date]]</f>
        <v>2</v>
      </c>
      <c r="N1556" s="1">
        <f>WEEKNUM(orders[[#This Row],[Order Date]])</f>
        <v>9</v>
      </c>
      <c r="O1556" s="1"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s="1">
        <v>800.40000000000009</v>
      </c>
      <c r="F1557" s="2">
        <v>45715</v>
      </c>
      <c r="G1557" s="2">
        <v>45718</v>
      </c>
      <c r="H1557" s="1" t="s">
        <v>17</v>
      </c>
      <c r="I1557" s="1" t="s">
        <v>18</v>
      </c>
      <c r="J1557" s="1">
        <v>5</v>
      </c>
      <c r="K1557" s="1" t="s">
        <v>19</v>
      </c>
      <c r="L1557" s="1" t="s">
        <v>77</v>
      </c>
      <c r="M1557" s="1">
        <f>orders[[#This Row],[Ship Date]]-orders[[#This Row],[Order Date]]</f>
        <v>3</v>
      </c>
      <c r="N1557" s="1">
        <f>WEEKNUM(orders[[#This Row],[Order Date]])</f>
        <v>9</v>
      </c>
      <c r="O1557" s="1"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s="1">
        <v>132.4</v>
      </c>
      <c r="F1558" s="2">
        <v>45715</v>
      </c>
      <c r="G1558" s="2">
        <v>45720</v>
      </c>
      <c r="H1558" s="1" t="s">
        <v>23</v>
      </c>
      <c r="I1558" s="1" t="s">
        <v>51</v>
      </c>
      <c r="J1558" s="1">
        <v>4</v>
      </c>
      <c r="K1558" s="1" t="s">
        <v>19</v>
      </c>
      <c r="L1558" s="1" t="s">
        <v>77</v>
      </c>
      <c r="M1558" s="1">
        <f>orders[[#This Row],[Ship Date]]-orders[[#This Row],[Order Date]]</f>
        <v>5</v>
      </c>
      <c r="N1558" s="1">
        <f>WEEKNUM(orders[[#This Row],[Order Date]])</f>
        <v>9</v>
      </c>
      <c r="O1558" s="1"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s="1">
        <v>378.90000000000003</v>
      </c>
      <c r="F1559" s="2">
        <v>45715</v>
      </c>
      <c r="G1559" s="2">
        <v>45726</v>
      </c>
      <c r="H1559" s="1" t="s">
        <v>23</v>
      </c>
      <c r="I1559" s="1" t="s">
        <v>35</v>
      </c>
      <c r="J1559" s="1">
        <v>4</v>
      </c>
      <c r="K1559" s="1" t="s">
        <v>19</v>
      </c>
      <c r="L1559" s="1" t="s">
        <v>108</v>
      </c>
      <c r="M1559" s="1">
        <f>orders[[#This Row],[Ship Date]]-orders[[#This Row],[Order Date]]</f>
        <v>11</v>
      </c>
      <c r="N1559" s="1">
        <f>WEEKNUM(orders[[#This Row],[Order Date]])</f>
        <v>9</v>
      </c>
      <c r="O1559" s="1"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s="1">
        <v>410.90000000000003</v>
      </c>
      <c r="F1560" s="2">
        <v>45715</v>
      </c>
      <c r="G1560" s="2">
        <v>45715</v>
      </c>
      <c r="H1560" s="1" t="s">
        <v>89</v>
      </c>
      <c r="I1560" s="1" t="s">
        <v>51</v>
      </c>
      <c r="J1560" s="1">
        <v>4</v>
      </c>
      <c r="K1560" s="1" t="s">
        <v>19</v>
      </c>
      <c r="L1560" s="1" t="s">
        <v>292</v>
      </c>
      <c r="M1560" s="1">
        <f>orders[[#This Row],[Ship Date]]-orders[[#This Row],[Order Date]]</f>
        <v>0</v>
      </c>
      <c r="N1560" s="1">
        <f>WEEKNUM(orders[[#This Row],[Order Date]])</f>
        <v>9</v>
      </c>
      <c r="O1560" s="1"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s="1">
        <v>216</v>
      </c>
      <c r="F1561" s="2">
        <v>45715</v>
      </c>
      <c r="G1561" s="2">
        <v>45717</v>
      </c>
      <c r="H1561" s="1" t="s">
        <v>27</v>
      </c>
      <c r="I1561" s="1" t="s">
        <v>35</v>
      </c>
      <c r="J1561" s="1">
        <v>4</v>
      </c>
      <c r="K1561" s="1" t="s">
        <v>19</v>
      </c>
      <c r="L1561" s="1" t="s">
        <v>24</v>
      </c>
      <c r="M1561" s="1">
        <f>orders[[#This Row],[Ship Date]]-orders[[#This Row],[Order Date]]</f>
        <v>2</v>
      </c>
      <c r="N1561" s="1">
        <f>WEEKNUM(orders[[#This Row],[Order Date]])</f>
        <v>9</v>
      </c>
      <c r="O1561" s="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s="1">
        <v>52.1</v>
      </c>
      <c r="F1562" s="2">
        <v>45715</v>
      </c>
      <c r="G1562" s="2">
        <v>45716</v>
      </c>
      <c r="H1562" s="1" t="s">
        <v>27</v>
      </c>
      <c r="I1562" s="1" t="s">
        <v>40</v>
      </c>
      <c r="J1562" s="1">
        <v>5</v>
      </c>
      <c r="K1562" s="1" t="s">
        <v>19</v>
      </c>
      <c r="L1562" s="1" t="s">
        <v>28</v>
      </c>
      <c r="M1562" s="1">
        <f>orders[[#This Row],[Ship Date]]-orders[[#This Row],[Order Date]]</f>
        <v>1</v>
      </c>
      <c r="N1562" s="1">
        <f>WEEKNUM(orders[[#This Row],[Order Date]])</f>
        <v>9</v>
      </c>
      <c r="O1562" s="1"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s="1">
        <v>54</v>
      </c>
      <c r="F1563" s="2">
        <v>45715</v>
      </c>
      <c r="G1563" s="2">
        <v>45718</v>
      </c>
      <c r="H1563" s="1" t="s">
        <v>89</v>
      </c>
      <c r="I1563" s="1" t="s">
        <v>40</v>
      </c>
      <c r="J1563" s="1">
        <v>4</v>
      </c>
      <c r="K1563" s="1" t="s">
        <v>19</v>
      </c>
      <c r="L1563" s="1" t="s">
        <v>147</v>
      </c>
      <c r="M1563" s="1">
        <f>orders[[#This Row],[Ship Date]]-orders[[#This Row],[Order Date]]</f>
        <v>3</v>
      </c>
      <c r="N1563" s="1">
        <f>WEEKNUM(orders[[#This Row],[Order Date]])</f>
        <v>9</v>
      </c>
      <c r="O1563" s="1"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s="1">
        <v>310</v>
      </c>
      <c r="F1564" s="2">
        <v>45716</v>
      </c>
      <c r="G1564" s="2">
        <v>45717</v>
      </c>
      <c r="H1564" s="1" t="s">
        <v>27</v>
      </c>
      <c r="I1564" s="1" t="s">
        <v>51</v>
      </c>
      <c r="J1564" s="1">
        <v>5</v>
      </c>
      <c r="K1564" s="1" t="s">
        <v>19</v>
      </c>
      <c r="L1564" s="1" t="s">
        <v>147</v>
      </c>
      <c r="M1564" s="1">
        <f>orders[[#This Row],[Ship Date]]-orders[[#This Row],[Order Date]]</f>
        <v>1</v>
      </c>
      <c r="N1564" s="1">
        <f>WEEKNUM(orders[[#This Row],[Order Date]])</f>
        <v>9</v>
      </c>
      <c r="O1564" s="1"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s="1">
        <v>93.4</v>
      </c>
      <c r="F1565" s="2">
        <v>45716</v>
      </c>
      <c r="G1565" s="2">
        <v>45716</v>
      </c>
      <c r="H1565" s="1" t="s">
        <v>27</v>
      </c>
      <c r="I1565" s="1" t="s">
        <v>18</v>
      </c>
      <c r="J1565" s="1">
        <v>4</v>
      </c>
      <c r="K1565" s="1" t="s">
        <v>19</v>
      </c>
      <c r="L1565" s="1" t="s">
        <v>334</v>
      </c>
      <c r="M1565" s="1">
        <f>orders[[#This Row],[Ship Date]]-orders[[#This Row],[Order Date]]</f>
        <v>0</v>
      </c>
      <c r="N1565" s="1">
        <f>WEEKNUM(orders[[#This Row],[Order Date]])</f>
        <v>9</v>
      </c>
      <c r="O1565" s="1"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s="1">
        <v>144.69999999999999</v>
      </c>
      <c r="F1566" s="2">
        <v>45716</v>
      </c>
      <c r="G1566" s="2">
        <v>45719</v>
      </c>
      <c r="H1566" s="1" t="s">
        <v>23</v>
      </c>
      <c r="I1566" s="1" t="s">
        <v>18</v>
      </c>
      <c r="J1566" s="1">
        <v>5</v>
      </c>
      <c r="K1566" s="1" t="s">
        <v>19</v>
      </c>
      <c r="L1566" s="1" t="s">
        <v>33</v>
      </c>
      <c r="M1566" s="1">
        <f>orders[[#This Row],[Ship Date]]-orders[[#This Row],[Order Date]]</f>
        <v>3</v>
      </c>
      <c r="N1566" s="1">
        <f>WEEKNUM(orders[[#This Row],[Order Date]])</f>
        <v>9</v>
      </c>
      <c r="O1566" s="1"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s="1">
        <v>818.1</v>
      </c>
      <c r="F1567" s="2">
        <v>45716</v>
      </c>
      <c r="G1567" s="2">
        <v>45717</v>
      </c>
      <c r="H1567" s="1" t="s">
        <v>23</v>
      </c>
      <c r="I1567" s="1" t="s">
        <v>18</v>
      </c>
      <c r="J1567" s="1">
        <v>5</v>
      </c>
      <c r="K1567" s="1" t="s">
        <v>19</v>
      </c>
      <c r="L1567" s="1" t="s">
        <v>33</v>
      </c>
      <c r="M1567" s="1">
        <f>orders[[#This Row],[Ship Date]]-orders[[#This Row],[Order Date]]</f>
        <v>1</v>
      </c>
      <c r="N1567" s="1">
        <f>WEEKNUM(orders[[#This Row],[Order Date]])</f>
        <v>9</v>
      </c>
      <c r="O1567" s="1"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s="1">
        <v>151.6</v>
      </c>
      <c r="F1568" s="2">
        <v>45716</v>
      </c>
      <c r="G1568" s="2">
        <v>45717</v>
      </c>
      <c r="H1568" s="1" t="s">
        <v>27</v>
      </c>
      <c r="I1568" s="1" t="s">
        <v>40</v>
      </c>
      <c r="J1568" s="1">
        <v>3</v>
      </c>
      <c r="K1568" s="1" t="s">
        <v>19</v>
      </c>
      <c r="L1568" s="1" t="s">
        <v>33</v>
      </c>
      <c r="M1568" s="1">
        <f>orders[[#This Row],[Ship Date]]-orders[[#This Row],[Order Date]]</f>
        <v>1</v>
      </c>
      <c r="N1568" s="1">
        <f>WEEKNUM(orders[[#This Row],[Order Date]])</f>
        <v>9</v>
      </c>
      <c r="O1568" s="1"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s="1">
        <v>289.5</v>
      </c>
      <c r="F1569" s="2">
        <v>45716</v>
      </c>
      <c r="G1569" s="2">
        <v>45718</v>
      </c>
      <c r="H1569" s="1" t="s">
        <v>23</v>
      </c>
      <c r="I1569" s="1" t="s">
        <v>40</v>
      </c>
      <c r="J1569" s="1">
        <v>5</v>
      </c>
      <c r="K1569" s="1" t="s">
        <v>19</v>
      </c>
      <c r="L1569" s="1" t="s">
        <v>33</v>
      </c>
      <c r="M1569" s="1">
        <f>orders[[#This Row],[Ship Date]]-orders[[#This Row],[Order Date]]</f>
        <v>2</v>
      </c>
      <c r="N1569" s="1">
        <f>WEEKNUM(orders[[#This Row],[Order Date]])</f>
        <v>9</v>
      </c>
      <c r="O1569" s="1"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s="1">
        <v>224</v>
      </c>
      <c r="F1570" s="2">
        <v>45716</v>
      </c>
      <c r="G1570" s="2">
        <v>45717</v>
      </c>
      <c r="H1570" s="1" t="s">
        <v>27</v>
      </c>
      <c r="I1570" s="1" t="s">
        <v>51</v>
      </c>
      <c r="J1570" s="1">
        <v>5</v>
      </c>
      <c r="K1570" s="1" t="s">
        <v>19</v>
      </c>
      <c r="L1570" s="1" t="s">
        <v>33</v>
      </c>
      <c r="M1570" s="1">
        <f>orders[[#This Row],[Ship Date]]-orders[[#This Row],[Order Date]]</f>
        <v>1</v>
      </c>
      <c r="N1570" s="1">
        <f>WEEKNUM(orders[[#This Row],[Order Date]])</f>
        <v>9</v>
      </c>
      <c r="O1570" s="1"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s="1">
        <v>132.60000000000002</v>
      </c>
      <c r="F1571" s="2">
        <v>45716</v>
      </c>
      <c r="G1571" s="2">
        <v>45720</v>
      </c>
      <c r="H1571" s="1" t="s">
        <v>23</v>
      </c>
      <c r="I1571" s="1" t="s">
        <v>40</v>
      </c>
      <c r="J1571" s="1">
        <v>5</v>
      </c>
      <c r="K1571" s="1" t="s">
        <v>19</v>
      </c>
      <c r="L1571" s="1" t="s">
        <v>33</v>
      </c>
      <c r="M1571" s="1">
        <f>orders[[#This Row],[Ship Date]]-orders[[#This Row],[Order Date]]</f>
        <v>4</v>
      </c>
      <c r="N1571" s="1">
        <f>WEEKNUM(orders[[#This Row],[Order Date]])</f>
        <v>9</v>
      </c>
      <c r="O1571" s="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s="1">
        <v>267.5</v>
      </c>
      <c r="F1572" s="2">
        <v>45716</v>
      </c>
      <c r="G1572" s="2">
        <v>45718</v>
      </c>
      <c r="H1572" s="1" t="s">
        <v>23</v>
      </c>
      <c r="I1572" s="1" t="s">
        <v>18</v>
      </c>
      <c r="J1572" s="1">
        <v>4</v>
      </c>
      <c r="K1572" s="1" t="s">
        <v>19</v>
      </c>
      <c r="L1572" s="1" t="s">
        <v>364</v>
      </c>
      <c r="M1572" s="1">
        <f>orders[[#This Row],[Ship Date]]-orders[[#This Row],[Order Date]]</f>
        <v>2</v>
      </c>
      <c r="N1572" s="1">
        <f>WEEKNUM(orders[[#This Row],[Order Date]])</f>
        <v>9</v>
      </c>
      <c r="O1572" s="1"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s="1">
        <v>144.4</v>
      </c>
      <c r="F1573" s="2">
        <v>45716</v>
      </c>
      <c r="G1573" s="2">
        <v>45717</v>
      </c>
      <c r="H1573" s="1" t="s">
        <v>23</v>
      </c>
      <c r="I1573" s="1" t="s">
        <v>18</v>
      </c>
      <c r="J1573" s="1">
        <v>5</v>
      </c>
      <c r="K1573" s="1" t="s">
        <v>19</v>
      </c>
      <c r="L1573" s="1" t="s">
        <v>188</v>
      </c>
      <c r="M1573" s="1">
        <f>orders[[#This Row],[Ship Date]]-orders[[#This Row],[Order Date]]</f>
        <v>1</v>
      </c>
      <c r="N1573" s="1">
        <f>WEEKNUM(orders[[#This Row],[Order Date]])</f>
        <v>9</v>
      </c>
      <c r="O1573" s="1"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s="1">
        <v>249.6</v>
      </c>
      <c r="F1574" s="2">
        <v>45716</v>
      </c>
      <c r="G1574" s="2">
        <v>45719</v>
      </c>
      <c r="H1574" s="1" t="s">
        <v>27</v>
      </c>
      <c r="I1574" s="1" t="s">
        <v>18</v>
      </c>
      <c r="J1574" s="1">
        <v>3</v>
      </c>
      <c r="K1574" s="1" t="s">
        <v>19</v>
      </c>
      <c r="L1574" s="1" t="s">
        <v>158</v>
      </c>
      <c r="M1574" s="1">
        <f>orders[[#This Row],[Ship Date]]-orders[[#This Row],[Order Date]]</f>
        <v>3</v>
      </c>
      <c r="N1574" s="1">
        <f>WEEKNUM(orders[[#This Row],[Order Date]])</f>
        <v>9</v>
      </c>
      <c r="O1574" s="1"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s="1">
        <v>123.5</v>
      </c>
      <c r="F1575" s="2">
        <v>45716</v>
      </c>
      <c r="G1575" s="2">
        <v>45717</v>
      </c>
      <c r="H1575" s="1" t="s">
        <v>27</v>
      </c>
      <c r="I1575" s="1" t="s">
        <v>18</v>
      </c>
      <c r="J1575" s="1">
        <v>4</v>
      </c>
      <c r="K1575" s="1" t="s">
        <v>19</v>
      </c>
      <c r="L1575" s="1" t="s">
        <v>55</v>
      </c>
      <c r="M1575" s="1">
        <f>orders[[#This Row],[Ship Date]]-orders[[#This Row],[Order Date]]</f>
        <v>1</v>
      </c>
      <c r="N1575" s="1">
        <f>WEEKNUM(orders[[#This Row],[Order Date]])</f>
        <v>9</v>
      </c>
      <c r="O1575" s="1"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s="1">
        <v>308.5</v>
      </c>
      <c r="F1576" s="2">
        <v>45716</v>
      </c>
      <c r="G1576" s="2">
        <v>45718</v>
      </c>
      <c r="H1576" s="1" t="s">
        <v>27</v>
      </c>
      <c r="I1576" s="1" t="s">
        <v>40</v>
      </c>
      <c r="J1576" s="1">
        <v>4</v>
      </c>
      <c r="K1576" s="1" t="s">
        <v>19</v>
      </c>
      <c r="L1576" s="1" t="s">
        <v>62</v>
      </c>
      <c r="M1576" s="1">
        <f>orders[[#This Row],[Ship Date]]-orders[[#This Row],[Order Date]]</f>
        <v>2</v>
      </c>
      <c r="N1576" s="1">
        <f>WEEKNUM(orders[[#This Row],[Order Date]])</f>
        <v>9</v>
      </c>
      <c r="O1576" s="1"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s="1">
        <v>91</v>
      </c>
      <c r="F1577" s="2">
        <v>45716</v>
      </c>
      <c r="G1577" s="2">
        <v>45718</v>
      </c>
      <c r="H1577" s="1" t="s">
        <v>27</v>
      </c>
      <c r="I1577" s="1" t="s">
        <v>51</v>
      </c>
      <c r="J1577" s="1">
        <v>4</v>
      </c>
      <c r="K1577" s="1" t="s">
        <v>19</v>
      </c>
      <c r="L1577" s="1" t="s">
        <v>62</v>
      </c>
      <c r="M1577" s="1">
        <f>orders[[#This Row],[Ship Date]]-orders[[#This Row],[Order Date]]</f>
        <v>2</v>
      </c>
      <c r="N1577" s="1">
        <f>WEEKNUM(orders[[#This Row],[Order Date]])</f>
        <v>9</v>
      </c>
      <c r="O1577" s="1"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s="1">
        <v>148.80000000000001</v>
      </c>
      <c r="F1578" s="2">
        <v>45716</v>
      </c>
      <c r="G1578" s="2">
        <v>45722</v>
      </c>
      <c r="H1578" s="1" t="s">
        <v>27</v>
      </c>
      <c r="I1578" s="1" t="s">
        <v>18</v>
      </c>
      <c r="J1578" s="1">
        <v>4</v>
      </c>
      <c r="K1578" s="1" t="s">
        <v>19</v>
      </c>
      <c r="L1578" s="1" t="s">
        <v>62</v>
      </c>
      <c r="M1578" s="1">
        <f>orders[[#This Row],[Ship Date]]-orders[[#This Row],[Order Date]]</f>
        <v>6</v>
      </c>
      <c r="N1578" s="1">
        <f>WEEKNUM(orders[[#This Row],[Order Date]])</f>
        <v>9</v>
      </c>
      <c r="O1578" s="1"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s="1">
        <v>160.5</v>
      </c>
      <c r="F1579" s="2">
        <v>45716</v>
      </c>
      <c r="G1579" s="2">
        <v>45718</v>
      </c>
      <c r="H1579" s="1" t="s">
        <v>27</v>
      </c>
      <c r="I1579" s="1" t="s">
        <v>35</v>
      </c>
      <c r="J1579" s="1">
        <v>5</v>
      </c>
      <c r="K1579" s="1" t="s">
        <v>19</v>
      </c>
      <c r="L1579" s="1" t="s">
        <v>72</v>
      </c>
      <c r="M1579" s="1">
        <f>orders[[#This Row],[Ship Date]]-orders[[#This Row],[Order Date]]</f>
        <v>2</v>
      </c>
      <c r="N1579" s="1">
        <f>WEEKNUM(orders[[#This Row],[Order Date]])</f>
        <v>9</v>
      </c>
      <c r="O1579" s="1"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s="1">
        <v>130.80000000000001</v>
      </c>
      <c r="F1580" s="2">
        <v>45716</v>
      </c>
      <c r="G1580" s="2">
        <v>45716</v>
      </c>
      <c r="H1580" s="1" t="s">
        <v>27</v>
      </c>
      <c r="I1580" s="1" t="s">
        <v>18</v>
      </c>
      <c r="J1580" s="1">
        <v>4</v>
      </c>
      <c r="K1580" s="1" t="s">
        <v>19</v>
      </c>
      <c r="L1580" s="1" t="s">
        <v>72</v>
      </c>
      <c r="M1580" s="1">
        <f>orders[[#This Row],[Ship Date]]-orders[[#This Row],[Order Date]]</f>
        <v>0</v>
      </c>
      <c r="N1580" s="1">
        <f>WEEKNUM(orders[[#This Row],[Order Date]])</f>
        <v>9</v>
      </c>
      <c r="O1580" s="1"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s="1">
        <v>1350</v>
      </c>
      <c r="F1581" s="2">
        <v>45716</v>
      </c>
      <c r="G1581" s="2">
        <v>45718</v>
      </c>
      <c r="H1581" s="1" t="s">
        <v>27</v>
      </c>
      <c r="I1581" s="1" t="s">
        <v>18</v>
      </c>
      <c r="J1581" s="1">
        <v>5</v>
      </c>
      <c r="K1581" s="1" t="s">
        <v>19</v>
      </c>
      <c r="L1581" s="1" t="s">
        <v>72</v>
      </c>
      <c r="M1581" s="1">
        <f>orders[[#This Row],[Ship Date]]-orders[[#This Row],[Order Date]]</f>
        <v>2</v>
      </c>
      <c r="N1581" s="1">
        <f>WEEKNUM(orders[[#This Row],[Order Date]])</f>
        <v>9</v>
      </c>
      <c r="O1581" s="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s="1">
        <v>192.5</v>
      </c>
      <c r="F1582" s="2">
        <v>45716</v>
      </c>
      <c r="G1582" s="2">
        <v>45716</v>
      </c>
      <c r="H1582" s="1" t="s">
        <v>23</v>
      </c>
      <c r="I1582" s="1" t="s">
        <v>70</v>
      </c>
      <c r="J1582" s="1">
        <v>5</v>
      </c>
      <c r="K1582" s="1" t="s">
        <v>19</v>
      </c>
      <c r="L1582" s="1" t="s">
        <v>74</v>
      </c>
      <c r="M1582" s="1">
        <f>orders[[#This Row],[Ship Date]]-orders[[#This Row],[Order Date]]</f>
        <v>0</v>
      </c>
      <c r="N1582" s="1">
        <f>WEEKNUM(orders[[#This Row],[Order Date]])</f>
        <v>9</v>
      </c>
      <c r="O1582" s="1"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s="1">
        <v>48</v>
      </c>
      <c r="F1583" s="2">
        <v>45716</v>
      </c>
      <c r="G1583" s="2">
        <v>45721</v>
      </c>
      <c r="H1583" s="1" t="s">
        <v>27</v>
      </c>
      <c r="I1583" s="1" t="s">
        <v>18</v>
      </c>
      <c r="J1583" s="1">
        <v>4</v>
      </c>
      <c r="K1583" s="1" t="s">
        <v>19</v>
      </c>
      <c r="L1583" s="1" t="s">
        <v>77</v>
      </c>
      <c r="M1583" s="1">
        <f>orders[[#This Row],[Ship Date]]-orders[[#This Row],[Order Date]]</f>
        <v>5</v>
      </c>
      <c r="N1583" s="1">
        <f>WEEKNUM(orders[[#This Row],[Order Date]])</f>
        <v>9</v>
      </c>
      <c r="O1583" s="1"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s="1">
        <v>84.6</v>
      </c>
      <c r="F1584" s="2">
        <v>45716</v>
      </c>
      <c r="G1584" s="2">
        <v>45718</v>
      </c>
      <c r="H1584" s="1" t="s">
        <v>23</v>
      </c>
      <c r="I1584" s="1" t="s">
        <v>18</v>
      </c>
      <c r="J1584" s="1">
        <v>1</v>
      </c>
      <c r="K1584" s="1" t="s">
        <v>19</v>
      </c>
      <c r="L1584" s="1" t="s">
        <v>108</v>
      </c>
      <c r="M1584" s="1">
        <f>orders[[#This Row],[Ship Date]]-orders[[#This Row],[Order Date]]</f>
        <v>2</v>
      </c>
      <c r="N1584" s="1">
        <f>WEEKNUM(orders[[#This Row],[Order Date]])</f>
        <v>9</v>
      </c>
      <c r="O1584" s="1"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s="1">
        <v>112.19999999999999</v>
      </c>
      <c r="F1585" s="2">
        <v>45716</v>
      </c>
      <c r="G1585" s="2">
        <v>45717</v>
      </c>
      <c r="H1585" s="1" t="s">
        <v>27</v>
      </c>
      <c r="I1585" s="1" t="s">
        <v>51</v>
      </c>
      <c r="J1585" s="1">
        <v>4</v>
      </c>
      <c r="K1585" s="1" t="s">
        <v>19</v>
      </c>
      <c r="L1585" s="1" t="s">
        <v>24</v>
      </c>
      <c r="M1585" s="1">
        <f>orders[[#This Row],[Ship Date]]-orders[[#This Row],[Order Date]]</f>
        <v>1</v>
      </c>
      <c r="N1585" s="1">
        <f>WEEKNUM(orders[[#This Row],[Order Date]])</f>
        <v>9</v>
      </c>
      <c r="O1585" s="1"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s="1">
        <v>160.5</v>
      </c>
      <c r="F1586" s="2">
        <v>45716</v>
      </c>
      <c r="G1586" s="2">
        <v>45719</v>
      </c>
      <c r="H1586" s="1" t="s">
        <v>17</v>
      </c>
      <c r="I1586" s="1" t="s">
        <v>70</v>
      </c>
      <c r="J1586" s="1">
        <v>2</v>
      </c>
      <c r="K1586" s="1" t="s">
        <v>19</v>
      </c>
      <c r="L1586" s="1" t="s">
        <v>24</v>
      </c>
      <c r="M1586" s="1">
        <f>orders[[#This Row],[Ship Date]]-orders[[#This Row],[Order Date]]</f>
        <v>3</v>
      </c>
      <c r="N1586" s="1">
        <f>WEEKNUM(orders[[#This Row],[Order Date]])</f>
        <v>9</v>
      </c>
      <c r="O1586" s="1"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s="1">
        <v>181</v>
      </c>
      <c r="F1587" s="2">
        <v>45716</v>
      </c>
      <c r="G1587" s="2">
        <v>45717</v>
      </c>
      <c r="H1587" s="1" t="s">
        <v>23</v>
      </c>
      <c r="I1587" s="1" t="s">
        <v>35</v>
      </c>
      <c r="J1587" s="1">
        <v>5</v>
      </c>
      <c r="K1587" s="1" t="s">
        <v>19</v>
      </c>
      <c r="L1587" s="1" t="s">
        <v>331</v>
      </c>
      <c r="M1587" s="1">
        <f>orders[[#This Row],[Ship Date]]-orders[[#This Row],[Order Date]]</f>
        <v>1</v>
      </c>
      <c r="N1587" s="1">
        <f>WEEKNUM(orders[[#This Row],[Order Date]])</f>
        <v>9</v>
      </c>
      <c r="O1587" s="1"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s="1">
        <v>255.2</v>
      </c>
      <c r="F1588" s="2">
        <v>45716</v>
      </c>
      <c r="G1588" s="2">
        <v>45717</v>
      </c>
      <c r="H1588" s="1" t="s">
        <v>27</v>
      </c>
      <c r="I1588" s="1" t="s">
        <v>70</v>
      </c>
      <c r="J1588" s="1">
        <v>4</v>
      </c>
      <c r="K1588" s="1" t="s">
        <v>19</v>
      </c>
      <c r="L1588" s="1" t="s">
        <v>33</v>
      </c>
      <c r="M1588" s="1">
        <f>orders[[#This Row],[Ship Date]]-orders[[#This Row],[Order Date]]</f>
        <v>1</v>
      </c>
      <c r="N1588" s="1">
        <f>WEEKNUM(orders[[#This Row],[Order Date]])</f>
        <v>9</v>
      </c>
      <c r="O1588" s="1"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s="1">
        <v>63.900000000000006</v>
      </c>
      <c r="F1589" s="2">
        <v>45716</v>
      </c>
      <c r="G1589" s="2">
        <v>45717</v>
      </c>
      <c r="H1589" s="1" t="s">
        <v>23</v>
      </c>
      <c r="I1589" s="1" t="s">
        <v>18</v>
      </c>
      <c r="J1589" s="1">
        <v>5</v>
      </c>
      <c r="K1589" s="1" t="s">
        <v>19</v>
      </c>
      <c r="L1589" s="1" t="s">
        <v>33</v>
      </c>
      <c r="M1589" s="1">
        <f>orders[[#This Row],[Ship Date]]-orders[[#This Row],[Order Date]]</f>
        <v>1</v>
      </c>
      <c r="N1589" s="1">
        <f>WEEKNUM(orders[[#This Row],[Order Date]])</f>
        <v>9</v>
      </c>
      <c r="O1589" s="1"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s="1">
        <v>36.299999999999997</v>
      </c>
      <c r="F1590" s="2">
        <v>45716</v>
      </c>
      <c r="G1590" s="2">
        <v>45718</v>
      </c>
      <c r="H1590" s="1" t="s">
        <v>89</v>
      </c>
      <c r="I1590" s="1" t="s">
        <v>70</v>
      </c>
      <c r="J1590" s="1">
        <v>4</v>
      </c>
      <c r="K1590" s="1" t="s">
        <v>19</v>
      </c>
      <c r="L1590" s="1" t="s">
        <v>33</v>
      </c>
      <c r="M1590" s="1">
        <f>orders[[#This Row],[Ship Date]]-orders[[#This Row],[Order Date]]</f>
        <v>2</v>
      </c>
      <c r="N1590" s="1">
        <f>WEEKNUM(orders[[#This Row],[Order Date]])</f>
        <v>9</v>
      </c>
      <c r="O1590" s="1"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s="1">
        <v>331.5</v>
      </c>
      <c r="F1591" s="2">
        <v>45716</v>
      </c>
      <c r="G1591" s="2">
        <v>45717</v>
      </c>
      <c r="H1591" s="1" t="s">
        <v>27</v>
      </c>
      <c r="I1591" s="1" t="s">
        <v>18</v>
      </c>
      <c r="J1591" s="1">
        <v>1</v>
      </c>
      <c r="K1591" s="1" t="s">
        <v>19</v>
      </c>
      <c r="L1591" s="1" t="s">
        <v>33</v>
      </c>
      <c r="M1591" s="1">
        <f>orders[[#This Row],[Ship Date]]-orders[[#This Row],[Order Date]]</f>
        <v>1</v>
      </c>
      <c r="N1591" s="1">
        <f>WEEKNUM(orders[[#This Row],[Order Date]])</f>
        <v>9</v>
      </c>
      <c r="O1591" s="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s="1">
        <v>228.20000000000002</v>
      </c>
      <c r="F1592" s="2">
        <v>45716</v>
      </c>
      <c r="G1592" s="2">
        <v>45718</v>
      </c>
      <c r="H1592" s="1" t="s">
        <v>27</v>
      </c>
      <c r="I1592" s="1" t="s">
        <v>18</v>
      </c>
      <c r="J1592" s="1">
        <v>3</v>
      </c>
      <c r="K1592" s="1" t="s">
        <v>19</v>
      </c>
      <c r="L1592" s="1" t="s">
        <v>33</v>
      </c>
      <c r="M1592" s="1">
        <f>orders[[#This Row],[Ship Date]]-orders[[#This Row],[Order Date]]</f>
        <v>2</v>
      </c>
      <c r="N1592" s="1">
        <f>WEEKNUM(orders[[#This Row],[Order Date]])</f>
        <v>9</v>
      </c>
      <c r="O1592" s="1"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s="1">
        <v>166.8</v>
      </c>
      <c r="F1593" s="2">
        <v>45717</v>
      </c>
      <c r="G1593" s="2">
        <v>45730</v>
      </c>
      <c r="H1593" s="1" t="s">
        <v>27</v>
      </c>
      <c r="I1593" s="1" t="s">
        <v>18</v>
      </c>
      <c r="J1593" s="1">
        <v>4</v>
      </c>
      <c r="K1593" s="1" t="s">
        <v>19</v>
      </c>
      <c r="L1593" s="1" t="s">
        <v>33</v>
      </c>
      <c r="M1593" s="1">
        <f>orders[[#This Row],[Ship Date]]-orders[[#This Row],[Order Date]]</f>
        <v>13</v>
      </c>
      <c r="N1593" s="1">
        <f>WEEKNUM(orders[[#This Row],[Order Date]])</f>
        <v>9</v>
      </c>
      <c r="O1593" s="1"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s="1">
        <v>152</v>
      </c>
      <c r="F1594" s="2">
        <v>45717</v>
      </c>
      <c r="G1594" s="2">
        <v>45718</v>
      </c>
      <c r="H1594" s="1" t="s">
        <v>27</v>
      </c>
      <c r="I1594" s="1" t="s">
        <v>51</v>
      </c>
      <c r="J1594" s="1">
        <v>5</v>
      </c>
      <c r="K1594" s="1" t="s">
        <v>19</v>
      </c>
      <c r="L1594" s="1" t="s">
        <v>52</v>
      </c>
      <c r="M1594" s="1">
        <f>orders[[#This Row],[Ship Date]]-orders[[#This Row],[Order Date]]</f>
        <v>1</v>
      </c>
      <c r="N1594" s="1">
        <f>WEEKNUM(orders[[#This Row],[Order Date]])</f>
        <v>9</v>
      </c>
      <c r="O1594" s="1"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s="1">
        <v>103.6</v>
      </c>
      <c r="F1595" s="2">
        <v>45717</v>
      </c>
      <c r="G1595" s="2">
        <v>45723</v>
      </c>
      <c r="H1595" s="1" t="s">
        <v>23</v>
      </c>
      <c r="I1595" s="1" t="s">
        <v>35</v>
      </c>
      <c r="J1595" s="1">
        <v>2</v>
      </c>
      <c r="K1595" s="1" t="s">
        <v>19</v>
      </c>
      <c r="L1595" s="1" t="s">
        <v>55</v>
      </c>
      <c r="M1595" s="1">
        <f>orders[[#This Row],[Ship Date]]-orders[[#This Row],[Order Date]]</f>
        <v>6</v>
      </c>
      <c r="N1595" s="1">
        <f>WEEKNUM(orders[[#This Row],[Order Date]])</f>
        <v>9</v>
      </c>
      <c r="O1595" s="1"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s="1">
        <v>229.6</v>
      </c>
      <c r="F1596" s="2">
        <v>45717</v>
      </c>
      <c r="G1596" s="2">
        <v>45722</v>
      </c>
      <c r="H1596" s="1" t="s">
        <v>27</v>
      </c>
      <c r="I1596" s="1" t="s">
        <v>18</v>
      </c>
      <c r="J1596" s="1">
        <v>4</v>
      </c>
      <c r="K1596" s="1" t="s">
        <v>19</v>
      </c>
      <c r="L1596" s="1" t="s">
        <v>55</v>
      </c>
      <c r="M1596" s="1">
        <f>orders[[#This Row],[Ship Date]]-orders[[#This Row],[Order Date]]</f>
        <v>5</v>
      </c>
      <c r="N1596" s="1">
        <f>WEEKNUM(orders[[#This Row],[Order Date]])</f>
        <v>9</v>
      </c>
      <c r="O1596" s="1"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s="1">
        <v>626.40000000000009</v>
      </c>
      <c r="F1597" s="2">
        <v>45717</v>
      </c>
      <c r="G1597" s="2">
        <v>45717</v>
      </c>
      <c r="H1597" s="1" t="s">
        <v>23</v>
      </c>
      <c r="I1597" s="1" t="s">
        <v>18</v>
      </c>
      <c r="J1597" s="1">
        <v>3</v>
      </c>
      <c r="K1597" s="1" t="s">
        <v>19</v>
      </c>
      <c r="L1597" s="1" t="s">
        <v>55</v>
      </c>
      <c r="M1597" s="1">
        <f>orders[[#This Row],[Ship Date]]-orders[[#This Row],[Order Date]]</f>
        <v>0</v>
      </c>
      <c r="N1597" s="1">
        <f>WEEKNUM(orders[[#This Row],[Order Date]])</f>
        <v>9</v>
      </c>
      <c r="O1597" s="1"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s="1">
        <v>136.4</v>
      </c>
      <c r="F1598" s="2">
        <v>45717</v>
      </c>
      <c r="G1598" s="2">
        <v>45718</v>
      </c>
      <c r="H1598" s="1" t="s">
        <v>17</v>
      </c>
      <c r="I1598" s="1" t="s">
        <v>40</v>
      </c>
      <c r="J1598" s="1">
        <v>4</v>
      </c>
      <c r="K1598" s="1" t="s">
        <v>19</v>
      </c>
      <c r="L1598" s="1" t="s">
        <v>59</v>
      </c>
      <c r="M1598" s="1">
        <f>orders[[#This Row],[Ship Date]]-orders[[#This Row],[Order Date]]</f>
        <v>1</v>
      </c>
      <c r="N1598" s="1">
        <f>WEEKNUM(orders[[#This Row],[Order Date]])</f>
        <v>9</v>
      </c>
      <c r="O1598" s="1"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s="1">
        <v>102</v>
      </c>
      <c r="F1599" s="2">
        <v>45717</v>
      </c>
      <c r="G1599" s="2">
        <v>45721</v>
      </c>
      <c r="H1599" s="1" t="s">
        <v>27</v>
      </c>
      <c r="I1599" s="1" t="s">
        <v>18</v>
      </c>
      <c r="J1599" s="1">
        <v>4</v>
      </c>
      <c r="K1599" s="1" t="s">
        <v>19</v>
      </c>
      <c r="L1599" s="1" t="s">
        <v>62</v>
      </c>
      <c r="M1599" s="1">
        <f>orders[[#This Row],[Ship Date]]-orders[[#This Row],[Order Date]]</f>
        <v>4</v>
      </c>
      <c r="N1599" s="1">
        <f>WEEKNUM(orders[[#This Row],[Order Date]])</f>
        <v>9</v>
      </c>
      <c r="O1599" s="1"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s="1">
        <v>57.300000000000004</v>
      </c>
      <c r="F1600" s="2">
        <v>45717</v>
      </c>
      <c r="G1600" s="2">
        <v>45718</v>
      </c>
      <c r="H1600" s="1" t="s">
        <v>27</v>
      </c>
      <c r="I1600" s="1" t="s">
        <v>70</v>
      </c>
      <c r="J1600" s="1">
        <v>4</v>
      </c>
      <c r="K1600" s="1" t="s">
        <v>19</v>
      </c>
      <c r="L1600" s="1" t="s">
        <v>62</v>
      </c>
      <c r="M1600" s="1">
        <f>orders[[#This Row],[Ship Date]]-orders[[#This Row],[Order Date]]</f>
        <v>1</v>
      </c>
      <c r="N1600" s="1">
        <f>WEEKNUM(orders[[#This Row],[Order Date]])</f>
        <v>9</v>
      </c>
      <c r="O1600" s="1"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s="1">
        <v>272</v>
      </c>
      <c r="F1601" s="2">
        <v>45717</v>
      </c>
      <c r="G1601" s="2">
        <v>45725</v>
      </c>
      <c r="H1601" s="1" t="s">
        <v>27</v>
      </c>
      <c r="I1601" s="1" t="s">
        <v>70</v>
      </c>
      <c r="J1601" s="1">
        <v>4</v>
      </c>
      <c r="K1601" s="1" t="s">
        <v>19</v>
      </c>
      <c r="L1601" s="1" t="s">
        <v>62</v>
      </c>
      <c r="M1601" s="1">
        <f>orders[[#This Row],[Ship Date]]-orders[[#This Row],[Order Date]]</f>
        <v>8</v>
      </c>
      <c r="N1601" s="1">
        <f>WEEKNUM(orders[[#This Row],[Order Date]])</f>
        <v>9</v>
      </c>
      <c r="O1601" s="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s="1">
        <v>218.2</v>
      </c>
      <c r="F1602" s="2">
        <v>45717</v>
      </c>
      <c r="G1602" s="2">
        <v>45719</v>
      </c>
      <c r="H1602" s="1" t="s">
        <v>23</v>
      </c>
      <c r="I1602" s="1" t="s">
        <v>18</v>
      </c>
      <c r="J1602" s="1">
        <v>5</v>
      </c>
      <c r="K1602" s="1" t="s">
        <v>19</v>
      </c>
      <c r="L1602" s="1" t="s">
        <v>62</v>
      </c>
      <c r="M1602" s="1">
        <f>orders[[#This Row],[Ship Date]]-orders[[#This Row],[Order Date]]</f>
        <v>2</v>
      </c>
      <c r="N1602" s="1">
        <f>WEEKNUM(orders[[#This Row],[Order Date]])</f>
        <v>9</v>
      </c>
      <c r="O1602" s="1"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s="1">
        <v>129.6</v>
      </c>
      <c r="F1603" s="2">
        <v>45717</v>
      </c>
      <c r="G1603" s="2">
        <v>45719</v>
      </c>
      <c r="H1603" s="1" t="s">
        <v>23</v>
      </c>
      <c r="I1603" s="1" t="s">
        <v>18</v>
      </c>
      <c r="J1603" s="1">
        <v>5</v>
      </c>
      <c r="K1603" s="1" t="s">
        <v>19</v>
      </c>
      <c r="L1603" s="1" t="s">
        <v>62</v>
      </c>
      <c r="M1603" s="1">
        <f>orders[[#This Row],[Ship Date]]-orders[[#This Row],[Order Date]]</f>
        <v>2</v>
      </c>
      <c r="N1603" s="1">
        <f>WEEKNUM(orders[[#This Row],[Order Date]])</f>
        <v>9</v>
      </c>
      <c r="O1603" s="1"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s="1">
        <v>42.2</v>
      </c>
      <c r="F1604" s="2">
        <v>45717</v>
      </c>
      <c r="G1604" s="2">
        <v>45717</v>
      </c>
      <c r="H1604" s="1" t="s">
        <v>27</v>
      </c>
      <c r="I1604" s="1" t="s">
        <v>35</v>
      </c>
      <c r="J1604" s="1">
        <v>4</v>
      </c>
      <c r="K1604" s="1" t="s">
        <v>19</v>
      </c>
      <c r="L1604" s="1" t="s">
        <v>77</v>
      </c>
      <c r="M1604" s="1">
        <f>orders[[#This Row],[Ship Date]]-orders[[#This Row],[Order Date]]</f>
        <v>0</v>
      </c>
      <c r="N1604" s="1">
        <f>WEEKNUM(orders[[#This Row],[Order Date]])</f>
        <v>9</v>
      </c>
      <c r="O1604" s="1"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s="1">
        <v>170.4</v>
      </c>
      <c r="F1605" s="2">
        <v>45717</v>
      </c>
      <c r="G1605" s="2">
        <v>45719</v>
      </c>
      <c r="H1605" s="1" t="s">
        <v>23</v>
      </c>
      <c r="I1605" s="1" t="s">
        <v>51</v>
      </c>
      <c r="J1605" s="1">
        <v>3</v>
      </c>
      <c r="K1605" s="1" t="s">
        <v>19</v>
      </c>
      <c r="L1605" s="1" t="s">
        <v>108</v>
      </c>
      <c r="M1605" s="1">
        <f>orders[[#This Row],[Ship Date]]-orders[[#This Row],[Order Date]]</f>
        <v>2</v>
      </c>
      <c r="N1605" s="1">
        <f>WEEKNUM(orders[[#This Row],[Order Date]])</f>
        <v>9</v>
      </c>
      <c r="O1605" s="1"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s="1">
        <v>72.900000000000006</v>
      </c>
      <c r="F1606" s="2">
        <v>45717</v>
      </c>
      <c r="G1606" s="2">
        <v>45718</v>
      </c>
      <c r="H1606" s="1" t="s">
        <v>23</v>
      </c>
      <c r="I1606" s="1" t="s">
        <v>35</v>
      </c>
      <c r="J1606" s="1">
        <v>4</v>
      </c>
      <c r="K1606" s="1" t="s">
        <v>19</v>
      </c>
      <c r="L1606" s="1" t="s">
        <v>110</v>
      </c>
      <c r="M1606" s="1">
        <f>orders[[#This Row],[Ship Date]]-orders[[#This Row],[Order Date]]</f>
        <v>1</v>
      </c>
      <c r="N1606" s="1">
        <f>WEEKNUM(orders[[#This Row],[Order Date]])</f>
        <v>9</v>
      </c>
      <c r="O1606" s="1"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s="1">
        <v>43.3</v>
      </c>
      <c r="F1607" s="2">
        <v>45717</v>
      </c>
      <c r="G1607" s="2">
        <v>45721</v>
      </c>
      <c r="H1607" s="1" t="s">
        <v>23</v>
      </c>
      <c r="I1607" s="1" t="s">
        <v>35</v>
      </c>
      <c r="J1607" s="1">
        <v>3</v>
      </c>
      <c r="K1607" s="1" t="s">
        <v>19</v>
      </c>
      <c r="L1607" s="1" t="s">
        <v>82</v>
      </c>
      <c r="M1607" s="1">
        <f>orders[[#This Row],[Ship Date]]-orders[[#This Row],[Order Date]]</f>
        <v>4</v>
      </c>
      <c r="N1607" s="1">
        <f>WEEKNUM(orders[[#This Row],[Order Date]])</f>
        <v>9</v>
      </c>
      <c r="O1607" s="1"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s="1">
        <v>123</v>
      </c>
      <c r="F1608" s="2">
        <v>45717</v>
      </c>
      <c r="G1608" s="2">
        <v>45718</v>
      </c>
      <c r="H1608" s="1" t="s">
        <v>27</v>
      </c>
      <c r="I1608" s="1" t="s">
        <v>51</v>
      </c>
      <c r="J1608" s="1">
        <v>2</v>
      </c>
      <c r="K1608" s="1" t="s">
        <v>19</v>
      </c>
      <c r="L1608" s="1" t="s">
        <v>115</v>
      </c>
      <c r="M1608" s="1">
        <f>orders[[#This Row],[Ship Date]]-orders[[#This Row],[Order Date]]</f>
        <v>1</v>
      </c>
      <c r="N1608" s="1">
        <f>WEEKNUM(orders[[#This Row],[Order Date]])</f>
        <v>9</v>
      </c>
      <c r="O1608" s="1"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s="1">
        <v>162.30000000000001</v>
      </c>
      <c r="F1609" s="2">
        <v>45717</v>
      </c>
      <c r="G1609" s="2">
        <v>45719</v>
      </c>
      <c r="H1609" s="1" t="s">
        <v>27</v>
      </c>
      <c r="I1609" s="1" t="s">
        <v>70</v>
      </c>
      <c r="J1609" s="1">
        <v>4</v>
      </c>
      <c r="K1609" s="1" t="s">
        <v>19</v>
      </c>
      <c r="L1609" s="1" t="s">
        <v>115</v>
      </c>
      <c r="M1609" s="1">
        <f>orders[[#This Row],[Ship Date]]-orders[[#This Row],[Order Date]]</f>
        <v>2</v>
      </c>
      <c r="N1609" s="1">
        <f>WEEKNUM(orders[[#This Row],[Order Date]])</f>
        <v>9</v>
      </c>
      <c r="O1609" s="1"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s="1">
        <v>78</v>
      </c>
      <c r="F1610" s="2">
        <v>45717</v>
      </c>
      <c r="G1610" s="2">
        <v>45718</v>
      </c>
      <c r="H1610" s="1" t="s">
        <v>23</v>
      </c>
      <c r="I1610" s="1" t="s">
        <v>35</v>
      </c>
      <c r="J1610" s="1">
        <v>5</v>
      </c>
      <c r="K1610" s="1" t="s">
        <v>19</v>
      </c>
      <c r="L1610" s="1" t="s">
        <v>24</v>
      </c>
      <c r="M1610" s="1">
        <f>orders[[#This Row],[Ship Date]]-orders[[#This Row],[Order Date]]</f>
        <v>1</v>
      </c>
      <c r="N1610" s="1">
        <f>WEEKNUM(orders[[#This Row],[Order Date]])</f>
        <v>9</v>
      </c>
      <c r="O1610" s="1"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s="1">
        <v>80.599999999999994</v>
      </c>
      <c r="F1611" s="2">
        <v>45717</v>
      </c>
      <c r="G1611" s="2">
        <v>45719</v>
      </c>
      <c r="H1611" s="1" t="s">
        <v>23</v>
      </c>
      <c r="I1611" s="1" t="s">
        <v>51</v>
      </c>
      <c r="J1611" s="1">
        <v>4</v>
      </c>
      <c r="K1611" s="1" t="s">
        <v>19</v>
      </c>
      <c r="L1611" s="1" t="s">
        <v>208</v>
      </c>
      <c r="M1611" s="1">
        <f>orders[[#This Row],[Ship Date]]-orders[[#This Row],[Order Date]]</f>
        <v>2</v>
      </c>
      <c r="N1611" s="1">
        <f>WEEKNUM(orders[[#This Row],[Order Date]])</f>
        <v>9</v>
      </c>
      <c r="O1611" s="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s="1">
        <v>72.300000000000011</v>
      </c>
      <c r="F1612" s="2">
        <v>45717</v>
      </c>
      <c r="G1612" s="2">
        <v>45718</v>
      </c>
      <c r="H1612" s="1" t="s">
        <v>23</v>
      </c>
      <c r="I1612" s="1" t="s">
        <v>18</v>
      </c>
      <c r="J1612" s="1">
        <v>5</v>
      </c>
      <c r="K1612" s="1" t="s">
        <v>19</v>
      </c>
      <c r="L1612" s="1" t="s">
        <v>334</v>
      </c>
      <c r="M1612" s="1">
        <f>orders[[#This Row],[Ship Date]]-orders[[#This Row],[Order Date]]</f>
        <v>1</v>
      </c>
      <c r="N1612" s="1">
        <f>WEEKNUM(orders[[#This Row],[Order Date]])</f>
        <v>9</v>
      </c>
      <c r="O1612" s="1"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s="1">
        <v>261.5</v>
      </c>
      <c r="F1613" s="2">
        <v>45717</v>
      </c>
      <c r="G1613" s="2">
        <v>45718</v>
      </c>
      <c r="H1613" s="1" t="s">
        <v>23</v>
      </c>
      <c r="I1613" s="1" t="s">
        <v>40</v>
      </c>
      <c r="J1613" s="1">
        <v>4</v>
      </c>
      <c r="K1613" s="1" t="s">
        <v>19</v>
      </c>
      <c r="L1613" s="1" t="s">
        <v>33</v>
      </c>
      <c r="M1613" s="1">
        <f>orders[[#This Row],[Ship Date]]-orders[[#This Row],[Order Date]]</f>
        <v>1</v>
      </c>
      <c r="N1613" s="1">
        <f>WEEKNUM(orders[[#This Row],[Order Date]])</f>
        <v>9</v>
      </c>
      <c r="O1613" s="1"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s="1">
        <v>275.2</v>
      </c>
      <c r="F1614" s="2">
        <v>45717</v>
      </c>
      <c r="G1614" s="2">
        <v>45721</v>
      </c>
      <c r="H1614" s="1" t="s">
        <v>27</v>
      </c>
      <c r="I1614" s="1" t="s">
        <v>70</v>
      </c>
      <c r="J1614" s="1">
        <v>5</v>
      </c>
      <c r="K1614" s="1" t="s">
        <v>19</v>
      </c>
      <c r="L1614" s="1" t="s">
        <v>33</v>
      </c>
      <c r="M1614" s="1">
        <f>orders[[#This Row],[Ship Date]]-orders[[#This Row],[Order Date]]</f>
        <v>4</v>
      </c>
      <c r="N1614" s="1">
        <f>WEEKNUM(orders[[#This Row],[Order Date]])</f>
        <v>9</v>
      </c>
      <c r="O1614" s="1"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s="1">
        <v>257.60000000000002</v>
      </c>
      <c r="F1615" s="2">
        <v>45718</v>
      </c>
      <c r="G1615" s="2">
        <v>45721</v>
      </c>
      <c r="H1615" s="1" t="s">
        <v>27</v>
      </c>
      <c r="I1615" s="1" t="s">
        <v>35</v>
      </c>
      <c r="J1615" s="1">
        <v>3</v>
      </c>
      <c r="K1615" s="1" t="s">
        <v>19</v>
      </c>
      <c r="L1615" s="1" t="s">
        <v>33</v>
      </c>
      <c r="M1615" s="1">
        <f>orders[[#This Row],[Ship Date]]-orders[[#This Row],[Order Date]]</f>
        <v>3</v>
      </c>
      <c r="N1615" s="1">
        <f>WEEKNUM(orders[[#This Row],[Order Date]])</f>
        <v>10</v>
      </c>
      <c r="O1615" s="1"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s="1">
        <v>241</v>
      </c>
      <c r="F1616" s="2">
        <v>45718</v>
      </c>
      <c r="G1616" s="2">
        <v>45720</v>
      </c>
      <c r="H1616" s="1" t="s">
        <v>27</v>
      </c>
      <c r="I1616" s="1" t="s">
        <v>51</v>
      </c>
      <c r="J1616" s="1">
        <v>4</v>
      </c>
      <c r="K1616" s="1" t="s">
        <v>19</v>
      </c>
      <c r="L1616" s="1" t="s">
        <v>33</v>
      </c>
      <c r="M1616" s="1">
        <f>orders[[#This Row],[Ship Date]]-orders[[#This Row],[Order Date]]</f>
        <v>2</v>
      </c>
      <c r="N1616" s="1">
        <f>WEEKNUM(orders[[#This Row],[Order Date]])</f>
        <v>10</v>
      </c>
      <c r="O1616" s="1"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s="1">
        <v>39.700000000000003</v>
      </c>
      <c r="F1617" s="2">
        <v>45718</v>
      </c>
      <c r="G1617" s="2">
        <v>45720</v>
      </c>
      <c r="H1617" s="1" t="s">
        <v>27</v>
      </c>
      <c r="I1617" s="1" t="s">
        <v>18</v>
      </c>
      <c r="J1617" s="1">
        <v>3</v>
      </c>
      <c r="K1617" s="1" t="s">
        <v>19</v>
      </c>
      <c r="L1617" s="1" t="s">
        <v>33</v>
      </c>
      <c r="M1617" s="1">
        <f>orders[[#This Row],[Ship Date]]-orders[[#This Row],[Order Date]]</f>
        <v>2</v>
      </c>
      <c r="N1617" s="1">
        <f>WEEKNUM(orders[[#This Row],[Order Date]])</f>
        <v>10</v>
      </c>
      <c r="O1617" s="1"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s="1">
        <v>59.7</v>
      </c>
      <c r="F1618" s="2">
        <v>45718</v>
      </c>
      <c r="G1618" s="2">
        <v>45721</v>
      </c>
      <c r="H1618" s="1" t="s">
        <v>27</v>
      </c>
      <c r="I1618" s="1" t="s">
        <v>70</v>
      </c>
      <c r="J1618" s="1">
        <v>4</v>
      </c>
      <c r="K1618" s="1" t="s">
        <v>19</v>
      </c>
      <c r="L1618" s="1" t="s">
        <v>33</v>
      </c>
      <c r="M1618" s="1">
        <f>orders[[#This Row],[Ship Date]]-orders[[#This Row],[Order Date]]</f>
        <v>3</v>
      </c>
      <c r="N1618" s="1">
        <f>WEEKNUM(orders[[#This Row],[Order Date]])</f>
        <v>10</v>
      </c>
      <c r="O1618" s="1"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s="1">
        <v>48.3</v>
      </c>
      <c r="F1619" s="2">
        <v>45718</v>
      </c>
      <c r="G1619" s="2">
        <v>45732</v>
      </c>
      <c r="H1619" s="1" t="s">
        <v>89</v>
      </c>
      <c r="I1619" s="1" t="s">
        <v>18</v>
      </c>
      <c r="J1619" s="1">
        <v>5</v>
      </c>
      <c r="K1619" s="1" t="s">
        <v>19</v>
      </c>
      <c r="L1619" s="1" t="s">
        <v>33</v>
      </c>
      <c r="M1619" s="1">
        <f>orders[[#This Row],[Ship Date]]-orders[[#This Row],[Order Date]]</f>
        <v>14</v>
      </c>
      <c r="N1619" s="1">
        <f>WEEKNUM(orders[[#This Row],[Order Date]])</f>
        <v>10</v>
      </c>
      <c r="O1619" s="1"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s="1">
        <v>136.5</v>
      </c>
      <c r="F1620" s="2">
        <v>45718</v>
      </c>
      <c r="G1620" s="2">
        <v>45720</v>
      </c>
      <c r="H1620" s="1" t="s">
        <v>23</v>
      </c>
      <c r="I1620" s="1" t="s">
        <v>40</v>
      </c>
      <c r="J1620" s="1">
        <v>3</v>
      </c>
      <c r="K1620" s="1" t="s">
        <v>19</v>
      </c>
      <c r="L1620" s="1" t="s">
        <v>33</v>
      </c>
      <c r="M1620" s="1">
        <f>orders[[#This Row],[Ship Date]]-orders[[#This Row],[Order Date]]</f>
        <v>2</v>
      </c>
      <c r="N1620" s="1">
        <f>WEEKNUM(orders[[#This Row],[Order Date]])</f>
        <v>10</v>
      </c>
      <c r="O1620" s="1"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s="1">
        <v>1377</v>
      </c>
      <c r="F1621" s="2">
        <v>45718</v>
      </c>
      <c r="G1621" s="2">
        <v>45718</v>
      </c>
      <c r="H1621" s="1" t="s">
        <v>27</v>
      </c>
      <c r="I1621" s="1" t="s">
        <v>40</v>
      </c>
      <c r="J1621" s="1">
        <v>4</v>
      </c>
      <c r="K1621" s="1" t="s">
        <v>19</v>
      </c>
      <c r="L1621" s="1" t="s">
        <v>33</v>
      </c>
      <c r="M1621" s="1">
        <f>orders[[#This Row],[Ship Date]]-orders[[#This Row],[Order Date]]</f>
        <v>0</v>
      </c>
      <c r="N1621" s="1">
        <f>WEEKNUM(orders[[#This Row],[Order Date]])</f>
        <v>10</v>
      </c>
      <c r="O1621" s="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s="1">
        <v>122.39999999999999</v>
      </c>
      <c r="F1622" s="2">
        <v>45718</v>
      </c>
      <c r="G1622" s="2">
        <v>45719</v>
      </c>
      <c r="H1622" s="1" t="s">
        <v>23</v>
      </c>
      <c r="I1622" s="1" t="s">
        <v>40</v>
      </c>
      <c r="J1622" s="1">
        <v>4</v>
      </c>
      <c r="K1622" s="1" t="s">
        <v>19</v>
      </c>
      <c r="L1622" s="1" t="s">
        <v>33</v>
      </c>
      <c r="M1622" s="1">
        <f>orders[[#This Row],[Ship Date]]-orders[[#This Row],[Order Date]]</f>
        <v>1</v>
      </c>
      <c r="N1622" s="1">
        <f>WEEKNUM(orders[[#This Row],[Order Date]])</f>
        <v>10</v>
      </c>
      <c r="O1622" s="1"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s="1">
        <v>60.8</v>
      </c>
      <c r="F1623" s="2">
        <v>45718</v>
      </c>
      <c r="G1623" s="2">
        <v>45720</v>
      </c>
      <c r="H1623" s="1" t="s">
        <v>23</v>
      </c>
      <c r="I1623" s="1" t="s">
        <v>40</v>
      </c>
      <c r="J1623" s="1">
        <v>4</v>
      </c>
      <c r="K1623" s="1" t="s">
        <v>19</v>
      </c>
      <c r="L1623" s="1" t="s">
        <v>33</v>
      </c>
      <c r="M1623" s="1">
        <f>orders[[#This Row],[Ship Date]]-orders[[#This Row],[Order Date]]</f>
        <v>2</v>
      </c>
      <c r="N1623" s="1">
        <f>WEEKNUM(orders[[#This Row],[Order Date]])</f>
        <v>10</v>
      </c>
      <c r="O1623" s="1"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s="1">
        <v>143</v>
      </c>
      <c r="F1624" s="2">
        <v>45718</v>
      </c>
      <c r="G1624" s="2">
        <v>45722</v>
      </c>
      <c r="H1624" s="1" t="s">
        <v>27</v>
      </c>
      <c r="I1624" s="1" t="s">
        <v>18</v>
      </c>
      <c r="J1624" s="1">
        <v>4</v>
      </c>
      <c r="K1624" s="1" t="s">
        <v>19</v>
      </c>
      <c r="L1624" s="1" t="s">
        <v>33</v>
      </c>
      <c r="M1624" s="1">
        <f>orders[[#This Row],[Ship Date]]-orders[[#This Row],[Order Date]]</f>
        <v>4</v>
      </c>
      <c r="N1624" s="1">
        <f>WEEKNUM(orders[[#This Row],[Order Date]])</f>
        <v>10</v>
      </c>
      <c r="O1624" s="1"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s="1">
        <v>108</v>
      </c>
      <c r="F1625" s="2">
        <v>45718</v>
      </c>
      <c r="G1625" s="2">
        <v>45719</v>
      </c>
      <c r="H1625" s="1" t="s">
        <v>89</v>
      </c>
      <c r="I1625" s="1" t="s">
        <v>35</v>
      </c>
      <c r="J1625" s="1">
        <v>5</v>
      </c>
      <c r="K1625" s="1" t="s">
        <v>19</v>
      </c>
      <c r="L1625" s="1" t="s">
        <v>55</v>
      </c>
      <c r="M1625" s="1">
        <f>orders[[#This Row],[Ship Date]]-orders[[#This Row],[Order Date]]</f>
        <v>1</v>
      </c>
      <c r="N1625" s="1">
        <f>WEEKNUM(orders[[#This Row],[Order Date]])</f>
        <v>10</v>
      </c>
      <c r="O1625" s="1"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s="1">
        <v>501.6</v>
      </c>
      <c r="F1626" s="2">
        <v>45718</v>
      </c>
      <c r="G1626" s="2">
        <v>45719</v>
      </c>
      <c r="H1626" s="1" t="s">
        <v>89</v>
      </c>
      <c r="I1626" s="1" t="s">
        <v>35</v>
      </c>
      <c r="J1626" s="1">
        <v>3</v>
      </c>
      <c r="K1626" s="1" t="s">
        <v>19</v>
      </c>
      <c r="L1626" s="1" t="s">
        <v>59</v>
      </c>
      <c r="M1626" s="1">
        <f>orders[[#This Row],[Ship Date]]-orders[[#This Row],[Order Date]]</f>
        <v>1</v>
      </c>
      <c r="N1626" s="1">
        <f>WEEKNUM(orders[[#This Row],[Order Date]])</f>
        <v>10</v>
      </c>
      <c r="O1626" s="1"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s="1">
        <v>31.8</v>
      </c>
      <c r="F1627" s="2">
        <v>45718</v>
      </c>
      <c r="G1627" s="2">
        <v>45722</v>
      </c>
      <c r="H1627" s="1" t="s">
        <v>27</v>
      </c>
      <c r="I1627" s="1" t="s">
        <v>18</v>
      </c>
      <c r="J1627" s="1">
        <v>5</v>
      </c>
      <c r="K1627" s="1" t="s">
        <v>19</v>
      </c>
      <c r="L1627" s="1" t="s">
        <v>59</v>
      </c>
      <c r="M1627" s="1">
        <f>orders[[#This Row],[Ship Date]]-orders[[#This Row],[Order Date]]</f>
        <v>4</v>
      </c>
      <c r="N1627" s="1">
        <f>WEEKNUM(orders[[#This Row],[Order Date]])</f>
        <v>10</v>
      </c>
      <c r="O1627" s="1"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s="1">
        <v>99.5</v>
      </c>
      <c r="F1628" s="2">
        <v>45718</v>
      </c>
      <c r="G1628" s="2">
        <v>45719</v>
      </c>
      <c r="H1628" s="1" t="s">
        <v>27</v>
      </c>
      <c r="I1628" s="1" t="s">
        <v>35</v>
      </c>
      <c r="J1628" s="1">
        <v>4</v>
      </c>
      <c r="K1628" s="1" t="s">
        <v>19</v>
      </c>
      <c r="L1628" s="1" t="s">
        <v>59</v>
      </c>
      <c r="M1628" s="1">
        <f>orders[[#This Row],[Ship Date]]-orders[[#This Row],[Order Date]]</f>
        <v>1</v>
      </c>
      <c r="N1628" s="1">
        <f>WEEKNUM(orders[[#This Row],[Order Date]])</f>
        <v>10</v>
      </c>
      <c r="O1628" s="1"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s="1">
        <v>468.90000000000003</v>
      </c>
      <c r="F1629" s="2">
        <v>45718</v>
      </c>
      <c r="G1629" s="2">
        <v>45720</v>
      </c>
      <c r="H1629" s="1" t="s">
        <v>23</v>
      </c>
      <c r="I1629" s="1" t="s">
        <v>18</v>
      </c>
      <c r="J1629" s="1">
        <v>4</v>
      </c>
      <c r="K1629" s="1" t="s">
        <v>19</v>
      </c>
      <c r="L1629" s="1" t="s">
        <v>62</v>
      </c>
      <c r="M1629" s="1">
        <f>orders[[#This Row],[Ship Date]]-orders[[#This Row],[Order Date]]</f>
        <v>2</v>
      </c>
      <c r="N1629" s="1">
        <f>WEEKNUM(orders[[#This Row],[Order Date]])</f>
        <v>10</v>
      </c>
      <c r="O1629" s="1"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s="1">
        <v>321.3</v>
      </c>
      <c r="F1630" s="2">
        <v>45718</v>
      </c>
      <c r="G1630" s="2">
        <v>45719</v>
      </c>
      <c r="H1630" s="1" t="s">
        <v>23</v>
      </c>
      <c r="I1630" s="1" t="s">
        <v>18</v>
      </c>
      <c r="J1630" s="1">
        <v>3</v>
      </c>
      <c r="K1630" s="1" t="s">
        <v>19</v>
      </c>
      <c r="L1630" s="1" t="s">
        <v>62</v>
      </c>
      <c r="M1630" s="1">
        <f>orders[[#This Row],[Ship Date]]-orders[[#This Row],[Order Date]]</f>
        <v>1</v>
      </c>
      <c r="N1630" s="1">
        <f>WEEKNUM(orders[[#This Row],[Order Date]])</f>
        <v>10</v>
      </c>
      <c r="O1630" s="1"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s="1">
        <v>1159</v>
      </c>
      <c r="F1631" s="2">
        <v>45718</v>
      </c>
      <c r="G1631" s="2">
        <v>45721</v>
      </c>
      <c r="H1631" s="1" t="s">
        <v>27</v>
      </c>
      <c r="I1631" s="1" t="s">
        <v>35</v>
      </c>
      <c r="J1631" s="1">
        <v>4</v>
      </c>
      <c r="K1631" s="1" t="s">
        <v>19</v>
      </c>
      <c r="L1631" s="1" t="s">
        <v>62</v>
      </c>
      <c r="M1631" s="1">
        <f>orders[[#This Row],[Ship Date]]-orders[[#This Row],[Order Date]]</f>
        <v>3</v>
      </c>
      <c r="N1631" s="1">
        <f>WEEKNUM(orders[[#This Row],[Order Date]])</f>
        <v>10</v>
      </c>
      <c r="O1631" s="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s="1">
        <v>774</v>
      </c>
      <c r="F1632" s="2">
        <v>45718</v>
      </c>
      <c r="G1632" s="2">
        <v>45723</v>
      </c>
      <c r="H1632" s="1" t="s">
        <v>27</v>
      </c>
      <c r="I1632" s="1" t="s">
        <v>18</v>
      </c>
      <c r="J1632" s="1">
        <v>3</v>
      </c>
      <c r="K1632" s="1" t="s">
        <v>19</v>
      </c>
      <c r="L1632" s="1" t="s">
        <v>62</v>
      </c>
      <c r="M1632" s="1">
        <f>orders[[#This Row],[Ship Date]]-orders[[#This Row],[Order Date]]</f>
        <v>5</v>
      </c>
      <c r="N1632" s="1">
        <f>WEEKNUM(orders[[#This Row],[Order Date]])</f>
        <v>10</v>
      </c>
      <c r="O1632" s="1"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s="1">
        <v>515.19999999999993</v>
      </c>
      <c r="F1633" s="2">
        <v>45718</v>
      </c>
      <c r="G1633" s="2">
        <v>45720</v>
      </c>
      <c r="H1633" s="1" t="s">
        <v>27</v>
      </c>
      <c r="I1633" s="1" t="s">
        <v>18</v>
      </c>
      <c r="J1633" s="1">
        <v>4</v>
      </c>
      <c r="K1633" s="1" t="s">
        <v>19</v>
      </c>
      <c r="L1633" s="1" t="s">
        <v>103</v>
      </c>
      <c r="M1633" s="1">
        <f>orders[[#This Row],[Ship Date]]-orders[[#This Row],[Order Date]]</f>
        <v>2</v>
      </c>
      <c r="N1633" s="1">
        <f>WEEKNUM(orders[[#This Row],[Order Date]])</f>
        <v>10</v>
      </c>
      <c r="O1633" s="1"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s="1">
        <v>80.099999999999994</v>
      </c>
      <c r="F1634" s="2">
        <v>45718</v>
      </c>
      <c r="G1634" s="2">
        <v>45722</v>
      </c>
      <c r="H1634" s="1" t="s">
        <v>27</v>
      </c>
      <c r="I1634" s="1" t="s">
        <v>18</v>
      </c>
      <c r="J1634" s="1">
        <v>4</v>
      </c>
      <c r="K1634" s="1" t="s">
        <v>19</v>
      </c>
      <c r="L1634" s="1" t="s">
        <v>77</v>
      </c>
      <c r="M1634" s="1">
        <f>orders[[#This Row],[Ship Date]]-orders[[#This Row],[Order Date]]</f>
        <v>4</v>
      </c>
      <c r="N1634" s="1">
        <f>WEEKNUM(orders[[#This Row],[Order Date]])</f>
        <v>10</v>
      </c>
      <c r="O1634" s="1"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s="1">
        <v>326.2</v>
      </c>
      <c r="F1635" s="2">
        <v>45718</v>
      </c>
      <c r="G1635" s="2">
        <v>45720</v>
      </c>
      <c r="H1635" s="1" t="s">
        <v>17</v>
      </c>
      <c r="I1635" s="1" t="s">
        <v>51</v>
      </c>
      <c r="J1635" s="1">
        <v>4</v>
      </c>
      <c r="K1635" s="1" t="s">
        <v>19</v>
      </c>
      <c r="L1635" s="1" t="s">
        <v>77</v>
      </c>
      <c r="M1635" s="1">
        <f>orders[[#This Row],[Ship Date]]-orders[[#This Row],[Order Date]]</f>
        <v>2</v>
      </c>
      <c r="N1635" s="1">
        <f>WEEKNUM(orders[[#This Row],[Order Date]])</f>
        <v>10</v>
      </c>
      <c r="O1635" s="1"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s="1">
        <v>253.79999999999998</v>
      </c>
      <c r="F1636" s="2">
        <v>45718</v>
      </c>
      <c r="G1636" s="2">
        <v>45720</v>
      </c>
      <c r="H1636" s="1" t="s">
        <v>23</v>
      </c>
      <c r="I1636" s="1" t="s">
        <v>70</v>
      </c>
      <c r="J1636" s="1">
        <v>4</v>
      </c>
      <c r="K1636" s="1" t="s">
        <v>19</v>
      </c>
      <c r="L1636" s="1" t="s">
        <v>77</v>
      </c>
      <c r="M1636" s="1">
        <f>orders[[#This Row],[Ship Date]]-orders[[#This Row],[Order Date]]</f>
        <v>2</v>
      </c>
      <c r="N1636" s="1">
        <f>WEEKNUM(orders[[#This Row],[Order Date]])</f>
        <v>10</v>
      </c>
      <c r="O1636" s="1"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s="1">
        <v>581</v>
      </c>
      <c r="F1637" s="2">
        <v>45718</v>
      </c>
      <c r="G1637" s="2">
        <v>45732</v>
      </c>
      <c r="H1637" s="1" t="s">
        <v>23</v>
      </c>
      <c r="I1637" s="1" t="s">
        <v>35</v>
      </c>
      <c r="J1637" s="1">
        <v>4</v>
      </c>
      <c r="K1637" s="1" t="s">
        <v>19</v>
      </c>
      <c r="L1637" s="1" t="s">
        <v>1116</v>
      </c>
      <c r="M1637" s="1">
        <f>orders[[#This Row],[Ship Date]]-orders[[#This Row],[Order Date]]</f>
        <v>14</v>
      </c>
      <c r="N1637" s="1">
        <f>WEEKNUM(orders[[#This Row],[Order Date]])</f>
        <v>10</v>
      </c>
      <c r="O1637" s="1"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s="1">
        <v>32.799999999999997</v>
      </c>
      <c r="F1638" s="2">
        <v>45718</v>
      </c>
      <c r="G1638" s="2">
        <v>45721</v>
      </c>
      <c r="H1638" s="1" t="s">
        <v>23</v>
      </c>
      <c r="I1638" s="1" t="s">
        <v>18</v>
      </c>
      <c r="J1638" s="1">
        <v>5</v>
      </c>
      <c r="K1638" s="1" t="s">
        <v>19</v>
      </c>
      <c r="L1638" s="1" t="s">
        <v>268</v>
      </c>
      <c r="M1638" s="1">
        <f>orders[[#This Row],[Ship Date]]-orders[[#This Row],[Order Date]]</f>
        <v>3</v>
      </c>
      <c r="N1638" s="1">
        <f>WEEKNUM(orders[[#This Row],[Order Date]])</f>
        <v>10</v>
      </c>
      <c r="O1638" s="1"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s="1">
        <v>326.90000000000003</v>
      </c>
      <c r="F1639" s="2">
        <v>45718</v>
      </c>
      <c r="G1639" s="2">
        <v>45720</v>
      </c>
      <c r="H1639" s="1" t="s">
        <v>89</v>
      </c>
      <c r="I1639" s="1" t="s">
        <v>18</v>
      </c>
      <c r="J1639" s="1">
        <v>5</v>
      </c>
      <c r="K1639" s="1" t="s">
        <v>19</v>
      </c>
      <c r="L1639" s="1" t="s">
        <v>108</v>
      </c>
      <c r="M1639" s="1">
        <f>orders[[#This Row],[Ship Date]]-orders[[#This Row],[Order Date]]</f>
        <v>2</v>
      </c>
      <c r="N1639" s="1">
        <f>WEEKNUM(orders[[#This Row],[Order Date]])</f>
        <v>10</v>
      </c>
      <c r="O1639" s="1"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s="1">
        <v>147</v>
      </c>
      <c r="F1640" s="2">
        <v>45718</v>
      </c>
      <c r="G1640" s="2">
        <v>45721</v>
      </c>
      <c r="H1640" s="1" t="s">
        <v>23</v>
      </c>
      <c r="I1640" s="1" t="s">
        <v>40</v>
      </c>
      <c r="J1640" s="1">
        <v>3</v>
      </c>
      <c r="K1640" s="1" t="s">
        <v>19</v>
      </c>
      <c r="L1640" s="1" t="s">
        <v>115</v>
      </c>
      <c r="M1640" s="1">
        <f>orders[[#This Row],[Ship Date]]-orders[[#This Row],[Order Date]]</f>
        <v>3</v>
      </c>
      <c r="N1640" s="1">
        <f>WEEKNUM(orders[[#This Row],[Order Date]])</f>
        <v>10</v>
      </c>
      <c r="O1640" s="1"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s="1">
        <v>205.79999999999998</v>
      </c>
      <c r="F1641" s="2">
        <v>45718</v>
      </c>
      <c r="G1641" s="2">
        <v>45718</v>
      </c>
      <c r="H1641" s="1" t="s">
        <v>23</v>
      </c>
      <c r="I1641" s="1" t="s">
        <v>51</v>
      </c>
      <c r="J1641" s="1">
        <v>5</v>
      </c>
      <c r="K1641" s="1" t="s">
        <v>19</v>
      </c>
      <c r="L1641" s="1" t="s">
        <v>115</v>
      </c>
      <c r="M1641" s="1">
        <f>orders[[#This Row],[Ship Date]]-orders[[#This Row],[Order Date]]</f>
        <v>0</v>
      </c>
      <c r="N1641" s="1">
        <f>WEEKNUM(orders[[#This Row],[Order Date]])</f>
        <v>10</v>
      </c>
      <c r="O1641" s="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s="1">
        <v>64.599999999999994</v>
      </c>
      <c r="F1642" s="2">
        <v>45718</v>
      </c>
      <c r="G1642" s="2">
        <v>45719</v>
      </c>
      <c r="H1642" s="1" t="s">
        <v>23</v>
      </c>
      <c r="I1642" s="1" t="s">
        <v>18</v>
      </c>
      <c r="J1642" s="1">
        <v>5</v>
      </c>
      <c r="K1642" s="1" t="s">
        <v>19</v>
      </c>
      <c r="L1642" s="1" t="s">
        <v>115</v>
      </c>
      <c r="M1642" s="1">
        <f>orders[[#This Row],[Ship Date]]-orders[[#This Row],[Order Date]]</f>
        <v>1</v>
      </c>
      <c r="N1642" s="1">
        <f>WEEKNUM(orders[[#This Row],[Order Date]])</f>
        <v>10</v>
      </c>
      <c r="O1642" s="1"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s="1">
        <v>42.2</v>
      </c>
      <c r="F1643" s="2">
        <v>45719</v>
      </c>
      <c r="G1643" s="2">
        <v>45721</v>
      </c>
      <c r="H1643" s="1" t="s">
        <v>27</v>
      </c>
      <c r="I1643" s="1" t="s">
        <v>18</v>
      </c>
      <c r="J1643" s="1">
        <v>5</v>
      </c>
      <c r="K1643" s="1" t="s">
        <v>19</v>
      </c>
      <c r="L1643" s="1" t="s">
        <v>115</v>
      </c>
      <c r="M1643" s="1">
        <f>orders[[#This Row],[Ship Date]]-orders[[#This Row],[Order Date]]</f>
        <v>2</v>
      </c>
      <c r="N1643" s="1">
        <f>WEEKNUM(orders[[#This Row],[Order Date]])</f>
        <v>10</v>
      </c>
      <c r="O1643" s="1"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s="1">
        <v>53.7</v>
      </c>
      <c r="F1644" s="2">
        <v>45719</v>
      </c>
      <c r="G1644" s="2">
        <v>45721</v>
      </c>
      <c r="H1644" s="1" t="s">
        <v>23</v>
      </c>
      <c r="I1644" s="1" t="s">
        <v>35</v>
      </c>
      <c r="J1644" s="1">
        <v>3</v>
      </c>
      <c r="K1644" s="1" t="s">
        <v>19</v>
      </c>
      <c r="L1644" s="1" t="s">
        <v>24</v>
      </c>
      <c r="M1644" s="1">
        <f>orders[[#This Row],[Ship Date]]-orders[[#This Row],[Order Date]]</f>
        <v>2</v>
      </c>
      <c r="N1644" s="1">
        <f>WEEKNUM(orders[[#This Row],[Order Date]])</f>
        <v>10</v>
      </c>
      <c r="O1644" s="1"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s="1">
        <v>247.8</v>
      </c>
      <c r="F1645" s="2">
        <v>45719</v>
      </c>
      <c r="G1645" s="2">
        <v>45722</v>
      </c>
      <c r="H1645" s="1" t="s">
        <v>23</v>
      </c>
      <c r="I1645" s="1" t="s">
        <v>40</v>
      </c>
      <c r="J1645" s="1">
        <v>4</v>
      </c>
      <c r="K1645" s="1" t="s">
        <v>19</v>
      </c>
      <c r="L1645" s="1" t="s">
        <v>24</v>
      </c>
      <c r="M1645" s="1">
        <f>orders[[#This Row],[Ship Date]]-orders[[#This Row],[Order Date]]</f>
        <v>3</v>
      </c>
      <c r="N1645" s="1">
        <f>WEEKNUM(orders[[#This Row],[Order Date]])</f>
        <v>10</v>
      </c>
      <c r="O1645" s="1"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s="1">
        <v>107.69999999999999</v>
      </c>
      <c r="F1646" s="2">
        <v>45719</v>
      </c>
      <c r="G1646" s="2">
        <v>45721</v>
      </c>
      <c r="H1646" s="1" t="s">
        <v>23</v>
      </c>
      <c r="I1646" s="1" t="s">
        <v>40</v>
      </c>
      <c r="J1646" s="1">
        <v>4</v>
      </c>
      <c r="K1646" s="1" t="s">
        <v>19</v>
      </c>
      <c r="L1646" s="1" t="s">
        <v>147</v>
      </c>
      <c r="M1646" s="1">
        <f>orders[[#This Row],[Ship Date]]-orders[[#This Row],[Order Date]]</f>
        <v>2</v>
      </c>
      <c r="N1646" s="1">
        <f>WEEKNUM(orders[[#This Row],[Order Date]])</f>
        <v>10</v>
      </c>
      <c r="O1646" s="1"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s="1">
        <v>47.2</v>
      </c>
      <c r="F1647" s="2">
        <v>45719</v>
      </c>
      <c r="G1647" s="2">
        <v>45722</v>
      </c>
      <c r="H1647" s="1" t="s">
        <v>23</v>
      </c>
      <c r="I1647" s="1" t="s">
        <v>18</v>
      </c>
      <c r="J1647" s="1">
        <v>5</v>
      </c>
      <c r="K1647" s="1" t="s">
        <v>19</v>
      </c>
      <c r="L1647" s="1" t="s">
        <v>33</v>
      </c>
      <c r="M1647" s="1">
        <f>orders[[#This Row],[Ship Date]]-orders[[#This Row],[Order Date]]</f>
        <v>3</v>
      </c>
      <c r="N1647" s="1">
        <f>WEEKNUM(orders[[#This Row],[Order Date]])</f>
        <v>10</v>
      </c>
      <c r="O1647" s="1"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s="1">
        <v>1599.5</v>
      </c>
      <c r="F1648" s="2">
        <v>45719</v>
      </c>
      <c r="G1648" s="2">
        <v>45720</v>
      </c>
      <c r="H1648" s="1" t="s">
        <v>23</v>
      </c>
      <c r="I1648" s="1" t="s">
        <v>18</v>
      </c>
      <c r="J1648" s="1">
        <v>3</v>
      </c>
      <c r="K1648" s="1" t="s">
        <v>19</v>
      </c>
      <c r="L1648" s="1" t="s">
        <v>33</v>
      </c>
      <c r="M1648" s="1">
        <f>orders[[#This Row],[Ship Date]]-orders[[#This Row],[Order Date]]</f>
        <v>1</v>
      </c>
      <c r="N1648" s="1">
        <f>WEEKNUM(orders[[#This Row],[Order Date]])</f>
        <v>10</v>
      </c>
      <c r="O1648" s="1"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s="1">
        <v>1301.3</v>
      </c>
      <c r="F1649" s="2">
        <v>45719</v>
      </c>
      <c r="G1649" s="2">
        <v>45721</v>
      </c>
      <c r="H1649" s="1" t="s">
        <v>23</v>
      </c>
      <c r="I1649" s="1" t="s">
        <v>70</v>
      </c>
      <c r="J1649" s="1">
        <v>5</v>
      </c>
      <c r="K1649" s="1" t="s">
        <v>19</v>
      </c>
      <c r="L1649" s="1" t="s">
        <v>33</v>
      </c>
      <c r="M1649" s="1">
        <f>orders[[#This Row],[Ship Date]]-orders[[#This Row],[Order Date]]</f>
        <v>2</v>
      </c>
      <c r="N1649" s="1">
        <f>WEEKNUM(orders[[#This Row],[Order Date]])</f>
        <v>10</v>
      </c>
      <c r="O1649" s="1"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s="1">
        <v>36</v>
      </c>
      <c r="F1650" s="2">
        <v>45719</v>
      </c>
      <c r="G1650" s="2">
        <v>45720</v>
      </c>
      <c r="H1650" s="1" t="s">
        <v>27</v>
      </c>
      <c r="I1650" s="1" t="s">
        <v>18</v>
      </c>
      <c r="J1650" s="1">
        <v>3</v>
      </c>
      <c r="K1650" s="1" t="s">
        <v>19</v>
      </c>
      <c r="L1650" s="1" t="s">
        <v>33</v>
      </c>
      <c r="M1650" s="1">
        <f>orders[[#This Row],[Ship Date]]-orders[[#This Row],[Order Date]]</f>
        <v>1</v>
      </c>
      <c r="N1650" s="1">
        <f>WEEKNUM(orders[[#This Row],[Order Date]])</f>
        <v>10</v>
      </c>
      <c r="O1650" s="1"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s="1">
        <v>74.2</v>
      </c>
      <c r="F1651" s="2">
        <v>45719</v>
      </c>
      <c r="G1651" s="2">
        <v>45722</v>
      </c>
      <c r="H1651" s="1" t="s">
        <v>27</v>
      </c>
      <c r="I1651" s="1" t="s">
        <v>40</v>
      </c>
      <c r="J1651" s="1">
        <v>4</v>
      </c>
      <c r="K1651" s="1" t="s">
        <v>19</v>
      </c>
      <c r="L1651" s="1" t="s">
        <v>33</v>
      </c>
      <c r="M1651" s="1">
        <f>orders[[#This Row],[Ship Date]]-orders[[#This Row],[Order Date]]</f>
        <v>3</v>
      </c>
      <c r="N1651" s="1">
        <f>WEEKNUM(orders[[#This Row],[Order Date]])</f>
        <v>10</v>
      </c>
      <c r="O1651" s="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s="1">
        <v>135.30000000000001</v>
      </c>
      <c r="F1652" s="2">
        <v>45719</v>
      </c>
      <c r="G1652" s="2">
        <v>45721</v>
      </c>
      <c r="H1652" s="1" t="s">
        <v>27</v>
      </c>
      <c r="I1652" s="1" t="s">
        <v>35</v>
      </c>
      <c r="J1652" s="1">
        <v>5</v>
      </c>
      <c r="K1652" s="1" t="s">
        <v>19</v>
      </c>
      <c r="L1652" s="1" t="s">
        <v>33</v>
      </c>
      <c r="M1652" s="1">
        <f>orders[[#This Row],[Ship Date]]-orders[[#This Row],[Order Date]]</f>
        <v>2</v>
      </c>
      <c r="N1652" s="1">
        <f>WEEKNUM(orders[[#This Row],[Order Date]])</f>
        <v>10</v>
      </c>
      <c r="O1652" s="1"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s="1">
        <v>606.4</v>
      </c>
      <c r="F1653" s="2">
        <v>45719</v>
      </c>
      <c r="G1653" s="2">
        <v>45720</v>
      </c>
      <c r="H1653" s="1" t="s">
        <v>27</v>
      </c>
      <c r="I1653" s="1" t="s">
        <v>51</v>
      </c>
      <c r="J1653" s="1">
        <v>5</v>
      </c>
      <c r="K1653" s="1" t="s">
        <v>19</v>
      </c>
      <c r="L1653" s="1" t="s">
        <v>33</v>
      </c>
      <c r="M1653" s="1">
        <f>orders[[#This Row],[Ship Date]]-orders[[#This Row],[Order Date]]</f>
        <v>1</v>
      </c>
      <c r="N1653" s="1">
        <f>WEEKNUM(orders[[#This Row],[Order Date]])</f>
        <v>10</v>
      </c>
      <c r="O1653" s="1"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s="1">
        <v>243.2</v>
      </c>
      <c r="F1654" s="2">
        <v>45719</v>
      </c>
      <c r="G1654" s="2">
        <v>45722</v>
      </c>
      <c r="H1654" s="1" t="s">
        <v>23</v>
      </c>
      <c r="I1654" s="1" t="s">
        <v>51</v>
      </c>
      <c r="J1654" s="1">
        <v>5</v>
      </c>
      <c r="K1654" s="1" t="s">
        <v>19</v>
      </c>
      <c r="L1654" s="1" t="s">
        <v>33</v>
      </c>
      <c r="M1654" s="1">
        <f>orders[[#This Row],[Ship Date]]-orders[[#This Row],[Order Date]]</f>
        <v>3</v>
      </c>
      <c r="N1654" s="1">
        <f>WEEKNUM(orders[[#This Row],[Order Date]])</f>
        <v>10</v>
      </c>
      <c r="O1654" s="1"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s="1">
        <v>267.40000000000003</v>
      </c>
      <c r="F1655" s="2">
        <v>45719</v>
      </c>
      <c r="G1655" s="2">
        <v>45722</v>
      </c>
      <c r="H1655" s="1" t="s">
        <v>27</v>
      </c>
      <c r="I1655" s="1" t="s">
        <v>18</v>
      </c>
      <c r="J1655" s="1">
        <v>4</v>
      </c>
      <c r="K1655" s="1" t="s">
        <v>19</v>
      </c>
      <c r="L1655" s="1" t="s">
        <v>33</v>
      </c>
      <c r="M1655" s="1">
        <f>orders[[#This Row],[Ship Date]]-orders[[#This Row],[Order Date]]</f>
        <v>3</v>
      </c>
      <c r="N1655" s="1">
        <f>WEEKNUM(orders[[#This Row],[Order Date]])</f>
        <v>10</v>
      </c>
      <c r="O1655" s="1"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s="1">
        <v>74.400000000000006</v>
      </c>
      <c r="F1656" s="2">
        <v>45719</v>
      </c>
      <c r="G1656" s="2">
        <v>45722</v>
      </c>
      <c r="H1656" s="1" t="s">
        <v>23</v>
      </c>
      <c r="I1656" s="1" t="s">
        <v>70</v>
      </c>
      <c r="J1656" s="1">
        <v>4</v>
      </c>
      <c r="K1656" s="1" t="s">
        <v>19</v>
      </c>
      <c r="L1656" s="1" t="s">
        <v>33</v>
      </c>
      <c r="M1656" s="1">
        <f>orders[[#This Row],[Ship Date]]-orders[[#This Row],[Order Date]]</f>
        <v>3</v>
      </c>
      <c r="N1656" s="1">
        <f>WEEKNUM(orders[[#This Row],[Order Date]])</f>
        <v>10</v>
      </c>
      <c r="O1656" s="1"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s="1">
        <v>462.8</v>
      </c>
      <c r="F1657" s="2">
        <v>45719</v>
      </c>
      <c r="G1657" s="2">
        <v>45722</v>
      </c>
      <c r="H1657" s="1" t="s">
        <v>27</v>
      </c>
      <c r="I1657" s="1" t="s">
        <v>35</v>
      </c>
      <c r="J1657" s="1">
        <v>4</v>
      </c>
      <c r="K1657" s="1" t="s">
        <v>19</v>
      </c>
      <c r="L1657" s="1" t="s">
        <v>33</v>
      </c>
      <c r="M1657" s="1">
        <f>orders[[#This Row],[Ship Date]]-orders[[#This Row],[Order Date]]</f>
        <v>3</v>
      </c>
      <c r="N1657" s="1">
        <f>WEEKNUM(orders[[#This Row],[Order Date]])</f>
        <v>10</v>
      </c>
      <c r="O1657" s="1"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s="1">
        <v>596.40000000000009</v>
      </c>
      <c r="F1658" s="2">
        <v>45719</v>
      </c>
      <c r="G1658" s="2">
        <v>45722</v>
      </c>
      <c r="H1658" s="1" t="s">
        <v>23</v>
      </c>
      <c r="I1658" s="1" t="s">
        <v>18</v>
      </c>
      <c r="J1658" s="1">
        <v>5</v>
      </c>
      <c r="K1658" s="1" t="s">
        <v>19</v>
      </c>
      <c r="L1658" s="1" t="s">
        <v>33</v>
      </c>
      <c r="M1658" s="1">
        <f>orders[[#This Row],[Ship Date]]-orders[[#This Row],[Order Date]]</f>
        <v>3</v>
      </c>
      <c r="N1658" s="1">
        <f>WEEKNUM(orders[[#This Row],[Order Date]])</f>
        <v>10</v>
      </c>
      <c r="O1658" s="1"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s="1">
        <v>38.700000000000003</v>
      </c>
      <c r="F1659" s="2">
        <v>45719</v>
      </c>
      <c r="G1659" s="2">
        <v>45720</v>
      </c>
      <c r="H1659" s="1" t="s">
        <v>27</v>
      </c>
      <c r="I1659" s="1" t="s">
        <v>40</v>
      </c>
      <c r="J1659" s="1">
        <v>4</v>
      </c>
      <c r="K1659" s="1" t="s">
        <v>19</v>
      </c>
      <c r="L1659" s="1" t="s">
        <v>188</v>
      </c>
      <c r="M1659" s="1">
        <f>orders[[#This Row],[Ship Date]]-orders[[#This Row],[Order Date]]</f>
        <v>1</v>
      </c>
      <c r="N1659" s="1">
        <f>WEEKNUM(orders[[#This Row],[Order Date]])</f>
        <v>10</v>
      </c>
      <c r="O1659" s="1"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s="1">
        <v>71</v>
      </c>
      <c r="F1660" s="2">
        <v>45719</v>
      </c>
      <c r="G1660" s="2">
        <v>45722</v>
      </c>
      <c r="H1660" s="1" t="s">
        <v>23</v>
      </c>
      <c r="I1660" s="1" t="s">
        <v>18</v>
      </c>
      <c r="J1660" s="1">
        <v>5</v>
      </c>
      <c r="K1660" s="1" t="s">
        <v>19</v>
      </c>
      <c r="L1660" s="1" t="s">
        <v>188</v>
      </c>
      <c r="M1660" s="1">
        <f>orders[[#This Row],[Ship Date]]-orders[[#This Row],[Order Date]]</f>
        <v>3</v>
      </c>
      <c r="N1660" s="1">
        <f>WEEKNUM(orders[[#This Row],[Order Date]])</f>
        <v>10</v>
      </c>
      <c r="O1660" s="1"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s="1">
        <v>373.2</v>
      </c>
      <c r="F1661" s="2">
        <v>45719</v>
      </c>
      <c r="G1661" s="2">
        <v>45722</v>
      </c>
      <c r="H1661" s="1" t="s">
        <v>27</v>
      </c>
      <c r="I1661" s="1" t="s">
        <v>18</v>
      </c>
      <c r="J1661" s="1">
        <v>5</v>
      </c>
      <c r="K1661" s="1" t="s">
        <v>19</v>
      </c>
      <c r="L1661" s="1" t="s">
        <v>55</v>
      </c>
      <c r="M1661" s="1">
        <f>orders[[#This Row],[Ship Date]]-orders[[#This Row],[Order Date]]</f>
        <v>3</v>
      </c>
      <c r="N1661" s="1">
        <f>WEEKNUM(orders[[#This Row],[Order Date]])</f>
        <v>10</v>
      </c>
      <c r="O1661" s="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s="1">
        <v>31.4</v>
      </c>
      <c r="F1662" s="2">
        <v>45719</v>
      </c>
      <c r="G1662" s="2">
        <v>45724</v>
      </c>
      <c r="H1662" s="1" t="s">
        <v>27</v>
      </c>
      <c r="I1662" s="1" t="s">
        <v>40</v>
      </c>
      <c r="J1662" s="1">
        <v>5</v>
      </c>
      <c r="K1662" s="1" t="s">
        <v>19</v>
      </c>
      <c r="L1662" s="1" t="s">
        <v>55</v>
      </c>
      <c r="M1662" s="1">
        <f>orders[[#This Row],[Ship Date]]-orders[[#This Row],[Order Date]]</f>
        <v>5</v>
      </c>
      <c r="N1662" s="1">
        <f>WEEKNUM(orders[[#This Row],[Order Date]])</f>
        <v>10</v>
      </c>
      <c r="O1662" s="1"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s="1">
        <v>85.9</v>
      </c>
      <c r="F1663" s="2">
        <v>45719</v>
      </c>
      <c r="G1663" s="2">
        <v>45722</v>
      </c>
      <c r="H1663" s="1" t="s">
        <v>23</v>
      </c>
      <c r="I1663" s="1" t="s">
        <v>35</v>
      </c>
      <c r="J1663" s="1">
        <v>4</v>
      </c>
      <c r="K1663" s="1" t="s">
        <v>19</v>
      </c>
      <c r="L1663" s="1" t="s">
        <v>55</v>
      </c>
      <c r="M1663" s="1">
        <f>orders[[#This Row],[Ship Date]]-orders[[#This Row],[Order Date]]</f>
        <v>3</v>
      </c>
      <c r="N1663" s="1">
        <f>WEEKNUM(orders[[#This Row],[Order Date]])</f>
        <v>10</v>
      </c>
      <c r="O1663" s="1"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s="1">
        <v>333.6</v>
      </c>
      <c r="F1664" s="2">
        <v>45719</v>
      </c>
      <c r="G1664" s="2">
        <v>45727</v>
      </c>
      <c r="H1664" s="1" t="s">
        <v>23</v>
      </c>
      <c r="I1664" s="1" t="s">
        <v>18</v>
      </c>
      <c r="J1664" s="1">
        <v>5</v>
      </c>
      <c r="K1664" s="1" t="s">
        <v>19</v>
      </c>
      <c r="L1664" s="1" t="s">
        <v>59</v>
      </c>
      <c r="M1664" s="1">
        <f>orders[[#This Row],[Ship Date]]-orders[[#This Row],[Order Date]]</f>
        <v>8</v>
      </c>
      <c r="N1664" s="1">
        <f>WEEKNUM(orders[[#This Row],[Order Date]])</f>
        <v>10</v>
      </c>
      <c r="O1664" s="1"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s="1">
        <v>126</v>
      </c>
      <c r="F1665" s="2">
        <v>45719</v>
      </c>
      <c r="G1665" s="2">
        <v>45720</v>
      </c>
      <c r="H1665" s="1" t="s">
        <v>27</v>
      </c>
      <c r="I1665" s="1" t="s">
        <v>18</v>
      </c>
      <c r="J1665" s="1">
        <v>4</v>
      </c>
      <c r="K1665" s="1" t="s">
        <v>19</v>
      </c>
      <c r="L1665" s="1" t="s">
        <v>59</v>
      </c>
      <c r="M1665" s="1">
        <f>orders[[#This Row],[Ship Date]]-orders[[#This Row],[Order Date]]</f>
        <v>1</v>
      </c>
      <c r="N1665" s="1">
        <f>WEEKNUM(orders[[#This Row],[Order Date]])</f>
        <v>10</v>
      </c>
      <c r="O1665" s="1"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s="1">
        <v>72.599999999999994</v>
      </c>
      <c r="F1666" s="2">
        <v>45719</v>
      </c>
      <c r="G1666" s="2">
        <v>45720</v>
      </c>
      <c r="H1666" s="1" t="s">
        <v>27</v>
      </c>
      <c r="I1666" s="1" t="s">
        <v>18</v>
      </c>
      <c r="J1666" s="1">
        <v>2</v>
      </c>
      <c r="K1666" s="1" t="s">
        <v>19</v>
      </c>
      <c r="L1666" s="1" t="s">
        <v>62</v>
      </c>
      <c r="M1666" s="1">
        <f>orders[[#This Row],[Ship Date]]-orders[[#This Row],[Order Date]]</f>
        <v>1</v>
      </c>
      <c r="N1666" s="1">
        <f>WEEKNUM(orders[[#This Row],[Order Date]])</f>
        <v>10</v>
      </c>
      <c r="O1666" s="1"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s="1">
        <v>100.19999999999999</v>
      </c>
      <c r="F1667" s="2">
        <v>45719</v>
      </c>
      <c r="G1667" s="2">
        <v>45720</v>
      </c>
      <c r="H1667" s="1" t="s">
        <v>27</v>
      </c>
      <c r="I1667" s="1" t="s">
        <v>51</v>
      </c>
      <c r="J1667" s="1">
        <v>4</v>
      </c>
      <c r="K1667" s="1" t="s">
        <v>19</v>
      </c>
      <c r="L1667" s="1" t="s">
        <v>103</v>
      </c>
      <c r="M1667" s="1">
        <f>orders[[#This Row],[Ship Date]]-orders[[#This Row],[Order Date]]</f>
        <v>1</v>
      </c>
      <c r="N1667" s="1">
        <f>WEEKNUM(orders[[#This Row],[Order Date]])</f>
        <v>10</v>
      </c>
      <c r="O1667" s="1"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s="1">
        <v>195.60000000000002</v>
      </c>
      <c r="F1668" s="2">
        <v>45719</v>
      </c>
      <c r="G1668" s="2">
        <v>45720</v>
      </c>
      <c r="H1668" s="1" t="s">
        <v>27</v>
      </c>
      <c r="I1668" s="1" t="s">
        <v>40</v>
      </c>
      <c r="J1668" s="1">
        <v>5</v>
      </c>
      <c r="K1668" s="1" t="s">
        <v>19</v>
      </c>
      <c r="L1668" s="1" t="s">
        <v>201</v>
      </c>
      <c r="M1668" s="1">
        <f>orders[[#This Row],[Ship Date]]-orders[[#This Row],[Order Date]]</f>
        <v>1</v>
      </c>
      <c r="N1668" s="1">
        <f>WEEKNUM(orders[[#This Row],[Order Date]])</f>
        <v>10</v>
      </c>
      <c r="O1668" s="1"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s="1">
        <v>589.5</v>
      </c>
      <c r="F1669" s="2">
        <v>45719</v>
      </c>
      <c r="G1669" s="2">
        <v>45722</v>
      </c>
      <c r="H1669" s="1" t="s">
        <v>27</v>
      </c>
      <c r="I1669" s="1" t="s">
        <v>18</v>
      </c>
      <c r="J1669" s="1">
        <v>5</v>
      </c>
      <c r="K1669" s="1" t="s">
        <v>19</v>
      </c>
      <c r="L1669" s="1" t="s">
        <v>72</v>
      </c>
      <c r="M1669" s="1">
        <f>orders[[#This Row],[Ship Date]]-orders[[#This Row],[Order Date]]</f>
        <v>3</v>
      </c>
      <c r="N1669" s="1">
        <f>WEEKNUM(orders[[#This Row],[Order Date]])</f>
        <v>10</v>
      </c>
      <c r="O1669" s="1"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s="1">
        <v>158.39999999999998</v>
      </c>
      <c r="F1670" s="2">
        <v>45719</v>
      </c>
      <c r="G1670" s="2">
        <v>45722</v>
      </c>
      <c r="H1670" s="1" t="s">
        <v>23</v>
      </c>
      <c r="I1670" s="1" t="s">
        <v>40</v>
      </c>
      <c r="J1670" s="1">
        <v>4</v>
      </c>
      <c r="K1670" s="1" t="s">
        <v>19</v>
      </c>
      <c r="L1670" s="1" t="s">
        <v>72</v>
      </c>
      <c r="M1670" s="1">
        <f>orders[[#This Row],[Ship Date]]-orders[[#This Row],[Order Date]]</f>
        <v>3</v>
      </c>
      <c r="N1670" s="1">
        <f>WEEKNUM(orders[[#This Row],[Order Date]])</f>
        <v>10</v>
      </c>
      <c r="O1670" s="1"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s="1">
        <v>120</v>
      </c>
      <c r="F1671" s="2">
        <v>45719</v>
      </c>
      <c r="G1671" s="2">
        <v>45723</v>
      </c>
      <c r="H1671" s="1" t="s">
        <v>23</v>
      </c>
      <c r="I1671" s="1" t="s">
        <v>18</v>
      </c>
      <c r="J1671" s="1">
        <v>3</v>
      </c>
      <c r="K1671" s="1" t="s">
        <v>19</v>
      </c>
      <c r="L1671" s="1" t="s">
        <v>77</v>
      </c>
      <c r="M1671" s="1">
        <f>orders[[#This Row],[Ship Date]]-orders[[#This Row],[Order Date]]</f>
        <v>4</v>
      </c>
      <c r="N1671" s="1">
        <f>WEEKNUM(orders[[#This Row],[Order Date]])</f>
        <v>10</v>
      </c>
      <c r="O1671" s="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s="1">
        <v>153.60000000000002</v>
      </c>
      <c r="F1672" s="2">
        <v>45719</v>
      </c>
      <c r="G1672" s="2">
        <v>45720</v>
      </c>
      <c r="H1672" s="1" t="s">
        <v>27</v>
      </c>
      <c r="I1672" s="1" t="s">
        <v>18</v>
      </c>
      <c r="J1672" s="1">
        <v>4</v>
      </c>
      <c r="K1672" s="1" t="s">
        <v>19</v>
      </c>
      <c r="L1672" s="1" t="s">
        <v>309</v>
      </c>
      <c r="M1672" s="1">
        <f>orders[[#This Row],[Ship Date]]-orders[[#This Row],[Order Date]]</f>
        <v>1</v>
      </c>
      <c r="N1672" s="1">
        <f>WEEKNUM(orders[[#This Row],[Order Date]])</f>
        <v>10</v>
      </c>
      <c r="O1672" s="1"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s="1">
        <v>84.9</v>
      </c>
      <c r="F1673" s="2">
        <v>45719</v>
      </c>
      <c r="G1673" s="2">
        <v>45721</v>
      </c>
      <c r="H1673" s="1" t="s">
        <v>23</v>
      </c>
      <c r="I1673" s="1" t="s">
        <v>70</v>
      </c>
      <c r="J1673" s="1">
        <v>4</v>
      </c>
      <c r="K1673" s="1" t="s">
        <v>19</v>
      </c>
      <c r="L1673" s="1" t="s">
        <v>110</v>
      </c>
      <c r="M1673" s="1">
        <f>orders[[#This Row],[Ship Date]]-orders[[#This Row],[Order Date]]</f>
        <v>2</v>
      </c>
      <c r="N1673" s="1">
        <f>WEEKNUM(orders[[#This Row],[Order Date]])</f>
        <v>10</v>
      </c>
      <c r="O1673" s="1"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s="1">
        <v>126.89999999999999</v>
      </c>
      <c r="F1674" s="2">
        <v>45719</v>
      </c>
      <c r="G1674" s="2">
        <v>45719</v>
      </c>
      <c r="H1674" s="1" t="s">
        <v>27</v>
      </c>
      <c r="I1674" s="1" t="s">
        <v>40</v>
      </c>
      <c r="J1674" s="1">
        <v>3</v>
      </c>
      <c r="K1674" s="1" t="s">
        <v>19</v>
      </c>
      <c r="L1674" s="1" t="s">
        <v>110</v>
      </c>
      <c r="M1674" s="1">
        <f>orders[[#This Row],[Ship Date]]-orders[[#This Row],[Order Date]]</f>
        <v>0</v>
      </c>
      <c r="N1674" s="1">
        <f>WEEKNUM(orders[[#This Row],[Order Date]])</f>
        <v>10</v>
      </c>
      <c r="O1674" s="1"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s="1">
        <v>1306.4000000000001</v>
      </c>
      <c r="F1675" s="2">
        <v>45720</v>
      </c>
      <c r="G1675" s="2">
        <v>45721</v>
      </c>
      <c r="H1675" s="1" t="s">
        <v>27</v>
      </c>
      <c r="I1675" s="1" t="s">
        <v>35</v>
      </c>
      <c r="J1675" s="1">
        <v>4</v>
      </c>
      <c r="K1675" s="1" t="s">
        <v>19</v>
      </c>
      <c r="L1675" s="1" t="s">
        <v>82</v>
      </c>
      <c r="M1675" s="1">
        <f>orders[[#This Row],[Ship Date]]-orders[[#This Row],[Order Date]]</f>
        <v>1</v>
      </c>
      <c r="N1675" s="1">
        <f>WEEKNUM(orders[[#This Row],[Order Date]])</f>
        <v>10</v>
      </c>
      <c r="O1675" s="1"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s="1">
        <v>331.09999999999997</v>
      </c>
      <c r="F1676" s="2">
        <v>45720</v>
      </c>
      <c r="G1676" s="2">
        <v>45723</v>
      </c>
      <c r="H1676" s="1" t="s">
        <v>27</v>
      </c>
      <c r="I1676" s="1" t="s">
        <v>70</v>
      </c>
      <c r="J1676" s="1">
        <v>3</v>
      </c>
      <c r="K1676" s="1" t="s">
        <v>19</v>
      </c>
      <c r="L1676" s="1" t="s">
        <v>115</v>
      </c>
      <c r="M1676" s="1">
        <f>orders[[#This Row],[Ship Date]]-orders[[#This Row],[Order Date]]</f>
        <v>3</v>
      </c>
      <c r="N1676" s="1">
        <f>WEEKNUM(orders[[#This Row],[Order Date]])</f>
        <v>10</v>
      </c>
      <c r="O1676" s="1"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s="1">
        <v>436.8</v>
      </c>
      <c r="F1677" s="2">
        <v>45720</v>
      </c>
      <c r="G1677" s="2">
        <v>45721</v>
      </c>
      <c r="H1677" s="1" t="s">
        <v>27</v>
      </c>
      <c r="I1677" s="1" t="s">
        <v>40</v>
      </c>
      <c r="J1677" s="1">
        <v>4</v>
      </c>
      <c r="K1677" s="1" t="s">
        <v>19</v>
      </c>
      <c r="L1677" s="1" t="s">
        <v>115</v>
      </c>
      <c r="M1677" s="1">
        <f>orders[[#This Row],[Ship Date]]-orders[[#This Row],[Order Date]]</f>
        <v>1</v>
      </c>
      <c r="N1677" s="1">
        <f>WEEKNUM(orders[[#This Row],[Order Date]])</f>
        <v>10</v>
      </c>
      <c r="O1677" s="1"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s="1">
        <v>209.39999999999998</v>
      </c>
      <c r="F1678" s="2">
        <v>45720</v>
      </c>
      <c r="G1678" s="2">
        <v>45731</v>
      </c>
      <c r="H1678" s="1" t="s">
        <v>27</v>
      </c>
      <c r="I1678" s="1" t="s">
        <v>18</v>
      </c>
      <c r="J1678" s="1">
        <v>4</v>
      </c>
      <c r="K1678" s="1" t="s">
        <v>19</v>
      </c>
      <c r="L1678" s="1" t="s">
        <v>115</v>
      </c>
      <c r="M1678" s="1">
        <f>orders[[#This Row],[Ship Date]]-orders[[#This Row],[Order Date]]</f>
        <v>11</v>
      </c>
      <c r="N1678" s="1">
        <f>WEEKNUM(orders[[#This Row],[Order Date]])</f>
        <v>10</v>
      </c>
      <c r="O1678" s="1"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s="1">
        <v>107.8</v>
      </c>
      <c r="F1679" s="2">
        <v>45720</v>
      </c>
      <c r="G1679" s="2">
        <v>45723</v>
      </c>
      <c r="H1679" s="1" t="s">
        <v>89</v>
      </c>
      <c r="I1679" s="1" t="s">
        <v>18</v>
      </c>
      <c r="J1679" s="1">
        <v>2</v>
      </c>
      <c r="K1679" s="1" t="s">
        <v>19</v>
      </c>
      <c r="L1679" s="1" t="s">
        <v>24</v>
      </c>
      <c r="M1679" s="1">
        <f>orders[[#This Row],[Ship Date]]-orders[[#This Row],[Order Date]]</f>
        <v>3</v>
      </c>
      <c r="N1679" s="1">
        <f>WEEKNUM(orders[[#This Row],[Order Date]])</f>
        <v>10</v>
      </c>
      <c r="O1679" s="1"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s="1">
        <v>174.4</v>
      </c>
      <c r="F1680" s="2">
        <v>45720</v>
      </c>
      <c r="G1680" s="2">
        <v>45721</v>
      </c>
      <c r="H1680" s="1" t="s">
        <v>27</v>
      </c>
      <c r="I1680" s="1" t="s">
        <v>18</v>
      </c>
      <c r="J1680" s="1">
        <v>3</v>
      </c>
      <c r="K1680" s="1" t="s">
        <v>19</v>
      </c>
      <c r="L1680" s="1" t="s">
        <v>24</v>
      </c>
      <c r="M1680" s="1">
        <f>orders[[#This Row],[Ship Date]]-orders[[#This Row],[Order Date]]</f>
        <v>1</v>
      </c>
      <c r="N1680" s="1">
        <f>WEEKNUM(orders[[#This Row],[Order Date]])</f>
        <v>10</v>
      </c>
      <c r="O1680" s="1"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s="1">
        <v>58.8</v>
      </c>
      <c r="F1681" s="2">
        <v>45720</v>
      </c>
      <c r="G1681" s="2">
        <v>45722</v>
      </c>
      <c r="H1681" s="1" t="s">
        <v>27</v>
      </c>
      <c r="I1681" s="1" t="s">
        <v>40</v>
      </c>
      <c r="J1681" s="1">
        <v>4</v>
      </c>
      <c r="K1681" s="1" t="s">
        <v>19</v>
      </c>
      <c r="L1681" s="1" t="s">
        <v>587</v>
      </c>
      <c r="M1681" s="1">
        <f>orders[[#This Row],[Ship Date]]-orders[[#This Row],[Order Date]]</f>
        <v>2</v>
      </c>
      <c r="N1681" s="1">
        <f>WEEKNUM(orders[[#This Row],[Order Date]])</f>
        <v>10</v>
      </c>
      <c r="O1681" s="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s="1">
        <v>878.5</v>
      </c>
      <c r="F1682" s="2">
        <v>45720</v>
      </c>
      <c r="G1682" s="2">
        <v>45721</v>
      </c>
      <c r="H1682" s="1" t="s">
        <v>23</v>
      </c>
      <c r="I1682" s="1" t="s">
        <v>40</v>
      </c>
      <c r="J1682" s="1">
        <v>2</v>
      </c>
      <c r="K1682" s="1" t="s">
        <v>19</v>
      </c>
      <c r="L1682" s="1" t="s">
        <v>147</v>
      </c>
      <c r="M1682" s="1">
        <f>orders[[#This Row],[Ship Date]]-orders[[#This Row],[Order Date]]</f>
        <v>1</v>
      </c>
      <c r="N1682" s="1">
        <f>WEEKNUM(orders[[#This Row],[Order Date]])</f>
        <v>10</v>
      </c>
      <c r="O1682" s="1"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s="1">
        <v>498.4</v>
      </c>
      <c r="F1683" s="2">
        <v>45720</v>
      </c>
      <c r="G1683" s="2">
        <v>45722</v>
      </c>
      <c r="H1683" s="1" t="s">
        <v>27</v>
      </c>
      <c r="I1683" s="1" t="s">
        <v>18</v>
      </c>
      <c r="J1683" s="1">
        <v>3</v>
      </c>
      <c r="K1683" s="1" t="s">
        <v>19</v>
      </c>
      <c r="L1683" s="1" t="s">
        <v>147</v>
      </c>
      <c r="M1683" s="1">
        <f>orders[[#This Row],[Ship Date]]-orders[[#This Row],[Order Date]]</f>
        <v>2</v>
      </c>
      <c r="N1683" s="1">
        <f>WEEKNUM(orders[[#This Row],[Order Date]])</f>
        <v>10</v>
      </c>
      <c r="O1683" s="1"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s="1">
        <v>279.3</v>
      </c>
      <c r="F1684" s="2">
        <v>45720</v>
      </c>
      <c r="G1684" s="2">
        <v>45721</v>
      </c>
      <c r="H1684" s="1" t="s">
        <v>23</v>
      </c>
      <c r="I1684" s="1" t="s">
        <v>40</v>
      </c>
      <c r="J1684" s="1">
        <v>3</v>
      </c>
      <c r="K1684" s="1" t="s">
        <v>19</v>
      </c>
      <c r="L1684" s="1" t="s">
        <v>33</v>
      </c>
      <c r="M1684" s="1">
        <f>orders[[#This Row],[Ship Date]]-orders[[#This Row],[Order Date]]</f>
        <v>1</v>
      </c>
      <c r="N1684" s="1">
        <f>WEEKNUM(orders[[#This Row],[Order Date]])</f>
        <v>10</v>
      </c>
      <c r="O1684" s="1"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s="1">
        <v>94.6</v>
      </c>
      <c r="F1685" s="2">
        <v>45720</v>
      </c>
      <c r="G1685" s="2">
        <v>45734</v>
      </c>
      <c r="H1685" s="1" t="s">
        <v>27</v>
      </c>
      <c r="I1685" s="1" t="s">
        <v>18</v>
      </c>
      <c r="J1685" s="1">
        <v>3</v>
      </c>
      <c r="K1685" s="1" t="s">
        <v>19</v>
      </c>
      <c r="L1685" s="1" t="s">
        <v>33</v>
      </c>
      <c r="M1685" s="1">
        <f>orders[[#This Row],[Ship Date]]-orders[[#This Row],[Order Date]]</f>
        <v>14</v>
      </c>
      <c r="N1685" s="1">
        <f>WEEKNUM(orders[[#This Row],[Order Date]])</f>
        <v>10</v>
      </c>
      <c r="O1685" s="1"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s="1">
        <v>299.2</v>
      </c>
      <c r="F1686" s="2">
        <v>45720</v>
      </c>
      <c r="G1686" s="2">
        <v>45721</v>
      </c>
      <c r="H1686" s="1" t="s">
        <v>27</v>
      </c>
      <c r="I1686" s="1" t="s">
        <v>18</v>
      </c>
      <c r="J1686" s="1">
        <v>4</v>
      </c>
      <c r="K1686" s="1" t="s">
        <v>19</v>
      </c>
      <c r="L1686" s="1" t="s">
        <v>33</v>
      </c>
      <c r="M1686" s="1">
        <f>orders[[#This Row],[Ship Date]]-orders[[#This Row],[Order Date]]</f>
        <v>1</v>
      </c>
      <c r="N1686" s="1">
        <f>WEEKNUM(orders[[#This Row],[Order Date]])</f>
        <v>10</v>
      </c>
      <c r="O1686" s="1"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s="1">
        <v>52.2</v>
      </c>
      <c r="F1687" s="2">
        <v>45720</v>
      </c>
      <c r="G1687" s="2">
        <v>45721</v>
      </c>
      <c r="H1687" s="1" t="s">
        <v>17</v>
      </c>
      <c r="I1687" s="1" t="s">
        <v>35</v>
      </c>
      <c r="J1687" s="1">
        <v>4</v>
      </c>
      <c r="K1687" s="1" t="s">
        <v>19</v>
      </c>
      <c r="L1687" s="1" t="s">
        <v>33</v>
      </c>
      <c r="M1687" s="1">
        <f>orders[[#This Row],[Ship Date]]-orders[[#This Row],[Order Date]]</f>
        <v>1</v>
      </c>
      <c r="N1687" s="1">
        <f>WEEKNUM(orders[[#This Row],[Order Date]])</f>
        <v>10</v>
      </c>
      <c r="O1687" s="1"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s="1">
        <v>193</v>
      </c>
      <c r="F1688" s="2">
        <v>45720</v>
      </c>
      <c r="G1688" s="2">
        <v>45721</v>
      </c>
      <c r="H1688" s="1" t="s">
        <v>27</v>
      </c>
      <c r="I1688" s="1" t="s">
        <v>35</v>
      </c>
      <c r="J1688" s="1">
        <v>3</v>
      </c>
      <c r="K1688" s="1" t="s">
        <v>19</v>
      </c>
      <c r="L1688" s="1" t="s">
        <v>33</v>
      </c>
      <c r="M1688" s="1">
        <f>orders[[#This Row],[Ship Date]]-orders[[#This Row],[Order Date]]</f>
        <v>1</v>
      </c>
      <c r="N1688" s="1">
        <f>WEEKNUM(orders[[#This Row],[Order Date]])</f>
        <v>10</v>
      </c>
      <c r="O1688" s="1"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s="1">
        <v>159.6</v>
      </c>
      <c r="F1689" s="2">
        <v>45720</v>
      </c>
      <c r="G1689" s="2">
        <v>45722</v>
      </c>
      <c r="H1689" s="1" t="s">
        <v>27</v>
      </c>
      <c r="I1689" s="1" t="s">
        <v>18</v>
      </c>
      <c r="J1689" s="1">
        <v>3</v>
      </c>
      <c r="K1689" s="1" t="s">
        <v>19</v>
      </c>
      <c r="L1689" s="1" t="s">
        <v>33</v>
      </c>
      <c r="M1689" s="1">
        <f>orders[[#This Row],[Ship Date]]-orders[[#This Row],[Order Date]]</f>
        <v>2</v>
      </c>
      <c r="N1689" s="1">
        <f>WEEKNUM(orders[[#This Row],[Order Date]])</f>
        <v>10</v>
      </c>
      <c r="O1689" s="1"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s="1">
        <v>106.80000000000001</v>
      </c>
      <c r="F1690" s="2">
        <v>45720</v>
      </c>
      <c r="G1690" s="2">
        <v>45721</v>
      </c>
      <c r="H1690" s="1" t="s">
        <v>27</v>
      </c>
      <c r="I1690" s="1" t="s">
        <v>40</v>
      </c>
      <c r="J1690" s="1">
        <v>4</v>
      </c>
      <c r="K1690" s="1" t="s">
        <v>19</v>
      </c>
      <c r="L1690" s="1" t="s">
        <v>33</v>
      </c>
      <c r="M1690" s="1">
        <f>orders[[#This Row],[Ship Date]]-orders[[#This Row],[Order Date]]</f>
        <v>1</v>
      </c>
      <c r="N1690" s="1">
        <f>WEEKNUM(orders[[#This Row],[Order Date]])</f>
        <v>10</v>
      </c>
      <c r="O1690" s="1"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s="1">
        <v>50.2</v>
      </c>
      <c r="F1691" s="2">
        <v>45720</v>
      </c>
      <c r="G1691" s="2">
        <v>45721</v>
      </c>
      <c r="H1691" s="1" t="s">
        <v>27</v>
      </c>
      <c r="I1691" s="1" t="s">
        <v>35</v>
      </c>
      <c r="J1691" s="1">
        <v>5</v>
      </c>
      <c r="K1691" s="1" t="s">
        <v>19</v>
      </c>
      <c r="L1691" s="1" t="s">
        <v>33</v>
      </c>
      <c r="M1691" s="1">
        <f>orders[[#This Row],[Ship Date]]-orders[[#This Row],[Order Date]]</f>
        <v>1</v>
      </c>
      <c r="N1691" s="1">
        <f>WEEKNUM(orders[[#This Row],[Order Date]])</f>
        <v>10</v>
      </c>
      <c r="O1691" s="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s="1">
        <v>165.89999999999998</v>
      </c>
      <c r="F1692" s="2">
        <v>45720</v>
      </c>
      <c r="G1692" s="2">
        <v>45723</v>
      </c>
      <c r="H1692" s="1" t="s">
        <v>27</v>
      </c>
      <c r="I1692" s="1" t="s">
        <v>18</v>
      </c>
      <c r="J1692" s="1">
        <v>2</v>
      </c>
      <c r="K1692" s="1" t="s">
        <v>19</v>
      </c>
      <c r="L1692" s="1" t="s">
        <v>416</v>
      </c>
      <c r="M1692" s="1">
        <f>orders[[#This Row],[Ship Date]]-orders[[#This Row],[Order Date]]</f>
        <v>3</v>
      </c>
      <c r="N1692" s="1">
        <f>WEEKNUM(orders[[#This Row],[Order Date]])</f>
        <v>10</v>
      </c>
      <c r="O1692" s="1"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s="1">
        <v>731.5</v>
      </c>
      <c r="F1693" s="2">
        <v>45720</v>
      </c>
      <c r="G1693" s="2">
        <v>45724</v>
      </c>
      <c r="H1693" s="1" t="s">
        <v>27</v>
      </c>
      <c r="I1693" s="1" t="s">
        <v>35</v>
      </c>
      <c r="J1693" s="1">
        <v>4</v>
      </c>
      <c r="K1693" s="1" t="s">
        <v>19</v>
      </c>
      <c r="L1693" s="1" t="s">
        <v>59</v>
      </c>
      <c r="M1693" s="1">
        <f>orders[[#This Row],[Ship Date]]-orders[[#This Row],[Order Date]]</f>
        <v>4</v>
      </c>
      <c r="N1693" s="1">
        <f>WEEKNUM(orders[[#This Row],[Order Date]])</f>
        <v>10</v>
      </c>
      <c r="O1693" s="1"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s="1">
        <v>266</v>
      </c>
      <c r="F1694" s="2">
        <v>45720</v>
      </c>
      <c r="G1694" s="2">
        <v>45722</v>
      </c>
      <c r="H1694" s="1" t="s">
        <v>23</v>
      </c>
      <c r="I1694" s="1" t="s">
        <v>35</v>
      </c>
      <c r="J1694" s="1">
        <v>4</v>
      </c>
      <c r="K1694" s="1" t="s">
        <v>19</v>
      </c>
      <c r="L1694" s="1" t="s">
        <v>59</v>
      </c>
      <c r="M1694" s="1">
        <f>orders[[#This Row],[Ship Date]]-orders[[#This Row],[Order Date]]</f>
        <v>2</v>
      </c>
      <c r="N1694" s="1">
        <f>WEEKNUM(orders[[#This Row],[Order Date]])</f>
        <v>10</v>
      </c>
      <c r="O1694" s="1"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s="1">
        <v>306.39999999999998</v>
      </c>
      <c r="F1695" s="2">
        <v>45720</v>
      </c>
      <c r="G1695" s="2">
        <v>45721</v>
      </c>
      <c r="H1695" s="1" t="s">
        <v>27</v>
      </c>
      <c r="I1695" s="1" t="s">
        <v>18</v>
      </c>
      <c r="J1695" s="1">
        <v>4</v>
      </c>
      <c r="K1695" s="1" t="s">
        <v>19</v>
      </c>
      <c r="L1695" s="1" t="s">
        <v>59</v>
      </c>
      <c r="M1695" s="1">
        <f>orders[[#This Row],[Ship Date]]-orders[[#This Row],[Order Date]]</f>
        <v>1</v>
      </c>
      <c r="N1695" s="1">
        <f>WEEKNUM(orders[[#This Row],[Order Date]])</f>
        <v>10</v>
      </c>
      <c r="O1695" s="1"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s="1">
        <v>191.39999999999998</v>
      </c>
      <c r="F1696" s="2">
        <v>45720</v>
      </c>
      <c r="G1696" s="2">
        <v>45723</v>
      </c>
      <c r="H1696" s="1" t="s">
        <v>27</v>
      </c>
      <c r="I1696" s="1" t="s">
        <v>35</v>
      </c>
      <c r="J1696" s="1">
        <v>4</v>
      </c>
      <c r="K1696" s="1" t="s">
        <v>19</v>
      </c>
      <c r="L1696" s="1" t="s">
        <v>62</v>
      </c>
      <c r="M1696" s="1">
        <f>orders[[#This Row],[Ship Date]]-orders[[#This Row],[Order Date]]</f>
        <v>3</v>
      </c>
      <c r="N1696" s="1">
        <f>WEEKNUM(orders[[#This Row],[Order Date]])</f>
        <v>10</v>
      </c>
      <c r="O1696" s="1"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s="1">
        <v>21.4</v>
      </c>
      <c r="F1697" s="2">
        <v>45720</v>
      </c>
      <c r="G1697" s="2">
        <v>45720</v>
      </c>
      <c r="H1697" s="1" t="s">
        <v>23</v>
      </c>
      <c r="I1697" s="1" t="s">
        <v>70</v>
      </c>
      <c r="J1697" s="1">
        <v>4</v>
      </c>
      <c r="K1697" s="1" t="s">
        <v>19</v>
      </c>
      <c r="L1697" s="1" t="s">
        <v>62</v>
      </c>
      <c r="M1697" s="1">
        <f>orders[[#This Row],[Ship Date]]-orders[[#This Row],[Order Date]]</f>
        <v>0</v>
      </c>
      <c r="N1697" s="1">
        <f>WEEKNUM(orders[[#This Row],[Order Date]])</f>
        <v>10</v>
      </c>
      <c r="O1697" s="1"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s="1">
        <v>176.4</v>
      </c>
      <c r="F1698" s="2">
        <v>45720</v>
      </c>
      <c r="G1698" s="2">
        <v>45722</v>
      </c>
      <c r="H1698" s="1" t="s">
        <v>27</v>
      </c>
      <c r="I1698" s="1" t="s">
        <v>40</v>
      </c>
      <c r="J1698" s="1">
        <v>4</v>
      </c>
      <c r="K1698" s="1" t="s">
        <v>19</v>
      </c>
      <c r="L1698" s="1" t="s">
        <v>62</v>
      </c>
      <c r="M1698" s="1">
        <f>orders[[#This Row],[Ship Date]]-orders[[#This Row],[Order Date]]</f>
        <v>2</v>
      </c>
      <c r="N1698" s="1">
        <f>WEEKNUM(orders[[#This Row],[Order Date]])</f>
        <v>10</v>
      </c>
      <c r="O1698" s="1"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s="1">
        <v>460.8</v>
      </c>
      <c r="F1699" s="2">
        <v>45720</v>
      </c>
      <c r="G1699" s="2">
        <v>45722</v>
      </c>
      <c r="H1699" s="1" t="s">
        <v>23</v>
      </c>
      <c r="I1699" s="1" t="s">
        <v>35</v>
      </c>
      <c r="J1699" s="1">
        <v>5</v>
      </c>
      <c r="K1699" s="1" t="s">
        <v>19</v>
      </c>
      <c r="L1699" s="1" t="s">
        <v>62</v>
      </c>
      <c r="M1699" s="1">
        <f>orders[[#This Row],[Ship Date]]-orders[[#This Row],[Order Date]]</f>
        <v>2</v>
      </c>
      <c r="N1699" s="1">
        <f>WEEKNUM(orders[[#This Row],[Order Date]])</f>
        <v>10</v>
      </c>
      <c r="O1699" s="1"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s="1">
        <v>40.6</v>
      </c>
      <c r="F1700" s="2">
        <v>45720</v>
      </c>
      <c r="G1700" s="2">
        <v>45726</v>
      </c>
      <c r="H1700" s="1" t="s">
        <v>27</v>
      </c>
      <c r="I1700" s="1" t="s">
        <v>51</v>
      </c>
      <c r="J1700" s="1">
        <v>4</v>
      </c>
      <c r="K1700" s="1" t="s">
        <v>19</v>
      </c>
      <c r="L1700" s="1" t="s">
        <v>62</v>
      </c>
      <c r="M1700" s="1">
        <f>orders[[#This Row],[Ship Date]]-orders[[#This Row],[Order Date]]</f>
        <v>6</v>
      </c>
      <c r="N1700" s="1">
        <f>WEEKNUM(orders[[#This Row],[Order Date]])</f>
        <v>10</v>
      </c>
      <c r="O1700" s="1"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s="1">
        <v>22.9</v>
      </c>
      <c r="F1701" s="2">
        <v>45720</v>
      </c>
      <c r="G1701" s="2">
        <v>45722</v>
      </c>
      <c r="H1701" s="1" t="s">
        <v>27</v>
      </c>
      <c r="I1701" s="1" t="s">
        <v>40</v>
      </c>
      <c r="J1701" s="1">
        <v>5</v>
      </c>
      <c r="K1701" s="1" t="s">
        <v>19</v>
      </c>
      <c r="L1701" s="1" t="s">
        <v>62</v>
      </c>
      <c r="M1701" s="1">
        <f>orders[[#This Row],[Ship Date]]-orders[[#This Row],[Order Date]]</f>
        <v>2</v>
      </c>
      <c r="N1701" s="1">
        <f>WEEKNUM(orders[[#This Row],[Order Date]])</f>
        <v>10</v>
      </c>
      <c r="O1701" s="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s="1">
        <v>423.6</v>
      </c>
      <c r="F1702" s="2">
        <v>45720</v>
      </c>
      <c r="G1702" s="2">
        <v>45721</v>
      </c>
      <c r="H1702" s="1" t="s">
        <v>27</v>
      </c>
      <c r="I1702" s="1" t="s">
        <v>35</v>
      </c>
      <c r="J1702" s="1">
        <v>5</v>
      </c>
      <c r="K1702" s="1" t="s">
        <v>19</v>
      </c>
      <c r="L1702" s="1" t="s">
        <v>103</v>
      </c>
      <c r="M1702" s="1">
        <f>orders[[#This Row],[Ship Date]]-orders[[#This Row],[Order Date]]</f>
        <v>1</v>
      </c>
      <c r="N1702" s="1">
        <f>WEEKNUM(orders[[#This Row],[Order Date]])</f>
        <v>10</v>
      </c>
      <c r="O1702" s="1"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s="1">
        <v>336.59999999999997</v>
      </c>
      <c r="F1703" s="2">
        <v>45720</v>
      </c>
      <c r="G1703" s="2">
        <v>45724</v>
      </c>
      <c r="H1703" s="1" t="s">
        <v>23</v>
      </c>
      <c r="I1703" s="1" t="s">
        <v>35</v>
      </c>
      <c r="J1703" s="1">
        <v>4</v>
      </c>
      <c r="K1703" s="1" t="s">
        <v>19</v>
      </c>
      <c r="L1703" s="1" t="s">
        <v>77</v>
      </c>
      <c r="M1703" s="1">
        <f>orders[[#This Row],[Ship Date]]-orders[[#This Row],[Order Date]]</f>
        <v>4</v>
      </c>
      <c r="N1703" s="1">
        <f>WEEKNUM(orders[[#This Row],[Order Date]])</f>
        <v>10</v>
      </c>
      <c r="O1703" s="1"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s="1">
        <v>158</v>
      </c>
      <c r="F1704" s="2">
        <v>45720</v>
      </c>
      <c r="G1704" s="2">
        <v>45721</v>
      </c>
      <c r="H1704" s="1" t="s">
        <v>23</v>
      </c>
      <c r="I1704" s="1" t="s">
        <v>40</v>
      </c>
      <c r="J1704" s="1">
        <v>4</v>
      </c>
      <c r="K1704" s="1" t="s">
        <v>19</v>
      </c>
      <c r="L1704" s="1" t="s">
        <v>243</v>
      </c>
      <c r="M1704" s="1">
        <f>orders[[#This Row],[Ship Date]]-orders[[#This Row],[Order Date]]</f>
        <v>1</v>
      </c>
      <c r="N1704" s="1">
        <f>WEEKNUM(orders[[#This Row],[Order Date]])</f>
        <v>10</v>
      </c>
      <c r="O1704" s="1"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s="1">
        <v>57.900000000000006</v>
      </c>
      <c r="F1705" s="2">
        <v>45720</v>
      </c>
      <c r="G1705" s="2">
        <v>45721</v>
      </c>
      <c r="H1705" s="1" t="s">
        <v>27</v>
      </c>
      <c r="I1705" s="1" t="s">
        <v>70</v>
      </c>
      <c r="J1705" s="1">
        <v>4</v>
      </c>
      <c r="K1705" s="1" t="s">
        <v>19</v>
      </c>
      <c r="L1705" s="1" t="s">
        <v>115</v>
      </c>
      <c r="M1705" s="1">
        <f>orders[[#This Row],[Ship Date]]-orders[[#This Row],[Order Date]]</f>
        <v>1</v>
      </c>
      <c r="N1705" s="1">
        <f>WEEKNUM(orders[[#This Row],[Order Date]])</f>
        <v>10</v>
      </c>
      <c r="O1705" s="1"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s="1">
        <v>24</v>
      </c>
      <c r="F1706" s="2">
        <v>45720</v>
      </c>
      <c r="G1706" s="2">
        <v>45721</v>
      </c>
      <c r="H1706" s="1" t="s">
        <v>27</v>
      </c>
      <c r="I1706" s="1" t="s">
        <v>35</v>
      </c>
      <c r="J1706" s="1">
        <v>4</v>
      </c>
      <c r="K1706" s="1" t="s">
        <v>19</v>
      </c>
      <c r="L1706" s="1" t="s">
        <v>24</v>
      </c>
      <c r="M1706" s="1">
        <f>orders[[#This Row],[Ship Date]]-orders[[#This Row],[Order Date]]</f>
        <v>1</v>
      </c>
      <c r="N1706" s="1">
        <f>WEEKNUM(orders[[#This Row],[Order Date]])</f>
        <v>10</v>
      </c>
      <c r="O1706" s="1"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s="1">
        <v>356.5</v>
      </c>
      <c r="F1707" s="2">
        <v>45720</v>
      </c>
      <c r="G1707" s="2">
        <v>45723</v>
      </c>
      <c r="H1707" s="1" t="s">
        <v>27</v>
      </c>
      <c r="I1707" s="1" t="s">
        <v>40</v>
      </c>
      <c r="J1707" s="1">
        <v>4</v>
      </c>
      <c r="K1707" s="1" t="s">
        <v>19</v>
      </c>
      <c r="L1707" s="1" t="s">
        <v>28</v>
      </c>
      <c r="M1707" s="1">
        <f>orders[[#This Row],[Ship Date]]-orders[[#This Row],[Order Date]]</f>
        <v>3</v>
      </c>
      <c r="N1707" s="1">
        <f>WEEKNUM(orders[[#This Row],[Order Date]])</f>
        <v>10</v>
      </c>
      <c r="O1707" s="1"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s="1">
        <v>332.4</v>
      </c>
      <c r="F1708" s="2">
        <v>45720</v>
      </c>
      <c r="G1708" s="2">
        <v>45721</v>
      </c>
      <c r="H1708" s="1" t="s">
        <v>23</v>
      </c>
      <c r="I1708" s="1" t="s">
        <v>18</v>
      </c>
      <c r="J1708" s="1">
        <v>5</v>
      </c>
      <c r="K1708" s="1" t="s">
        <v>19</v>
      </c>
      <c r="L1708" s="1" t="s">
        <v>949</v>
      </c>
      <c r="M1708" s="1">
        <f>orders[[#This Row],[Ship Date]]-orders[[#This Row],[Order Date]]</f>
        <v>1</v>
      </c>
      <c r="N1708" s="1">
        <f>WEEKNUM(orders[[#This Row],[Order Date]])</f>
        <v>10</v>
      </c>
      <c r="O1708" s="1"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s="1">
        <v>81</v>
      </c>
      <c r="F1709" s="2">
        <v>45720</v>
      </c>
      <c r="G1709" s="2">
        <v>45721</v>
      </c>
      <c r="H1709" s="1" t="s">
        <v>27</v>
      </c>
      <c r="I1709" s="1" t="s">
        <v>40</v>
      </c>
      <c r="J1709" s="1">
        <v>3</v>
      </c>
      <c r="K1709" s="1" t="s">
        <v>19</v>
      </c>
      <c r="L1709" s="1" t="s">
        <v>33</v>
      </c>
      <c r="M1709" s="1">
        <f>orders[[#This Row],[Ship Date]]-orders[[#This Row],[Order Date]]</f>
        <v>1</v>
      </c>
      <c r="N1709" s="1">
        <f>WEEKNUM(orders[[#This Row],[Order Date]])</f>
        <v>10</v>
      </c>
      <c r="O1709" s="1"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s="1">
        <v>231</v>
      </c>
      <c r="F1710" s="2">
        <v>45720</v>
      </c>
      <c r="G1710" s="2">
        <v>45724</v>
      </c>
      <c r="H1710" s="1" t="s">
        <v>27</v>
      </c>
      <c r="I1710" s="1" t="s">
        <v>18</v>
      </c>
      <c r="J1710" s="1">
        <v>4</v>
      </c>
      <c r="K1710" s="1" t="s">
        <v>19</v>
      </c>
      <c r="L1710" s="1" t="s">
        <v>33</v>
      </c>
      <c r="M1710" s="1">
        <f>orders[[#This Row],[Ship Date]]-orders[[#This Row],[Order Date]]</f>
        <v>4</v>
      </c>
      <c r="N1710" s="1">
        <f>WEEKNUM(orders[[#This Row],[Order Date]])</f>
        <v>10</v>
      </c>
      <c r="O1710" s="1"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s="1">
        <v>86.1</v>
      </c>
      <c r="F1711" s="2">
        <v>45720</v>
      </c>
      <c r="G1711" s="2">
        <v>45722</v>
      </c>
      <c r="H1711" s="1" t="s">
        <v>27</v>
      </c>
      <c r="I1711" s="1" t="s">
        <v>51</v>
      </c>
      <c r="J1711" s="1">
        <v>4</v>
      </c>
      <c r="K1711" s="1" t="s">
        <v>19</v>
      </c>
      <c r="L1711" s="1" t="s">
        <v>33</v>
      </c>
      <c r="M1711" s="1">
        <f>orders[[#This Row],[Ship Date]]-orders[[#This Row],[Order Date]]</f>
        <v>2</v>
      </c>
      <c r="N1711" s="1">
        <f>WEEKNUM(orders[[#This Row],[Order Date]])</f>
        <v>10</v>
      </c>
      <c r="O1711" s="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s="1">
        <v>255</v>
      </c>
      <c r="F1712" s="2">
        <v>45720</v>
      </c>
      <c r="G1712" s="2">
        <v>45721</v>
      </c>
      <c r="H1712" s="1" t="s">
        <v>23</v>
      </c>
      <c r="I1712" s="1" t="s">
        <v>18</v>
      </c>
      <c r="J1712" s="1">
        <v>3</v>
      </c>
      <c r="K1712" s="1" t="s">
        <v>19</v>
      </c>
      <c r="L1712" s="1" t="s">
        <v>33</v>
      </c>
      <c r="M1712" s="1">
        <f>orders[[#This Row],[Ship Date]]-orders[[#This Row],[Order Date]]</f>
        <v>1</v>
      </c>
      <c r="N1712" s="1">
        <f>WEEKNUM(orders[[#This Row],[Order Date]])</f>
        <v>10</v>
      </c>
      <c r="O1712" s="1"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s="1">
        <v>577</v>
      </c>
      <c r="F1713" s="2">
        <v>45720</v>
      </c>
      <c r="G1713" s="2">
        <v>45721</v>
      </c>
      <c r="H1713" s="1" t="s">
        <v>23</v>
      </c>
      <c r="I1713" s="1" t="s">
        <v>18</v>
      </c>
      <c r="J1713" s="1">
        <v>4</v>
      </c>
      <c r="K1713" s="1" t="s">
        <v>19</v>
      </c>
      <c r="L1713" s="1" t="s">
        <v>33</v>
      </c>
      <c r="M1713" s="1">
        <f>orders[[#This Row],[Ship Date]]-orders[[#This Row],[Order Date]]</f>
        <v>1</v>
      </c>
      <c r="N1713" s="1">
        <f>WEEKNUM(orders[[#This Row],[Order Date]])</f>
        <v>10</v>
      </c>
      <c r="O1713" s="1"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s="1">
        <v>706</v>
      </c>
      <c r="F1714" s="2">
        <v>45720</v>
      </c>
      <c r="G1714" s="2">
        <v>45721</v>
      </c>
      <c r="H1714" s="1" t="s">
        <v>27</v>
      </c>
      <c r="I1714" s="1" t="s">
        <v>40</v>
      </c>
      <c r="J1714" s="1">
        <v>5</v>
      </c>
      <c r="K1714" s="1" t="s">
        <v>19</v>
      </c>
      <c r="L1714" s="1" t="s">
        <v>33</v>
      </c>
      <c r="M1714" s="1">
        <f>orders[[#This Row],[Ship Date]]-orders[[#This Row],[Order Date]]</f>
        <v>1</v>
      </c>
      <c r="N1714" s="1">
        <f>WEEKNUM(orders[[#This Row],[Order Date]])</f>
        <v>10</v>
      </c>
      <c r="O1714" s="1"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s="1">
        <v>146.69999999999999</v>
      </c>
      <c r="F1715" s="2">
        <v>45720</v>
      </c>
      <c r="G1715" s="2">
        <v>45721</v>
      </c>
      <c r="H1715" s="1" t="s">
        <v>23</v>
      </c>
      <c r="I1715" s="1" t="s">
        <v>70</v>
      </c>
      <c r="J1715" s="1">
        <v>4</v>
      </c>
      <c r="K1715" s="1" t="s">
        <v>19</v>
      </c>
      <c r="L1715" s="1" t="s">
        <v>33</v>
      </c>
      <c r="M1715" s="1">
        <f>orders[[#This Row],[Ship Date]]-orders[[#This Row],[Order Date]]</f>
        <v>1</v>
      </c>
      <c r="N1715" s="1">
        <f>WEEKNUM(orders[[#This Row],[Order Date]])</f>
        <v>10</v>
      </c>
      <c r="O1715" s="1"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s="1">
        <v>54.300000000000004</v>
      </c>
      <c r="F1716" s="2">
        <v>45720</v>
      </c>
      <c r="G1716" s="2">
        <v>45727</v>
      </c>
      <c r="H1716" s="1" t="s">
        <v>27</v>
      </c>
      <c r="I1716" s="1" t="s">
        <v>35</v>
      </c>
      <c r="J1716" s="1">
        <v>5</v>
      </c>
      <c r="K1716" s="1" t="s">
        <v>19</v>
      </c>
      <c r="L1716" s="1" t="s">
        <v>258</v>
      </c>
      <c r="M1716" s="1">
        <f>orders[[#This Row],[Ship Date]]-orders[[#This Row],[Order Date]]</f>
        <v>7</v>
      </c>
      <c r="N1716" s="1">
        <f>WEEKNUM(orders[[#This Row],[Order Date]])</f>
        <v>10</v>
      </c>
      <c r="O1716" s="1"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s="1">
        <v>237</v>
      </c>
      <c r="F1717" s="2">
        <v>45720</v>
      </c>
      <c r="G1717" s="2">
        <v>45723</v>
      </c>
      <c r="H1717" s="1" t="s">
        <v>23</v>
      </c>
      <c r="I1717" s="1" t="s">
        <v>35</v>
      </c>
      <c r="J1717" s="1">
        <v>5</v>
      </c>
      <c r="K1717" s="1" t="s">
        <v>19</v>
      </c>
      <c r="L1717" s="1" t="s">
        <v>98</v>
      </c>
      <c r="M1717" s="1">
        <f>orders[[#This Row],[Ship Date]]-orders[[#This Row],[Order Date]]</f>
        <v>3</v>
      </c>
      <c r="N1717" s="1">
        <f>WEEKNUM(orders[[#This Row],[Order Date]])</f>
        <v>10</v>
      </c>
      <c r="O1717" s="1"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s="1">
        <v>413.7</v>
      </c>
      <c r="F1718" s="2">
        <v>45720</v>
      </c>
      <c r="G1718" s="2">
        <v>45721</v>
      </c>
      <c r="H1718" s="1" t="s">
        <v>27</v>
      </c>
      <c r="I1718" s="1" t="s">
        <v>51</v>
      </c>
      <c r="J1718" s="1">
        <v>4</v>
      </c>
      <c r="K1718" s="1" t="s">
        <v>19</v>
      </c>
      <c r="L1718" s="1" t="s">
        <v>188</v>
      </c>
      <c r="M1718" s="1">
        <f>orders[[#This Row],[Ship Date]]-orders[[#This Row],[Order Date]]</f>
        <v>1</v>
      </c>
      <c r="N1718" s="1">
        <f>WEEKNUM(orders[[#This Row],[Order Date]])</f>
        <v>10</v>
      </c>
      <c r="O1718" s="1"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s="1">
        <v>21.2</v>
      </c>
      <c r="F1719" s="2">
        <v>45720</v>
      </c>
      <c r="G1719" s="2">
        <v>45721</v>
      </c>
      <c r="H1719" s="1" t="s">
        <v>27</v>
      </c>
      <c r="I1719" s="1" t="s">
        <v>18</v>
      </c>
      <c r="J1719" s="1">
        <v>3</v>
      </c>
      <c r="K1719" s="1" t="s">
        <v>19</v>
      </c>
      <c r="L1719" s="1" t="s">
        <v>55</v>
      </c>
      <c r="M1719" s="1">
        <f>orders[[#This Row],[Ship Date]]-orders[[#This Row],[Order Date]]</f>
        <v>1</v>
      </c>
      <c r="N1719" s="1">
        <f>WEEKNUM(orders[[#This Row],[Order Date]])</f>
        <v>10</v>
      </c>
      <c r="O1719" s="1"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s="1">
        <v>137.6</v>
      </c>
      <c r="F1720" s="2">
        <v>45720</v>
      </c>
      <c r="G1720" s="2">
        <v>45725</v>
      </c>
      <c r="H1720" s="1" t="s">
        <v>27</v>
      </c>
      <c r="I1720" s="1" t="s">
        <v>51</v>
      </c>
      <c r="J1720" s="1">
        <v>5</v>
      </c>
      <c r="K1720" s="1" t="s">
        <v>19</v>
      </c>
      <c r="L1720" s="1" t="s">
        <v>55</v>
      </c>
      <c r="M1720" s="1">
        <f>orders[[#This Row],[Ship Date]]-orders[[#This Row],[Order Date]]</f>
        <v>5</v>
      </c>
      <c r="N1720" s="1">
        <f>WEEKNUM(orders[[#This Row],[Order Date]])</f>
        <v>10</v>
      </c>
      <c r="O1720" s="1"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s="1">
        <v>130.80000000000001</v>
      </c>
      <c r="F1721" s="2">
        <v>45720</v>
      </c>
      <c r="G1721" s="2">
        <v>45724</v>
      </c>
      <c r="H1721" s="1" t="s">
        <v>27</v>
      </c>
      <c r="I1721" s="1" t="s">
        <v>18</v>
      </c>
      <c r="J1721" s="1">
        <v>4</v>
      </c>
      <c r="K1721" s="1" t="s">
        <v>19</v>
      </c>
      <c r="L1721" s="1" t="s">
        <v>55</v>
      </c>
      <c r="M1721" s="1">
        <f>orders[[#This Row],[Ship Date]]-orders[[#This Row],[Order Date]]</f>
        <v>4</v>
      </c>
      <c r="N1721" s="1">
        <f>WEEKNUM(orders[[#This Row],[Order Date]])</f>
        <v>10</v>
      </c>
      <c r="O1721" s="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s="1">
        <v>331.5</v>
      </c>
      <c r="F1722" s="2">
        <v>45721</v>
      </c>
      <c r="G1722" s="2">
        <v>45724</v>
      </c>
      <c r="H1722" s="1" t="s">
        <v>27</v>
      </c>
      <c r="I1722" s="1" t="s">
        <v>70</v>
      </c>
      <c r="J1722" s="1">
        <v>4</v>
      </c>
      <c r="K1722" s="1" t="s">
        <v>19</v>
      </c>
      <c r="L1722" s="1" t="s">
        <v>55</v>
      </c>
      <c r="M1722" s="1">
        <f>orders[[#This Row],[Ship Date]]-orders[[#This Row],[Order Date]]</f>
        <v>3</v>
      </c>
      <c r="N1722" s="1">
        <f>WEEKNUM(orders[[#This Row],[Order Date]])</f>
        <v>10</v>
      </c>
      <c r="O1722" s="1"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s="1">
        <v>292.5</v>
      </c>
      <c r="F1723" s="2">
        <v>45721</v>
      </c>
      <c r="G1723" s="2">
        <v>45721</v>
      </c>
      <c r="H1723" s="1" t="s">
        <v>23</v>
      </c>
      <c r="I1723" s="1" t="s">
        <v>51</v>
      </c>
      <c r="J1723" s="1">
        <v>4</v>
      </c>
      <c r="K1723" s="1" t="s">
        <v>19</v>
      </c>
      <c r="L1723" s="1" t="s">
        <v>62</v>
      </c>
      <c r="M1723" s="1">
        <f>orders[[#This Row],[Ship Date]]-orders[[#This Row],[Order Date]]</f>
        <v>0</v>
      </c>
      <c r="N1723" s="1">
        <f>WEEKNUM(orders[[#This Row],[Order Date]])</f>
        <v>10</v>
      </c>
      <c r="O1723" s="1"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s="1">
        <v>88</v>
      </c>
      <c r="F1724" s="2">
        <v>45721</v>
      </c>
      <c r="G1724" s="2">
        <v>45724</v>
      </c>
      <c r="H1724" s="1" t="s">
        <v>27</v>
      </c>
      <c r="I1724" s="1" t="s">
        <v>35</v>
      </c>
      <c r="J1724" s="1">
        <v>5</v>
      </c>
      <c r="K1724" s="1" t="s">
        <v>19</v>
      </c>
      <c r="L1724" s="1" t="s">
        <v>62</v>
      </c>
      <c r="M1724" s="1">
        <f>orders[[#This Row],[Ship Date]]-orders[[#This Row],[Order Date]]</f>
        <v>3</v>
      </c>
      <c r="N1724" s="1">
        <f>WEEKNUM(orders[[#This Row],[Order Date]])</f>
        <v>10</v>
      </c>
      <c r="O1724" s="1"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s="1">
        <v>21.9</v>
      </c>
      <c r="F1725" s="2">
        <v>45721</v>
      </c>
      <c r="G1725" s="2">
        <v>45722</v>
      </c>
      <c r="H1725" s="1" t="s">
        <v>23</v>
      </c>
      <c r="I1725" s="1" t="s">
        <v>18</v>
      </c>
      <c r="J1725" s="1">
        <v>4</v>
      </c>
      <c r="K1725" s="1" t="s">
        <v>19</v>
      </c>
      <c r="L1725" s="1" t="s">
        <v>62</v>
      </c>
      <c r="M1725" s="1">
        <f>orders[[#This Row],[Ship Date]]-orders[[#This Row],[Order Date]]</f>
        <v>1</v>
      </c>
      <c r="N1725" s="1">
        <f>WEEKNUM(orders[[#This Row],[Order Date]])</f>
        <v>10</v>
      </c>
      <c r="O1725" s="1"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s="1">
        <v>150.5</v>
      </c>
      <c r="F1726" s="2">
        <v>45721</v>
      </c>
      <c r="G1726" s="2">
        <v>45723</v>
      </c>
      <c r="H1726" s="1" t="s">
        <v>27</v>
      </c>
      <c r="I1726" s="1" t="s">
        <v>35</v>
      </c>
      <c r="J1726" s="1">
        <v>5</v>
      </c>
      <c r="K1726" s="1" t="s">
        <v>19</v>
      </c>
      <c r="L1726" s="1" t="s">
        <v>72</v>
      </c>
      <c r="M1726" s="1">
        <f>orders[[#This Row],[Ship Date]]-orders[[#This Row],[Order Date]]</f>
        <v>2</v>
      </c>
      <c r="N1726" s="1">
        <f>WEEKNUM(orders[[#This Row],[Order Date]])</f>
        <v>10</v>
      </c>
      <c r="O1726" s="1"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s="1">
        <v>798</v>
      </c>
      <c r="F1727" s="2">
        <v>45721</v>
      </c>
      <c r="G1727" s="2">
        <v>45722</v>
      </c>
      <c r="H1727" s="1" t="s">
        <v>89</v>
      </c>
      <c r="I1727" s="1" t="s">
        <v>18</v>
      </c>
      <c r="J1727" s="1">
        <v>5</v>
      </c>
      <c r="K1727" s="1" t="s">
        <v>19</v>
      </c>
      <c r="L1727" s="1" t="s">
        <v>74</v>
      </c>
      <c r="M1727" s="1">
        <f>orders[[#This Row],[Ship Date]]-orders[[#This Row],[Order Date]]</f>
        <v>1</v>
      </c>
      <c r="N1727" s="1">
        <f>WEEKNUM(orders[[#This Row],[Order Date]])</f>
        <v>10</v>
      </c>
      <c r="O1727" s="1"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s="1">
        <v>95.4</v>
      </c>
      <c r="F1728" s="2">
        <v>45721</v>
      </c>
      <c r="G1728" s="2">
        <v>45725</v>
      </c>
      <c r="H1728" s="1" t="s">
        <v>23</v>
      </c>
      <c r="I1728" s="1" t="s">
        <v>18</v>
      </c>
      <c r="J1728" s="1">
        <v>5</v>
      </c>
      <c r="K1728" s="1" t="s">
        <v>19</v>
      </c>
      <c r="L1728" s="1" t="s">
        <v>74</v>
      </c>
      <c r="M1728" s="1">
        <f>orders[[#This Row],[Ship Date]]-orders[[#This Row],[Order Date]]</f>
        <v>4</v>
      </c>
      <c r="N1728" s="1">
        <f>WEEKNUM(orders[[#This Row],[Order Date]])</f>
        <v>10</v>
      </c>
      <c r="O1728" s="1"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s="1">
        <v>174.3</v>
      </c>
      <c r="F1729" s="2">
        <v>45721</v>
      </c>
      <c r="G1729" s="2">
        <v>45722</v>
      </c>
      <c r="H1729" s="1" t="s">
        <v>27</v>
      </c>
      <c r="I1729" s="1" t="s">
        <v>18</v>
      </c>
      <c r="J1729" s="1">
        <v>4</v>
      </c>
      <c r="K1729" s="1" t="s">
        <v>19</v>
      </c>
      <c r="L1729" s="1" t="s">
        <v>77</v>
      </c>
      <c r="M1729" s="1">
        <f>orders[[#This Row],[Ship Date]]-orders[[#This Row],[Order Date]]</f>
        <v>1</v>
      </c>
      <c r="N1729" s="1">
        <f>WEEKNUM(orders[[#This Row],[Order Date]])</f>
        <v>10</v>
      </c>
      <c r="O1729" s="1"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s="1">
        <v>266.39999999999998</v>
      </c>
      <c r="F1730" s="2">
        <v>45721</v>
      </c>
      <c r="G1730" s="2">
        <v>45722</v>
      </c>
      <c r="H1730" s="1" t="s">
        <v>17</v>
      </c>
      <c r="I1730" s="1" t="s">
        <v>18</v>
      </c>
      <c r="J1730" s="1">
        <v>4</v>
      </c>
      <c r="K1730" s="1" t="s">
        <v>19</v>
      </c>
      <c r="L1730" s="1" t="s">
        <v>77</v>
      </c>
      <c r="M1730" s="1">
        <f>orders[[#This Row],[Ship Date]]-orders[[#This Row],[Order Date]]</f>
        <v>1</v>
      </c>
      <c r="N1730" s="1">
        <f>WEEKNUM(orders[[#This Row],[Order Date]])</f>
        <v>10</v>
      </c>
      <c r="O1730" s="1"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s="1">
        <v>24.1</v>
      </c>
      <c r="F1731" s="2">
        <v>45721</v>
      </c>
      <c r="G1731" s="2">
        <v>45724</v>
      </c>
      <c r="H1731" s="1" t="s">
        <v>23</v>
      </c>
      <c r="I1731" s="1" t="s">
        <v>40</v>
      </c>
      <c r="J1731" s="1">
        <v>3</v>
      </c>
      <c r="K1731" s="1" t="s">
        <v>19</v>
      </c>
      <c r="L1731" s="1" t="s">
        <v>110</v>
      </c>
      <c r="M1731" s="1">
        <f>orders[[#This Row],[Ship Date]]-orders[[#This Row],[Order Date]]</f>
        <v>3</v>
      </c>
      <c r="N1731" s="1">
        <f>WEEKNUM(orders[[#This Row],[Order Date]])</f>
        <v>10</v>
      </c>
      <c r="O1731" s="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s="1">
        <v>257.5</v>
      </c>
      <c r="F1732" s="2">
        <v>45721</v>
      </c>
      <c r="G1732" s="2">
        <v>45726</v>
      </c>
      <c r="H1732" s="1" t="s">
        <v>27</v>
      </c>
      <c r="I1732" s="1" t="s">
        <v>18</v>
      </c>
      <c r="J1732" s="1">
        <v>4</v>
      </c>
      <c r="K1732" s="1" t="s">
        <v>19</v>
      </c>
      <c r="L1732" s="1" t="s">
        <v>82</v>
      </c>
      <c r="M1732" s="1">
        <f>orders[[#This Row],[Ship Date]]-orders[[#This Row],[Order Date]]</f>
        <v>5</v>
      </c>
      <c r="N1732" s="1">
        <f>WEEKNUM(orders[[#This Row],[Order Date]])</f>
        <v>10</v>
      </c>
      <c r="O1732" s="1"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s="1">
        <v>283.8</v>
      </c>
      <c r="F1733" s="2">
        <v>45721</v>
      </c>
      <c r="G1733" s="2">
        <v>45725</v>
      </c>
      <c r="H1733" s="1" t="s">
        <v>27</v>
      </c>
      <c r="I1733" s="1" t="s">
        <v>51</v>
      </c>
      <c r="J1733" s="1">
        <v>2</v>
      </c>
      <c r="K1733" s="1" t="s">
        <v>19</v>
      </c>
      <c r="L1733" s="1" t="s">
        <v>115</v>
      </c>
      <c r="M1733" s="1">
        <f>orders[[#This Row],[Ship Date]]-orders[[#This Row],[Order Date]]</f>
        <v>4</v>
      </c>
      <c r="N1733" s="1">
        <f>WEEKNUM(orders[[#This Row],[Order Date]])</f>
        <v>10</v>
      </c>
      <c r="O1733" s="1"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s="1">
        <v>190.8</v>
      </c>
      <c r="F1734" s="2">
        <v>45721</v>
      </c>
      <c r="G1734" s="2">
        <v>45721</v>
      </c>
      <c r="H1734" s="1" t="s">
        <v>27</v>
      </c>
      <c r="I1734" s="1" t="s">
        <v>18</v>
      </c>
      <c r="J1734" s="1">
        <v>3</v>
      </c>
      <c r="K1734" s="1" t="s">
        <v>19</v>
      </c>
      <c r="L1734" s="1" t="s">
        <v>115</v>
      </c>
      <c r="M1734" s="1">
        <f>orders[[#This Row],[Ship Date]]-orders[[#This Row],[Order Date]]</f>
        <v>0</v>
      </c>
      <c r="N1734" s="1">
        <f>WEEKNUM(orders[[#This Row],[Order Date]])</f>
        <v>10</v>
      </c>
      <c r="O1734" s="1"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s="1">
        <v>368</v>
      </c>
      <c r="F1735" s="2">
        <v>45721</v>
      </c>
      <c r="G1735" s="2">
        <v>45725</v>
      </c>
      <c r="H1735" s="1" t="s">
        <v>23</v>
      </c>
      <c r="I1735" s="1" t="s">
        <v>35</v>
      </c>
      <c r="J1735" s="1">
        <v>4</v>
      </c>
      <c r="K1735" s="1" t="s">
        <v>19</v>
      </c>
      <c r="L1735" s="1" t="s">
        <v>115</v>
      </c>
      <c r="M1735" s="1">
        <f>orders[[#This Row],[Ship Date]]-orders[[#This Row],[Order Date]]</f>
        <v>4</v>
      </c>
      <c r="N1735" s="1">
        <f>WEEKNUM(orders[[#This Row],[Order Date]])</f>
        <v>10</v>
      </c>
      <c r="O1735" s="1"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s="1">
        <v>638.4</v>
      </c>
      <c r="F1736" s="2">
        <v>45721</v>
      </c>
      <c r="G1736" s="2">
        <v>45722</v>
      </c>
      <c r="H1736" s="1" t="s">
        <v>23</v>
      </c>
      <c r="I1736" s="1" t="s">
        <v>35</v>
      </c>
      <c r="J1736" s="1">
        <v>5</v>
      </c>
      <c r="K1736" s="1" t="s">
        <v>19</v>
      </c>
      <c r="L1736" s="1" t="s">
        <v>115</v>
      </c>
      <c r="M1736" s="1">
        <f>orders[[#This Row],[Ship Date]]-orders[[#This Row],[Order Date]]</f>
        <v>1</v>
      </c>
      <c r="N1736" s="1">
        <f>WEEKNUM(orders[[#This Row],[Order Date]])</f>
        <v>10</v>
      </c>
      <c r="O1736" s="1"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s="1">
        <v>289.60000000000002</v>
      </c>
      <c r="F1737" s="2">
        <v>45721</v>
      </c>
      <c r="G1737" s="2">
        <v>45721</v>
      </c>
      <c r="H1737" s="1" t="s">
        <v>23</v>
      </c>
      <c r="I1737" s="1" t="s">
        <v>40</v>
      </c>
      <c r="J1737" s="1">
        <v>5</v>
      </c>
      <c r="K1737" s="1" t="s">
        <v>19</v>
      </c>
      <c r="L1737" s="1" t="s">
        <v>24</v>
      </c>
      <c r="M1737" s="1">
        <f>orders[[#This Row],[Ship Date]]-orders[[#This Row],[Order Date]]</f>
        <v>0</v>
      </c>
      <c r="N1737" s="1">
        <f>WEEKNUM(orders[[#This Row],[Order Date]])</f>
        <v>10</v>
      </c>
      <c r="O1737" s="1"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s="1">
        <v>784</v>
      </c>
      <c r="F1738" s="2">
        <v>45721</v>
      </c>
      <c r="G1738" s="2">
        <v>45725</v>
      </c>
      <c r="H1738" s="1" t="s">
        <v>27</v>
      </c>
      <c r="I1738" s="1" t="s">
        <v>40</v>
      </c>
      <c r="J1738" s="1">
        <v>4</v>
      </c>
      <c r="K1738" s="1" t="s">
        <v>19</v>
      </c>
      <c r="L1738" s="1" t="s">
        <v>28</v>
      </c>
      <c r="M1738" s="1">
        <f>orders[[#This Row],[Ship Date]]-orders[[#This Row],[Order Date]]</f>
        <v>4</v>
      </c>
      <c r="N1738" s="1">
        <f>WEEKNUM(orders[[#This Row],[Order Date]])</f>
        <v>10</v>
      </c>
      <c r="O1738" s="1"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s="1">
        <v>348.8</v>
      </c>
      <c r="F1739" s="2">
        <v>45721</v>
      </c>
      <c r="G1739" s="2">
        <v>45722</v>
      </c>
      <c r="H1739" s="1" t="s">
        <v>27</v>
      </c>
      <c r="I1739" s="1" t="s">
        <v>40</v>
      </c>
      <c r="J1739" s="1">
        <v>4</v>
      </c>
      <c r="K1739" s="1" t="s">
        <v>19</v>
      </c>
      <c r="L1739" s="1" t="s">
        <v>147</v>
      </c>
      <c r="M1739" s="1">
        <f>orders[[#This Row],[Ship Date]]-orders[[#This Row],[Order Date]]</f>
        <v>1</v>
      </c>
      <c r="N1739" s="1">
        <f>WEEKNUM(orders[[#This Row],[Order Date]])</f>
        <v>10</v>
      </c>
      <c r="O1739" s="1"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s="1">
        <v>378</v>
      </c>
      <c r="F1740" s="2">
        <v>45721</v>
      </c>
      <c r="G1740" s="2">
        <v>45721</v>
      </c>
      <c r="H1740" s="1" t="s">
        <v>89</v>
      </c>
      <c r="I1740" s="1" t="s">
        <v>18</v>
      </c>
      <c r="J1740" s="1">
        <v>4</v>
      </c>
      <c r="K1740" s="1" t="s">
        <v>19</v>
      </c>
      <c r="L1740" s="1" t="s">
        <v>949</v>
      </c>
      <c r="M1740" s="1">
        <f>orders[[#This Row],[Ship Date]]-orders[[#This Row],[Order Date]]</f>
        <v>0</v>
      </c>
      <c r="N1740" s="1">
        <f>WEEKNUM(orders[[#This Row],[Order Date]])</f>
        <v>10</v>
      </c>
      <c r="O1740" s="1"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s="1">
        <v>318.5</v>
      </c>
      <c r="F1741" s="2">
        <v>45721</v>
      </c>
      <c r="G1741" s="2">
        <v>45724</v>
      </c>
      <c r="H1741" s="1" t="s">
        <v>27</v>
      </c>
      <c r="I1741" s="1" t="s">
        <v>40</v>
      </c>
      <c r="J1741" s="1">
        <v>3</v>
      </c>
      <c r="K1741" s="1" t="s">
        <v>19</v>
      </c>
      <c r="L1741" s="1" t="s">
        <v>33</v>
      </c>
      <c r="M1741" s="1">
        <f>orders[[#This Row],[Ship Date]]-orders[[#This Row],[Order Date]]</f>
        <v>3</v>
      </c>
      <c r="N1741" s="1">
        <f>WEEKNUM(orders[[#This Row],[Order Date]])</f>
        <v>10</v>
      </c>
      <c r="O1741" s="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s="1">
        <v>566.1</v>
      </c>
      <c r="F1742" s="2">
        <v>45721</v>
      </c>
      <c r="G1742" s="2">
        <v>45726</v>
      </c>
      <c r="H1742" s="1" t="s">
        <v>23</v>
      </c>
      <c r="I1742" s="1" t="s">
        <v>51</v>
      </c>
      <c r="J1742" s="1">
        <v>5</v>
      </c>
      <c r="K1742" s="1" t="s">
        <v>19</v>
      </c>
      <c r="L1742" s="1" t="s">
        <v>33</v>
      </c>
      <c r="M1742" s="1">
        <f>orders[[#This Row],[Ship Date]]-orders[[#This Row],[Order Date]]</f>
        <v>5</v>
      </c>
      <c r="N1742" s="1">
        <f>WEEKNUM(orders[[#This Row],[Order Date]])</f>
        <v>10</v>
      </c>
      <c r="O1742" s="1"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s="1">
        <v>431.90000000000003</v>
      </c>
      <c r="F1743" s="2">
        <v>45721</v>
      </c>
      <c r="G1743" s="2">
        <v>45724</v>
      </c>
      <c r="H1743" s="1" t="s">
        <v>27</v>
      </c>
      <c r="I1743" s="1" t="s">
        <v>40</v>
      </c>
      <c r="J1743" s="1">
        <v>5</v>
      </c>
      <c r="K1743" s="1" t="s">
        <v>19</v>
      </c>
      <c r="L1743" s="1" t="s">
        <v>33</v>
      </c>
      <c r="M1743" s="1">
        <f>orders[[#This Row],[Ship Date]]-orders[[#This Row],[Order Date]]</f>
        <v>3</v>
      </c>
      <c r="N1743" s="1">
        <f>WEEKNUM(orders[[#This Row],[Order Date]])</f>
        <v>10</v>
      </c>
      <c r="O1743" s="1"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s="1">
        <v>511</v>
      </c>
      <c r="F1744" s="2">
        <v>45721</v>
      </c>
      <c r="G1744" s="2">
        <v>45722</v>
      </c>
      <c r="H1744" s="1" t="s">
        <v>23</v>
      </c>
      <c r="I1744" s="1" t="s">
        <v>18</v>
      </c>
      <c r="J1744" s="1">
        <v>5</v>
      </c>
      <c r="K1744" s="1" t="s">
        <v>19</v>
      </c>
      <c r="L1744" s="1" t="s">
        <v>33</v>
      </c>
      <c r="M1744" s="1">
        <f>orders[[#This Row],[Ship Date]]-orders[[#This Row],[Order Date]]</f>
        <v>1</v>
      </c>
      <c r="N1744" s="1">
        <f>WEEKNUM(orders[[#This Row],[Order Date]])</f>
        <v>10</v>
      </c>
      <c r="O1744" s="1"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s="1">
        <v>295.79999999999995</v>
      </c>
      <c r="F1745" s="2">
        <v>45721</v>
      </c>
      <c r="G1745" s="2">
        <v>45724</v>
      </c>
      <c r="H1745" s="1" t="s">
        <v>89</v>
      </c>
      <c r="I1745" s="1" t="s">
        <v>18</v>
      </c>
      <c r="J1745" s="1">
        <v>2</v>
      </c>
      <c r="K1745" s="1" t="s">
        <v>19</v>
      </c>
      <c r="L1745" s="1" t="s">
        <v>33</v>
      </c>
      <c r="M1745" s="1">
        <f>orders[[#This Row],[Ship Date]]-orders[[#This Row],[Order Date]]</f>
        <v>3</v>
      </c>
      <c r="N1745" s="1">
        <f>WEEKNUM(orders[[#This Row],[Order Date]])</f>
        <v>10</v>
      </c>
      <c r="O1745" s="1"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s="1">
        <v>38.4</v>
      </c>
      <c r="F1746" s="2">
        <v>45721</v>
      </c>
      <c r="G1746" s="2">
        <v>45731</v>
      </c>
      <c r="H1746" s="1" t="s">
        <v>23</v>
      </c>
      <c r="I1746" s="1" t="s">
        <v>18</v>
      </c>
      <c r="J1746" s="1">
        <v>4</v>
      </c>
      <c r="K1746" s="1" t="s">
        <v>19</v>
      </c>
      <c r="L1746" s="1" t="s">
        <v>33</v>
      </c>
      <c r="M1746" s="1">
        <f>orders[[#This Row],[Ship Date]]-orders[[#This Row],[Order Date]]</f>
        <v>10</v>
      </c>
      <c r="N1746" s="1">
        <f>WEEKNUM(orders[[#This Row],[Order Date]])</f>
        <v>10</v>
      </c>
      <c r="O1746" s="1"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s="1">
        <v>333.6</v>
      </c>
      <c r="F1747" s="2">
        <v>45721</v>
      </c>
      <c r="G1747" s="2">
        <v>45725</v>
      </c>
      <c r="H1747" s="1" t="s">
        <v>27</v>
      </c>
      <c r="I1747" s="1" t="s">
        <v>18</v>
      </c>
      <c r="J1747" s="1">
        <v>5</v>
      </c>
      <c r="K1747" s="1" t="s">
        <v>19</v>
      </c>
      <c r="L1747" s="1" t="s">
        <v>33</v>
      </c>
      <c r="M1747" s="1">
        <f>orders[[#This Row],[Ship Date]]-orders[[#This Row],[Order Date]]</f>
        <v>4</v>
      </c>
      <c r="N1747" s="1">
        <f>WEEKNUM(orders[[#This Row],[Order Date]])</f>
        <v>10</v>
      </c>
      <c r="O1747" s="1"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s="1">
        <v>338.4</v>
      </c>
      <c r="F1748" s="2">
        <v>45721</v>
      </c>
      <c r="G1748" s="2">
        <v>45722</v>
      </c>
      <c r="H1748" s="1" t="s">
        <v>27</v>
      </c>
      <c r="I1748" s="1" t="s">
        <v>35</v>
      </c>
      <c r="J1748" s="1">
        <v>4</v>
      </c>
      <c r="K1748" s="1" t="s">
        <v>19</v>
      </c>
      <c r="L1748" s="1" t="s">
        <v>33</v>
      </c>
      <c r="M1748" s="1">
        <f>orders[[#This Row],[Ship Date]]-orders[[#This Row],[Order Date]]</f>
        <v>1</v>
      </c>
      <c r="N1748" s="1">
        <f>WEEKNUM(orders[[#This Row],[Order Date]])</f>
        <v>10</v>
      </c>
      <c r="O1748" s="1"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s="1">
        <v>344.8</v>
      </c>
      <c r="F1749" s="2">
        <v>45721</v>
      </c>
      <c r="G1749" s="2">
        <v>45725</v>
      </c>
      <c r="H1749" s="1" t="s">
        <v>27</v>
      </c>
      <c r="I1749" s="1" t="s">
        <v>70</v>
      </c>
      <c r="J1749" s="1">
        <v>4</v>
      </c>
      <c r="K1749" s="1" t="s">
        <v>19</v>
      </c>
      <c r="L1749" s="1" t="s">
        <v>33</v>
      </c>
      <c r="M1749" s="1">
        <f>orders[[#This Row],[Ship Date]]-orders[[#This Row],[Order Date]]</f>
        <v>4</v>
      </c>
      <c r="N1749" s="1">
        <f>WEEKNUM(orders[[#This Row],[Order Date]])</f>
        <v>10</v>
      </c>
      <c r="O1749" s="1"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s="1">
        <v>154.6</v>
      </c>
      <c r="F1750" s="2">
        <v>45721</v>
      </c>
      <c r="G1750" s="2">
        <v>45723</v>
      </c>
      <c r="H1750" s="1" t="s">
        <v>23</v>
      </c>
      <c r="I1750" s="1" t="s">
        <v>18</v>
      </c>
      <c r="J1750" s="1">
        <v>4</v>
      </c>
      <c r="K1750" s="1" t="s">
        <v>19</v>
      </c>
      <c r="L1750" s="1" t="s">
        <v>55</v>
      </c>
      <c r="M1750" s="1">
        <f>orders[[#This Row],[Ship Date]]-orders[[#This Row],[Order Date]]</f>
        <v>2</v>
      </c>
      <c r="N1750" s="1">
        <f>WEEKNUM(orders[[#This Row],[Order Date]])</f>
        <v>10</v>
      </c>
      <c r="O1750" s="1"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s="1">
        <v>306.39999999999998</v>
      </c>
      <c r="F1751" s="2">
        <v>45721</v>
      </c>
      <c r="G1751" s="2">
        <v>45722</v>
      </c>
      <c r="H1751" s="1" t="s">
        <v>23</v>
      </c>
      <c r="I1751" s="1" t="s">
        <v>18</v>
      </c>
      <c r="J1751" s="1">
        <v>4</v>
      </c>
      <c r="K1751" s="1" t="s">
        <v>19</v>
      </c>
      <c r="L1751" s="1" t="s">
        <v>59</v>
      </c>
      <c r="M1751" s="1">
        <f>orders[[#This Row],[Ship Date]]-orders[[#This Row],[Order Date]]</f>
        <v>1</v>
      </c>
      <c r="N1751" s="1">
        <f>WEEKNUM(orders[[#This Row],[Order Date]])</f>
        <v>10</v>
      </c>
      <c r="O1751" s="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s="1">
        <v>117.60000000000001</v>
      </c>
      <c r="F1752" s="2">
        <v>45721</v>
      </c>
      <c r="G1752" s="2">
        <v>45724</v>
      </c>
      <c r="H1752" s="1" t="s">
        <v>23</v>
      </c>
      <c r="I1752" s="1" t="s">
        <v>40</v>
      </c>
      <c r="J1752" s="1">
        <v>3</v>
      </c>
      <c r="K1752" s="1" t="s">
        <v>19</v>
      </c>
      <c r="L1752" s="1" t="s">
        <v>62</v>
      </c>
      <c r="M1752" s="1">
        <f>orders[[#This Row],[Ship Date]]-orders[[#This Row],[Order Date]]</f>
        <v>3</v>
      </c>
      <c r="N1752" s="1">
        <f>WEEKNUM(orders[[#This Row],[Order Date]])</f>
        <v>10</v>
      </c>
      <c r="O1752" s="1"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s="1">
        <v>189.60000000000002</v>
      </c>
      <c r="F1753" s="2">
        <v>45721</v>
      </c>
      <c r="G1753" s="2">
        <v>45722</v>
      </c>
      <c r="H1753" s="1" t="s">
        <v>27</v>
      </c>
      <c r="I1753" s="1" t="s">
        <v>18</v>
      </c>
      <c r="J1753" s="1">
        <v>5</v>
      </c>
      <c r="K1753" s="1" t="s">
        <v>19</v>
      </c>
      <c r="L1753" s="1" t="s">
        <v>62</v>
      </c>
      <c r="M1753" s="1">
        <f>orders[[#This Row],[Ship Date]]-orders[[#This Row],[Order Date]]</f>
        <v>1</v>
      </c>
      <c r="N1753" s="1">
        <f>WEEKNUM(orders[[#This Row],[Order Date]])</f>
        <v>10</v>
      </c>
      <c r="O1753" s="1"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s="1">
        <v>913.1</v>
      </c>
      <c r="F1754" s="2">
        <v>45721</v>
      </c>
      <c r="G1754" s="2">
        <v>45722</v>
      </c>
      <c r="H1754" s="1" t="s">
        <v>23</v>
      </c>
      <c r="I1754" s="1" t="s">
        <v>18</v>
      </c>
      <c r="J1754" s="1">
        <v>4</v>
      </c>
      <c r="K1754" s="1" t="s">
        <v>19</v>
      </c>
      <c r="L1754" s="1" t="s">
        <v>62</v>
      </c>
      <c r="M1754" s="1">
        <f>orders[[#This Row],[Ship Date]]-orders[[#This Row],[Order Date]]</f>
        <v>1</v>
      </c>
      <c r="N1754" s="1">
        <f>WEEKNUM(orders[[#This Row],[Order Date]])</f>
        <v>10</v>
      </c>
      <c r="O1754" s="1"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s="1">
        <v>137.39999999999998</v>
      </c>
      <c r="F1755" s="2">
        <v>45721</v>
      </c>
      <c r="G1755" s="2">
        <v>45722</v>
      </c>
      <c r="H1755" s="1" t="s">
        <v>27</v>
      </c>
      <c r="I1755" s="1" t="s">
        <v>35</v>
      </c>
      <c r="J1755" s="1">
        <v>5</v>
      </c>
      <c r="K1755" s="1" t="s">
        <v>19</v>
      </c>
      <c r="L1755" s="1" t="s">
        <v>62</v>
      </c>
      <c r="M1755" s="1">
        <f>orders[[#This Row],[Ship Date]]-orders[[#This Row],[Order Date]]</f>
        <v>1</v>
      </c>
      <c r="N1755" s="1">
        <f>WEEKNUM(orders[[#This Row],[Order Date]])</f>
        <v>10</v>
      </c>
      <c r="O1755" s="1"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s="1">
        <v>74.400000000000006</v>
      </c>
      <c r="F1756" s="2">
        <v>45721</v>
      </c>
      <c r="G1756" s="2">
        <v>45724</v>
      </c>
      <c r="H1756" s="1" t="s">
        <v>23</v>
      </c>
      <c r="I1756" s="1" t="s">
        <v>18</v>
      </c>
      <c r="J1756" s="1">
        <v>4</v>
      </c>
      <c r="K1756" s="1" t="s">
        <v>19</v>
      </c>
      <c r="L1756" s="1" t="s">
        <v>62</v>
      </c>
      <c r="M1756" s="1">
        <f>orders[[#This Row],[Ship Date]]-orders[[#This Row],[Order Date]]</f>
        <v>3</v>
      </c>
      <c r="N1756" s="1">
        <f>WEEKNUM(orders[[#This Row],[Order Date]])</f>
        <v>10</v>
      </c>
      <c r="O1756" s="1"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s="1">
        <v>152.39999999999998</v>
      </c>
      <c r="F1757" s="2">
        <v>45722</v>
      </c>
      <c r="G1757" s="2">
        <v>45722</v>
      </c>
      <c r="H1757" s="1" t="s">
        <v>27</v>
      </c>
      <c r="I1757" s="1" t="s">
        <v>70</v>
      </c>
      <c r="J1757" s="1">
        <v>4</v>
      </c>
      <c r="K1757" s="1" t="s">
        <v>19</v>
      </c>
      <c r="L1757" s="1" t="s">
        <v>103</v>
      </c>
      <c r="M1757" s="1">
        <f>orders[[#This Row],[Ship Date]]-orders[[#This Row],[Order Date]]</f>
        <v>0</v>
      </c>
      <c r="N1757" s="1">
        <f>WEEKNUM(orders[[#This Row],[Order Date]])</f>
        <v>10</v>
      </c>
      <c r="O1757" s="1"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s="1">
        <v>76</v>
      </c>
      <c r="F1758" s="2">
        <v>45722</v>
      </c>
      <c r="G1758" s="2">
        <v>45726</v>
      </c>
      <c r="H1758" s="1" t="s">
        <v>89</v>
      </c>
      <c r="I1758" s="1" t="s">
        <v>40</v>
      </c>
      <c r="J1758" s="1">
        <v>5</v>
      </c>
      <c r="K1758" s="1" t="s">
        <v>19</v>
      </c>
      <c r="L1758" s="1" t="s">
        <v>103</v>
      </c>
      <c r="M1758" s="1">
        <f>orders[[#This Row],[Ship Date]]-orders[[#This Row],[Order Date]]</f>
        <v>4</v>
      </c>
      <c r="N1758" s="1">
        <f>WEEKNUM(orders[[#This Row],[Order Date]])</f>
        <v>10</v>
      </c>
      <c r="O1758" s="1"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s="1">
        <v>103.8</v>
      </c>
      <c r="F1759" s="2">
        <v>45722</v>
      </c>
      <c r="G1759" s="2">
        <v>45723</v>
      </c>
      <c r="H1759" s="1" t="s">
        <v>23</v>
      </c>
      <c r="I1759" s="1" t="s">
        <v>35</v>
      </c>
      <c r="J1759" s="1">
        <v>5</v>
      </c>
      <c r="K1759" s="1" t="s">
        <v>19</v>
      </c>
      <c r="L1759" s="1" t="s">
        <v>201</v>
      </c>
      <c r="M1759" s="1">
        <f>orders[[#This Row],[Ship Date]]-orders[[#This Row],[Order Date]]</f>
        <v>1</v>
      </c>
      <c r="N1759" s="1">
        <f>WEEKNUM(orders[[#This Row],[Order Date]])</f>
        <v>10</v>
      </c>
      <c r="O1759" s="1"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s="1">
        <v>186.8</v>
      </c>
      <c r="F1760" s="2">
        <v>45722</v>
      </c>
      <c r="G1760" s="2">
        <v>45729</v>
      </c>
      <c r="H1760" s="1" t="s">
        <v>23</v>
      </c>
      <c r="I1760" s="1" t="s">
        <v>18</v>
      </c>
      <c r="J1760" s="1">
        <v>1</v>
      </c>
      <c r="K1760" s="1" t="s">
        <v>19</v>
      </c>
      <c r="L1760" s="1" t="s">
        <v>77</v>
      </c>
      <c r="M1760" s="1">
        <f>orders[[#This Row],[Ship Date]]-orders[[#This Row],[Order Date]]</f>
        <v>7</v>
      </c>
      <c r="N1760" s="1">
        <f>WEEKNUM(orders[[#This Row],[Order Date]])</f>
        <v>10</v>
      </c>
      <c r="O1760" s="1"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s="1">
        <v>184.8</v>
      </c>
      <c r="F1761" s="2">
        <v>45722</v>
      </c>
      <c r="G1761" s="2">
        <v>45725</v>
      </c>
      <c r="H1761" s="1" t="s">
        <v>27</v>
      </c>
      <c r="I1761" s="1" t="s">
        <v>35</v>
      </c>
      <c r="J1761" s="1">
        <v>4</v>
      </c>
      <c r="K1761" s="1" t="s">
        <v>19</v>
      </c>
      <c r="L1761" s="1" t="s">
        <v>77</v>
      </c>
      <c r="M1761" s="1">
        <f>orders[[#This Row],[Ship Date]]-orders[[#This Row],[Order Date]]</f>
        <v>3</v>
      </c>
      <c r="N1761" s="1">
        <f>WEEKNUM(orders[[#This Row],[Order Date]])</f>
        <v>10</v>
      </c>
      <c r="O1761" s="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s="1">
        <v>143.19999999999999</v>
      </c>
      <c r="F1762" s="2">
        <v>45722</v>
      </c>
      <c r="G1762" s="2">
        <v>45725</v>
      </c>
      <c r="H1762" s="1" t="s">
        <v>23</v>
      </c>
      <c r="I1762" s="1" t="s">
        <v>40</v>
      </c>
      <c r="J1762" s="1">
        <v>4</v>
      </c>
      <c r="K1762" s="1" t="s">
        <v>19</v>
      </c>
      <c r="L1762" s="1" t="s">
        <v>77</v>
      </c>
      <c r="M1762" s="1">
        <f>orders[[#This Row],[Ship Date]]-orders[[#This Row],[Order Date]]</f>
        <v>3</v>
      </c>
      <c r="N1762" s="1">
        <f>WEEKNUM(orders[[#This Row],[Order Date]])</f>
        <v>10</v>
      </c>
      <c r="O1762" s="1"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s="1">
        <v>444.4</v>
      </c>
      <c r="F1763" s="2">
        <v>45722</v>
      </c>
      <c r="G1763" s="2">
        <v>45724</v>
      </c>
      <c r="H1763" s="1" t="s">
        <v>23</v>
      </c>
      <c r="I1763" s="1" t="s">
        <v>40</v>
      </c>
      <c r="J1763" s="1">
        <v>5</v>
      </c>
      <c r="K1763" s="1" t="s">
        <v>19</v>
      </c>
      <c r="L1763" s="1" t="s">
        <v>108</v>
      </c>
      <c r="M1763" s="1">
        <f>orders[[#This Row],[Ship Date]]-orders[[#This Row],[Order Date]]</f>
        <v>2</v>
      </c>
      <c r="N1763" s="1">
        <f>WEEKNUM(orders[[#This Row],[Order Date]])</f>
        <v>10</v>
      </c>
      <c r="O1763" s="1"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s="1">
        <v>2498.5</v>
      </c>
      <c r="F1764" s="2">
        <v>45722</v>
      </c>
      <c r="G1764" s="2">
        <v>45724</v>
      </c>
      <c r="H1764" s="1" t="s">
        <v>23</v>
      </c>
      <c r="I1764" s="1" t="s">
        <v>35</v>
      </c>
      <c r="J1764" s="1">
        <v>3</v>
      </c>
      <c r="K1764" s="1" t="s">
        <v>19</v>
      </c>
      <c r="L1764" s="1" t="s">
        <v>108</v>
      </c>
      <c r="M1764" s="1">
        <f>orders[[#This Row],[Ship Date]]-orders[[#This Row],[Order Date]]</f>
        <v>2</v>
      </c>
      <c r="N1764" s="1">
        <f>WEEKNUM(orders[[#This Row],[Order Date]])</f>
        <v>10</v>
      </c>
      <c r="O1764" s="1"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s="1">
        <v>431.2</v>
      </c>
      <c r="F1765" s="2">
        <v>45722</v>
      </c>
      <c r="G1765" s="2">
        <v>45723</v>
      </c>
      <c r="H1765" s="1" t="s">
        <v>23</v>
      </c>
      <c r="I1765" s="1" t="s">
        <v>40</v>
      </c>
      <c r="J1765" s="1">
        <v>4</v>
      </c>
      <c r="K1765" s="1" t="s">
        <v>19</v>
      </c>
      <c r="L1765" s="1" t="s">
        <v>115</v>
      </c>
      <c r="M1765" s="1">
        <f>orders[[#This Row],[Ship Date]]-orders[[#This Row],[Order Date]]</f>
        <v>1</v>
      </c>
      <c r="N1765" s="1">
        <f>WEEKNUM(orders[[#This Row],[Order Date]])</f>
        <v>10</v>
      </c>
      <c r="O1765" s="1"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s="1">
        <v>163.5</v>
      </c>
      <c r="F1766" s="2">
        <v>45722</v>
      </c>
      <c r="G1766" s="2">
        <v>45724</v>
      </c>
      <c r="H1766" s="1" t="s">
        <v>23</v>
      </c>
      <c r="I1766" s="1" t="s">
        <v>40</v>
      </c>
      <c r="J1766" s="1">
        <v>4</v>
      </c>
      <c r="K1766" s="1" t="s">
        <v>19</v>
      </c>
      <c r="L1766" s="1" t="s">
        <v>24</v>
      </c>
      <c r="M1766" s="1">
        <f>orders[[#This Row],[Ship Date]]-orders[[#This Row],[Order Date]]</f>
        <v>2</v>
      </c>
      <c r="N1766" s="1">
        <f>WEEKNUM(orders[[#This Row],[Order Date]])</f>
        <v>10</v>
      </c>
      <c r="O1766" s="1"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s="1">
        <v>137</v>
      </c>
      <c r="F1767" s="2">
        <v>45722</v>
      </c>
      <c r="G1767" s="2">
        <v>45723</v>
      </c>
      <c r="H1767" s="1" t="s">
        <v>23</v>
      </c>
      <c r="I1767" s="1" t="s">
        <v>18</v>
      </c>
      <c r="J1767" s="1">
        <v>5</v>
      </c>
      <c r="K1767" s="1" t="s">
        <v>19</v>
      </c>
      <c r="L1767" s="1" t="s">
        <v>33</v>
      </c>
      <c r="M1767" s="1">
        <f>orders[[#This Row],[Ship Date]]-orders[[#This Row],[Order Date]]</f>
        <v>1</v>
      </c>
      <c r="N1767" s="1">
        <f>WEEKNUM(orders[[#This Row],[Order Date]])</f>
        <v>10</v>
      </c>
      <c r="O1767" s="1"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s="1">
        <v>128.4</v>
      </c>
      <c r="F1768" s="2">
        <v>45722</v>
      </c>
      <c r="G1768" s="2">
        <v>45723</v>
      </c>
      <c r="H1768" s="1" t="s">
        <v>23</v>
      </c>
      <c r="I1768" s="1" t="s">
        <v>70</v>
      </c>
      <c r="J1768" s="1">
        <v>3</v>
      </c>
      <c r="K1768" s="1" t="s">
        <v>19</v>
      </c>
      <c r="L1768" s="1" t="s">
        <v>33</v>
      </c>
      <c r="M1768" s="1">
        <f>orders[[#This Row],[Ship Date]]-orders[[#This Row],[Order Date]]</f>
        <v>1</v>
      </c>
      <c r="N1768" s="1">
        <f>WEEKNUM(orders[[#This Row],[Order Date]])</f>
        <v>10</v>
      </c>
      <c r="O1768" s="1"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s="1">
        <v>96</v>
      </c>
      <c r="F1769" s="2">
        <v>45722</v>
      </c>
      <c r="G1769" s="2">
        <v>45723</v>
      </c>
      <c r="H1769" s="1" t="s">
        <v>23</v>
      </c>
      <c r="I1769" s="1" t="s">
        <v>35</v>
      </c>
      <c r="J1769" s="1">
        <v>4</v>
      </c>
      <c r="K1769" s="1" t="s">
        <v>19</v>
      </c>
      <c r="L1769" s="1" t="s">
        <v>186</v>
      </c>
      <c r="M1769" s="1">
        <f>orders[[#This Row],[Ship Date]]-orders[[#This Row],[Order Date]]</f>
        <v>1</v>
      </c>
      <c r="N1769" s="1">
        <f>WEEKNUM(orders[[#This Row],[Order Date]])</f>
        <v>10</v>
      </c>
      <c r="O1769" s="1"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s="1">
        <v>64.3</v>
      </c>
      <c r="F1770" s="2">
        <v>45722</v>
      </c>
      <c r="G1770" s="2">
        <v>45724</v>
      </c>
      <c r="H1770" s="1" t="s">
        <v>27</v>
      </c>
      <c r="I1770" s="1" t="s">
        <v>40</v>
      </c>
      <c r="J1770" s="1">
        <v>5</v>
      </c>
      <c r="K1770" s="1" t="s">
        <v>19</v>
      </c>
      <c r="L1770" s="1" t="s">
        <v>55</v>
      </c>
      <c r="M1770" s="1">
        <f>orders[[#This Row],[Ship Date]]-orders[[#This Row],[Order Date]]</f>
        <v>2</v>
      </c>
      <c r="N1770" s="1">
        <f>WEEKNUM(orders[[#This Row],[Order Date]])</f>
        <v>10</v>
      </c>
      <c r="O1770" s="1"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s="1">
        <v>174.60000000000002</v>
      </c>
      <c r="F1771" s="2">
        <v>45722</v>
      </c>
      <c r="G1771" s="2">
        <v>45724</v>
      </c>
      <c r="H1771" s="1" t="s">
        <v>27</v>
      </c>
      <c r="I1771" s="1" t="s">
        <v>35</v>
      </c>
      <c r="J1771" s="1">
        <v>5</v>
      </c>
      <c r="K1771" s="1" t="s">
        <v>19</v>
      </c>
      <c r="L1771" s="1" t="s">
        <v>55</v>
      </c>
      <c r="M1771" s="1">
        <f>orders[[#This Row],[Ship Date]]-orders[[#This Row],[Order Date]]</f>
        <v>2</v>
      </c>
      <c r="N1771" s="1">
        <f>WEEKNUM(orders[[#This Row],[Order Date]])</f>
        <v>10</v>
      </c>
      <c r="O1771" s="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s="1">
        <v>236.8</v>
      </c>
      <c r="F1772" s="2">
        <v>45722</v>
      </c>
      <c r="G1772" s="2">
        <v>45722</v>
      </c>
      <c r="H1772" s="1" t="s">
        <v>23</v>
      </c>
      <c r="I1772" s="1" t="s">
        <v>35</v>
      </c>
      <c r="J1772" s="1">
        <v>5</v>
      </c>
      <c r="K1772" s="1" t="s">
        <v>19</v>
      </c>
      <c r="L1772" s="1" t="s">
        <v>55</v>
      </c>
      <c r="M1772" s="1">
        <f>orders[[#This Row],[Ship Date]]-orders[[#This Row],[Order Date]]</f>
        <v>0</v>
      </c>
      <c r="N1772" s="1">
        <f>WEEKNUM(orders[[#This Row],[Order Date]])</f>
        <v>10</v>
      </c>
      <c r="O1772" s="1"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s="1">
        <v>391.6</v>
      </c>
      <c r="F1773" s="2">
        <v>45722</v>
      </c>
      <c r="G1773" s="2">
        <v>45729</v>
      </c>
      <c r="H1773" s="1" t="s">
        <v>23</v>
      </c>
      <c r="I1773" s="1" t="s">
        <v>18</v>
      </c>
      <c r="J1773" s="1">
        <v>5</v>
      </c>
      <c r="K1773" s="1" t="s">
        <v>19</v>
      </c>
      <c r="L1773" s="1" t="s">
        <v>62</v>
      </c>
      <c r="M1773" s="1">
        <f>orders[[#This Row],[Ship Date]]-orders[[#This Row],[Order Date]]</f>
        <v>7</v>
      </c>
      <c r="N1773" s="1">
        <f>WEEKNUM(orders[[#This Row],[Order Date]])</f>
        <v>10</v>
      </c>
      <c r="O1773" s="1"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s="1">
        <v>296</v>
      </c>
      <c r="F1774" s="2">
        <v>45722</v>
      </c>
      <c r="G1774" s="2">
        <v>45726</v>
      </c>
      <c r="H1774" s="1" t="s">
        <v>27</v>
      </c>
      <c r="I1774" s="1" t="s">
        <v>40</v>
      </c>
      <c r="J1774" s="1">
        <v>3</v>
      </c>
      <c r="K1774" s="1" t="s">
        <v>19</v>
      </c>
      <c r="L1774" s="1" t="s">
        <v>62</v>
      </c>
      <c r="M1774" s="1">
        <f>orders[[#This Row],[Ship Date]]-orders[[#This Row],[Order Date]]</f>
        <v>4</v>
      </c>
      <c r="N1774" s="1">
        <f>WEEKNUM(orders[[#This Row],[Order Date]])</f>
        <v>10</v>
      </c>
      <c r="O1774" s="1"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s="1">
        <v>1050.3999999999999</v>
      </c>
      <c r="F1775" s="2">
        <v>45722</v>
      </c>
      <c r="G1775" s="2">
        <v>45724</v>
      </c>
      <c r="H1775" s="1" t="s">
        <v>27</v>
      </c>
      <c r="I1775" s="1" t="s">
        <v>18</v>
      </c>
      <c r="J1775" s="1">
        <v>4</v>
      </c>
      <c r="K1775" s="1" t="s">
        <v>19</v>
      </c>
      <c r="L1775" s="1" t="s">
        <v>62</v>
      </c>
      <c r="M1775" s="1">
        <f>orders[[#This Row],[Ship Date]]-orders[[#This Row],[Order Date]]</f>
        <v>2</v>
      </c>
      <c r="N1775" s="1">
        <f>WEEKNUM(orders[[#This Row],[Order Date]])</f>
        <v>10</v>
      </c>
      <c r="O1775" s="1"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s="1">
        <v>126.4</v>
      </c>
      <c r="F1776" s="2">
        <v>45722</v>
      </c>
      <c r="G1776" s="2">
        <v>45723</v>
      </c>
      <c r="H1776" s="1" t="s">
        <v>23</v>
      </c>
      <c r="I1776" s="1" t="s">
        <v>18</v>
      </c>
      <c r="J1776" s="1">
        <v>3</v>
      </c>
      <c r="K1776" s="1" t="s">
        <v>19</v>
      </c>
      <c r="L1776" s="1" t="s">
        <v>62</v>
      </c>
      <c r="M1776" s="1">
        <f>orders[[#This Row],[Ship Date]]-orders[[#This Row],[Order Date]]</f>
        <v>1</v>
      </c>
      <c r="N1776" s="1">
        <f>WEEKNUM(orders[[#This Row],[Order Date]])</f>
        <v>10</v>
      </c>
      <c r="O1776" s="1"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s="1">
        <v>81.599999999999994</v>
      </c>
      <c r="F1777" s="2">
        <v>45722</v>
      </c>
      <c r="G1777" s="2">
        <v>45724</v>
      </c>
      <c r="H1777" s="1" t="s">
        <v>23</v>
      </c>
      <c r="I1777" s="1" t="s">
        <v>18</v>
      </c>
      <c r="J1777" s="1">
        <v>3</v>
      </c>
      <c r="K1777" s="1" t="s">
        <v>19</v>
      </c>
      <c r="L1777" s="1" t="s">
        <v>103</v>
      </c>
      <c r="M1777" s="1">
        <f>orders[[#This Row],[Ship Date]]-orders[[#This Row],[Order Date]]</f>
        <v>2</v>
      </c>
      <c r="N1777" s="1">
        <f>WEEKNUM(orders[[#This Row],[Order Date]])</f>
        <v>10</v>
      </c>
      <c r="O1777" s="1"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s="1">
        <v>154.19999999999999</v>
      </c>
      <c r="F1778" s="2">
        <v>45722</v>
      </c>
      <c r="G1778" s="2">
        <v>45724</v>
      </c>
      <c r="H1778" s="1" t="s">
        <v>23</v>
      </c>
      <c r="I1778" s="1" t="s">
        <v>70</v>
      </c>
      <c r="J1778" s="1">
        <v>4</v>
      </c>
      <c r="K1778" s="1" t="s">
        <v>19</v>
      </c>
      <c r="L1778" s="1" t="s">
        <v>108</v>
      </c>
      <c r="M1778" s="1">
        <f>orders[[#This Row],[Ship Date]]-orders[[#This Row],[Order Date]]</f>
        <v>2</v>
      </c>
      <c r="N1778" s="1">
        <f>WEEKNUM(orders[[#This Row],[Order Date]])</f>
        <v>10</v>
      </c>
      <c r="O1778" s="1"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s="1">
        <v>99.8</v>
      </c>
      <c r="F1779" s="2">
        <v>45722</v>
      </c>
      <c r="G1779" s="2">
        <v>45725</v>
      </c>
      <c r="H1779" s="1" t="s">
        <v>23</v>
      </c>
      <c r="I1779" s="1" t="s">
        <v>18</v>
      </c>
      <c r="J1779" s="1">
        <v>4</v>
      </c>
      <c r="K1779" s="1" t="s">
        <v>19</v>
      </c>
      <c r="L1779" s="1" t="s">
        <v>113</v>
      </c>
      <c r="M1779" s="1">
        <f>orders[[#This Row],[Ship Date]]-orders[[#This Row],[Order Date]]</f>
        <v>3</v>
      </c>
      <c r="N1779" s="1">
        <f>WEEKNUM(orders[[#This Row],[Order Date]])</f>
        <v>10</v>
      </c>
      <c r="O1779" s="1"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s="1">
        <v>40.4</v>
      </c>
      <c r="F1780" s="2">
        <v>45722</v>
      </c>
      <c r="G1780" s="2">
        <v>45724</v>
      </c>
      <c r="H1780" s="1" t="s">
        <v>27</v>
      </c>
      <c r="I1780" s="1" t="s">
        <v>51</v>
      </c>
      <c r="J1780" s="1">
        <v>4</v>
      </c>
      <c r="K1780" s="1" t="s">
        <v>19</v>
      </c>
      <c r="L1780" s="1" t="s">
        <v>115</v>
      </c>
      <c r="M1780" s="1">
        <f>orders[[#This Row],[Ship Date]]-orders[[#This Row],[Order Date]]</f>
        <v>2</v>
      </c>
      <c r="N1780" s="1">
        <f>WEEKNUM(orders[[#This Row],[Order Date]])</f>
        <v>10</v>
      </c>
      <c r="O1780" s="1"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s="1">
        <v>145.19999999999999</v>
      </c>
      <c r="F1781" s="2">
        <v>45722</v>
      </c>
      <c r="G1781" s="2">
        <v>45727</v>
      </c>
      <c r="H1781" s="1" t="s">
        <v>27</v>
      </c>
      <c r="I1781" s="1" t="s">
        <v>18</v>
      </c>
      <c r="J1781" s="1">
        <v>5</v>
      </c>
      <c r="K1781" s="1" t="s">
        <v>19</v>
      </c>
      <c r="L1781" s="1" t="s">
        <v>115</v>
      </c>
      <c r="M1781" s="1">
        <f>orders[[#This Row],[Ship Date]]-orders[[#This Row],[Order Date]]</f>
        <v>5</v>
      </c>
      <c r="N1781" s="1">
        <f>WEEKNUM(orders[[#This Row],[Order Date]])</f>
        <v>10</v>
      </c>
      <c r="O1781" s="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s="1">
        <v>162</v>
      </c>
      <c r="F1782" s="2">
        <v>45722</v>
      </c>
      <c r="G1782" s="2">
        <v>45723</v>
      </c>
      <c r="H1782" s="1" t="s">
        <v>27</v>
      </c>
      <c r="I1782" s="1" t="s">
        <v>35</v>
      </c>
      <c r="J1782" s="1">
        <v>5</v>
      </c>
      <c r="K1782" s="1" t="s">
        <v>19</v>
      </c>
      <c r="L1782" s="1" t="s">
        <v>115</v>
      </c>
      <c r="M1782" s="1">
        <f>orders[[#This Row],[Ship Date]]-orders[[#This Row],[Order Date]]</f>
        <v>1</v>
      </c>
      <c r="N1782" s="1">
        <f>WEEKNUM(orders[[#This Row],[Order Date]])</f>
        <v>10</v>
      </c>
      <c r="O1782" s="1"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s="1">
        <v>119.39999999999999</v>
      </c>
      <c r="F1783" s="2">
        <v>45722</v>
      </c>
      <c r="G1783" s="2">
        <v>45725</v>
      </c>
      <c r="H1783" s="1" t="s">
        <v>27</v>
      </c>
      <c r="I1783" s="1" t="s">
        <v>18</v>
      </c>
      <c r="J1783" s="1">
        <v>3</v>
      </c>
      <c r="K1783" s="1" t="s">
        <v>19</v>
      </c>
      <c r="L1783" s="1" t="s">
        <v>147</v>
      </c>
      <c r="M1783" s="1">
        <f>orders[[#This Row],[Ship Date]]-orders[[#This Row],[Order Date]]</f>
        <v>3</v>
      </c>
      <c r="N1783" s="1">
        <f>WEEKNUM(orders[[#This Row],[Order Date]])</f>
        <v>10</v>
      </c>
      <c r="O1783" s="1"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s="1">
        <v>128.80000000000001</v>
      </c>
      <c r="F1784" s="2">
        <v>45722</v>
      </c>
      <c r="G1784" s="2">
        <v>45732</v>
      </c>
      <c r="H1784" s="1" t="s">
        <v>23</v>
      </c>
      <c r="I1784" s="1" t="s">
        <v>18</v>
      </c>
      <c r="J1784" s="1">
        <v>4</v>
      </c>
      <c r="K1784" s="1" t="s">
        <v>19</v>
      </c>
      <c r="L1784" s="1" t="s">
        <v>147</v>
      </c>
      <c r="M1784" s="1">
        <f>orders[[#This Row],[Ship Date]]-orders[[#This Row],[Order Date]]</f>
        <v>10</v>
      </c>
      <c r="N1784" s="1">
        <f>WEEKNUM(orders[[#This Row],[Order Date]])</f>
        <v>10</v>
      </c>
      <c r="O1784" s="1"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s="1">
        <v>230.39999999999998</v>
      </c>
      <c r="F1785" s="2">
        <v>45722</v>
      </c>
      <c r="G1785" s="2">
        <v>45723</v>
      </c>
      <c r="H1785" s="1" t="s">
        <v>27</v>
      </c>
      <c r="I1785" s="1" t="s">
        <v>18</v>
      </c>
      <c r="J1785" s="1">
        <v>3</v>
      </c>
      <c r="K1785" s="1" t="s">
        <v>19</v>
      </c>
      <c r="L1785" s="1" t="s">
        <v>33</v>
      </c>
      <c r="M1785" s="1">
        <f>orders[[#This Row],[Ship Date]]-orders[[#This Row],[Order Date]]</f>
        <v>1</v>
      </c>
      <c r="N1785" s="1">
        <f>WEEKNUM(orders[[#This Row],[Order Date]])</f>
        <v>10</v>
      </c>
      <c r="O1785" s="1"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s="1">
        <v>83.8</v>
      </c>
      <c r="F1786" s="2">
        <v>45722</v>
      </c>
      <c r="G1786" s="2">
        <v>45724</v>
      </c>
      <c r="H1786" s="1" t="s">
        <v>27</v>
      </c>
      <c r="I1786" s="1" t="s">
        <v>18</v>
      </c>
      <c r="J1786" s="1">
        <v>4</v>
      </c>
      <c r="K1786" s="1" t="s">
        <v>19</v>
      </c>
      <c r="L1786" s="1" t="s">
        <v>33</v>
      </c>
      <c r="M1786" s="1">
        <f>orders[[#This Row],[Ship Date]]-orders[[#This Row],[Order Date]]</f>
        <v>2</v>
      </c>
      <c r="N1786" s="1">
        <f>WEEKNUM(orders[[#This Row],[Order Date]])</f>
        <v>10</v>
      </c>
      <c r="O1786" s="1"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s="1">
        <v>238</v>
      </c>
      <c r="F1787" s="2">
        <v>45722</v>
      </c>
      <c r="G1787" s="2">
        <v>45724</v>
      </c>
      <c r="H1787" s="1" t="s">
        <v>27</v>
      </c>
      <c r="I1787" s="1" t="s">
        <v>35</v>
      </c>
      <c r="J1787" s="1">
        <v>5</v>
      </c>
      <c r="K1787" s="1" t="s">
        <v>19</v>
      </c>
      <c r="L1787" s="1" t="s">
        <v>33</v>
      </c>
      <c r="M1787" s="1">
        <f>orders[[#This Row],[Ship Date]]-orders[[#This Row],[Order Date]]</f>
        <v>2</v>
      </c>
      <c r="N1787" s="1">
        <f>WEEKNUM(orders[[#This Row],[Order Date]])</f>
        <v>10</v>
      </c>
      <c r="O1787" s="1"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s="1">
        <v>429.09999999999997</v>
      </c>
      <c r="F1788" s="2">
        <v>45722</v>
      </c>
      <c r="G1788" s="2">
        <v>45722</v>
      </c>
      <c r="H1788" s="1" t="s">
        <v>27</v>
      </c>
      <c r="I1788" s="1" t="s">
        <v>70</v>
      </c>
      <c r="J1788" s="1">
        <v>5</v>
      </c>
      <c r="K1788" s="1" t="s">
        <v>19</v>
      </c>
      <c r="L1788" s="1" t="s">
        <v>33</v>
      </c>
      <c r="M1788" s="1">
        <f>orders[[#This Row],[Ship Date]]-orders[[#This Row],[Order Date]]</f>
        <v>0</v>
      </c>
      <c r="N1788" s="1">
        <f>WEEKNUM(orders[[#This Row],[Order Date]])</f>
        <v>10</v>
      </c>
      <c r="O1788" s="1"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s="1">
        <v>54.7</v>
      </c>
      <c r="F1789" s="2">
        <v>45723</v>
      </c>
      <c r="G1789" s="2">
        <v>45724</v>
      </c>
      <c r="H1789" s="1" t="s">
        <v>23</v>
      </c>
      <c r="I1789" s="1" t="s">
        <v>18</v>
      </c>
      <c r="J1789" s="1">
        <v>3</v>
      </c>
      <c r="K1789" s="1" t="s">
        <v>19</v>
      </c>
      <c r="L1789" s="1" t="s">
        <v>33</v>
      </c>
      <c r="M1789" s="1">
        <f>orders[[#This Row],[Ship Date]]-orders[[#This Row],[Order Date]]</f>
        <v>1</v>
      </c>
      <c r="N1789" s="1">
        <f>WEEKNUM(orders[[#This Row],[Order Date]])</f>
        <v>10</v>
      </c>
      <c r="O1789" s="1"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s="1">
        <v>847</v>
      </c>
      <c r="F1790" s="2">
        <v>45723</v>
      </c>
      <c r="G1790" s="2">
        <v>45727</v>
      </c>
      <c r="H1790" s="1" t="s">
        <v>27</v>
      </c>
      <c r="I1790" s="1" t="s">
        <v>18</v>
      </c>
      <c r="J1790" s="1">
        <v>4</v>
      </c>
      <c r="K1790" s="1" t="s">
        <v>19</v>
      </c>
      <c r="L1790" s="1" t="s">
        <v>33</v>
      </c>
      <c r="M1790" s="1">
        <f>orders[[#This Row],[Ship Date]]-orders[[#This Row],[Order Date]]</f>
        <v>4</v>
      </c>
      <c r="N1790" s="1">
        <f>WEEKNUM(orders[[#This Row],[Order Date]])</f>
        <v>10</v>
      </c>
      <c r="O1790" s="1"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s="1">
        <v>280.20000000000005</v>
      </c>
      <c r="F1791" s="2">
        <v>45723</v>
      </c>
      <c r="G1791" s="2">
        <v>45727</v>
      </c>
      <c r="H1791" s="1" t="s">
        <v>27</v>
      </c>
      <c r="I1791" s="1" t="s">
        <v>51</v>
      </c>
      <c r="J1791" s="1">
        <v>4</v>
      </c>
      <c r="K1791" s="1" t="s">
        <v>19</v>
      </c>
      <c r="L1791" s="1" t="s">
        <v>33</v>
      </c>
      <c r="M1791" s="1">
        <f>orders[[#This Row],[Ship Date]]-orders[[#This Row],[Order Date]]</f>
        <v>4</v>
      </c>
      <c r="N1791" s="1">
        <f>WEEKNUM(orders[[#This Row],[Order Date]])</f>
        <v>10</v>
      </c>
      <c r="O1791" s="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s="1">
        <v>135</v>
      </c>
      <c r="F1792" s="2">
        <v>45723</v>
      </c>
      <c r="G1792" s="2">
        <v>45726</v>
      </c>
      <c r="H1792" s="1" t="s">
        <v>23</v>
      </c>
      <c r="I1792" s="1" t="s">
        <v>18</v>
      </c>
      <c r="J1792" s="1">
        <v>3</v>
      </c>
      <c r="K1792" s="1" t="s">
        <v>19</v>
      </c>
      <c r="L1792" s="1" t="s">
        <v>33</v>
      </c>
      <c r="M1792" s="1">
        <f>orders[[#This Row],[Ship Date]]-orders[[#This Row],[Order Date]]</f>
        <v>3</v>
      </c>
      <c r="N1792" s="1">
        <f>WEEKNUM(orders[[#This Row],[Order Date]])</f>
        <v>10</v>
      </c>
      <c r="O1792" s="1"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s="1">
        <v>43.6</v>
      </c>
      <c r="F1793" s="2">
        <v>45723</v>
      </c>
      <c r="G1793" s="2">
        <v>45724</v>
      </c>
      <c r="H1793" s="1" t="s">
        <v>23</v>
      </c>
      <c r="I1793" s="1" t="s">
        <v>40</v>
      </c>
      <c r="J1793" s="1">
        <v>4</v>
      </c>
      <c r="K1793" s="1" t="s">
        <v>19</v>
      </c>
      <c r="L1793" s="1" t="s">
        <v>33</v>
      </c>
      <c r="M1793" s="1">
        <f>orders[[#This Row],[Ship Date]]-orders[[#This Row],[Order Date]]</f>
        <v>1</v>
      </c>
      <c r="N1793" s="1">
        <f>WEEKNUM(orders[[#This Row],[Order Date]])</f>
        <v>10</v>
      </c>
      <c r="O1793" s="1"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s="1">
        <v>144</v>
      </c>
      <c r="F1794" s="2">
        <v>45723</v>
      </c>
      <c r="G1794" s="2">
        <v>45728</v>
      </c>
      <c r="H1794" s="1" t="s">
        <v>27</v>
      </c>
      <c r="I1794" s="1" t="s">
        <v>70</v>
      </c>
      <c r="J1794" s="1">
        <v>4</v>
      </c>
      <c r="K1794" s="1" t="s">
        <v>19</v>
      </c>
      <c r="L1794" s="1" t="s">
        <v>33</v>
      </c>
      <c r="M1794" s="1">
        <f>orders[[#This Row],[Ship Date]]-orders[[#This Row],[Order Date]]</f>
        <v>5</v>
      </c>
      <c r="N1794" s="1">
        <f>WEEKNUM(orders[[#This Row],[Order Date]])</f>
        <v>10</v>
      </c>
      <c r="O1794" s="1"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s="1">
        <v>135.80000000000001</v>
      </c>
      <c r="F1795" s="2">
        <v>45723</v>
      </c>
      <c r="G1795" s="2">
        <v>45724</v>
      </c>
      <c r="H1795" s="1" t="s">
        <v>23</v>
      </c>
      <c r="I1795" s="1" t="s">
        <v>18</v>
      </c>
      <c r="J1795" s="1">
        <v>5</v>
      </c>
      <c r="K1795" s="1" t="s">
        <v>19</v>
      </c>
      <c r="L1795" s="1" t="s">
        <v>158</v>
      </c>
      <c r="M1795" s="1">
        <f>orders[[#This Row],[Ship Date]]-orders[[#This Row],[Order Date]]</f>
        <v>1</v>
      </c>
      <c r="N1795" s="1">
        <f>WEEKNUM(orders[[#This Row],[Order Date]])</f>
        <v>10</v>
      </c>
      <c r="O1795" s="1"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s="1">
        <v>108</v>
      </c>
      <c r="F1796" s="2">
        <v>45723</v>
      </c>
      <c r="G1796" s="2">
        <v>45724</v>
      </c>
      <c r="H1796" s="1" t="s">
        <v>23</v>
      </c>
      <c r="I1796" s="1" t="s">
        <v>35</v>
      </c>
      <c r="J1796" s="1">
        <v>4</v>
      </c>
      <c r="K1796" s="1" t="s">
        <v>19</v>
      </c>
      <c r="L1796" s="1" t="s">
        <v>55</v>
      </c>
      <c r="M1796" s="1">
        <f>orders[[#This Row],[Ship Date]]-orders[[#This Row],[Order Date]]</f>
        <v>1</v>
      </c>
      <c r="N1796" s="1">
        <f>WEEKNUM(orders[[#This Row],[Order Date]])</f>
        <v>10</v>
      </c>
      <c r="O1796" s="1"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s="1">
        <v>128.80000000000001</v>
      </c>
      <c r="F1797" s="2">
        <v>45723</v>
      </c>
      <c r="G1797" s="2">
        <v>45724</v>
      </c>
      <c r="H1797" s="1" t="s">
        <v>23</v>
      </c>
      <c r="I1797" s="1" t="s">
        <v>70</v>
      </c>
      <c r="J1797" s="1">
        <v>5</v>
      </c>
      <c r="K1797" s="1" t="s">
        <v>19</v>
      </c>
      <c r="L1797" s="1" t="s">
        <v>55</v>
      </c>
      <c r="M1797" s="1">
        <f>orders[[#This Row],[Ship Date]]-orders[[#This Row],[Order Date]]</f>
        <v>1</v>
      </c>
      <c r="N1797" s="1">
        <f>WEEKNUM(orders[[#This Row],[Order Date]])</f>
        <v>10</v>
      </c>
      <c r="O1797" s="1"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s="1">
        <v>233.09999999999997</v>
      </c>
      <c r="F1798" s="2">
        <v>45723</v>
      </c>
      <c r="G1798" s="2">
        <v>45724</v>
      </c>
      <c r="H1798" s="1" t="s">
        <v>27</v>
      </c>
      <c r="I1798" s="1" t="s">
        <v>51</v>
      </c>
      <c r="J1798" s="1">
        <v>4</v>
      </c>
      <c r="K1798" s="1" t="s">
        <v>19</v>
      </c>
      <c r="L1798" s="1" t="s">
        <v>62</v>
      </c>
      <c r="M1798" s="1">
        <f>orders[[#This Row],[Ship Date]]-orders[[#This Row],[Order Date]]</f>
        <v>1</v>
      </c>
      <c r="N1798" s="1">
        <f>WEEKNUM(orders[[#This Row],[Order Date]])</f>
        <v>10</v>
      </c>
      <c r="O1798" s="1"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s="1">
        <v>113.39999999999999</v>
      </c>
      <c r="F1799" s="2">
        <v>45723</v>
      </c>
      <c r="G1799" s="2">
        <v>45725</v>
      </c>
      <c r="H1799" s="1" t="s">
        <v>23</v>
      </c>
      <c r="I1799" s="1" t="s">
        <v>35</v>
      </c>
      <c r="J1799" s="1">
        <v>5</v>
      </c>
      <c r="K1799" s="1" t="s">
        <v>19</v>
      </c>
      <c r="L1799" s="1" t="s">
        <v>62</v>
      </c>
      <c r="M1799" s="1">
        <f>orders[[#This Row],[Ship Date]]-orders[[#This Row],[Order Date]]</f>
        <v>2</v>
      </c>
      <c r="N1799" s="1">
        <f>WEEKNUM(orders[[#This Row],[Order Date]])</f>
        <v>10</v>
      </c>
      <c r="O1799" s="1"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s="1">
        <v>78</v>
      </c>
      <c r="F1800" s="2">
        <v>45723</v>
      </c>
      <c r="G1800" s="2">
        <v>45728</v>
      </c>
      <c r="H1800" s="1" t="s">
        <v>27</v>
      </c>
      <c r="I1800" s="1" t="s">
        <v>18</v>
      </c>
      <c r="J1800" s="1">
        <v>4</v>
      </c>
      <c r="K1800" s="1" t="s">
        <v>19</v>
      </c>
      <c r="L1800" s="1" t="s">
        <v>62</v>
      </c>
      <c r="M1800" s="1">
        <f>orders[[#This Row],[Ship Date]]-orders[[#This Row],[Order Date]]</f>
        <v>5</v>
      </c>
      <c r="N1800" s="1">
        <f>WEEKNUM(orders[[#This Row],[Order Date]])</f>
        <v>10</v>
      </c>
      <c r="O1800" s="1"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s="1">
        <v>537.70000000000005</v>
      </c>
      <c r="F1801" s="2">
        <v>45723</v>
      </c>
      <c r="G1801" s="2">
        <v>45724</v>
      </c>
      <c r="H1801" s="1" t="s">
        <v>27</v>
      </c>
      <c r="I1801" s="1" t="s">
        <v>51</v>
      </c>
      <c r="J1801" s="1">
        <v>2</v>
      </c>
      <c r="K1801" s="1" t="s">
        <v>19</v>
      </c>
      <c r="L1801" s="1" t="s">
        <v>62</v>
      </c>
      <c r="M1801" s="1">
        <f>orders[[#This Row],[Ship Date]]-orders[[#This Row],[Order Date]]</f>
        <v>1</v>
      </c>
      <c r="N1801" s="1">
        <f>WEEKNUM(orders[[#This Row],[Order Date]])</f>
        <v>10</v>
      </c>
      <c r="O1801" s="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s="1">
        <v>125.2</v>
      </c>
      <c r="F1802" s="2">
        <v>45723</v>
      </c>
      <c r="G1802" s="2">
        <v>45723</v>
      </c>
      <c r="H1802" s="1" t="s">
        <v>27</v>
      </c>
      <c r="I1802" s="1" t="s">
        <v>18</v>
      </c>
      <c r="J1802" s="1">
        <v>4</v>
      </c>
      <c r="K1802" s="1" t="s">
        <v>19</v>
      </c>
      <c r="L1802" s="1" t="s">
        <v>62</v>
      </c>
      <c r="M1802" s="1">
        <f>orders[[#This Row],[Ship Date]]-orders[[#This Row],[Order Date]]</f>
        <v>0</v>
      </c>
      <c r="N1802" s="1">
        <f>WEEKNUM(orders[[#This Row],[Order Date]])</f>
        <v>10</v>
      </c>
      <c r="O1802" s="1"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s="1">
        <v>208.5</v>
      </c>
      <c r="F1803" s="2">
        <v>45723</v>
      </c>
      <c r="G1803" s="2">
        <v>45724</v>
      </c>
      <c r="H1803" s="1" t="s">
        <v>27</v>
      </c>
      <c r="I1803" s="1" t="s">
        <v>51</v>
      </c>
      <c r="J1803" s="1">
        <v>5</v>
      </c>
      <c r="K1803" s="1" t="s">
        <v>19</v>
      </c>
      <c r="L1803" s="1" t="s">
        <v>62</v>
      </c>
      <c r="M1803" s="1">
        <f>orders[[#This Row],[Ship Date]]-orders[[#This Row],[Order Date]]</f>
        <v>1</v>
      </c>
      <c r="N1803" s="1">
        <f>WEEKNUM(orders[[#This Row],[Order Date]])</f>
        <v>10</v>
      </c>
      <c r="O1803" s="1"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s="1">
        <v>33.4</v>
      </c>
      <c r="F1804" s="2">
        <v>45723</v>
      </c>
      <c r="G1804" s="2">
        <v>45724</v>
      </c>
      <c r="H1804" s="1" t="s">
        <v>27</v>
      </c>
      <c r="I1804" s="1" t="s">
        <v>51</v>
      </c>
      <c r="J1804" s="1">
        <v>3</v>
      </c>
      <c r="K1804" s="1" t="s">
        <v>19</v>
      </c>
      <c r="L1804" s="1" t="s">
        <v>62</v>
      </c>
      <c r="M1804" s="1">
        <f>orders[[#This Row],[Ship Date]]-orders[[#This Row],[Order Date]]</f>
        <v>1</v>
      </c>
      <c r="N1804" s="1">
        <f>WEEKNUM(orders[[#This Row],[Order Date]])</f>
        <v>10</v>
      </c>
      <c r="O1804" s="1"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s="1">
        <v>125.2</v>
      </c>
      <c r="F1805" s="2">
        <v>45723</v>
      </c>
      <c r="G1805" s="2">
        <v>45724</v>
      </c>
      <c r="H1805" s="1" t="s">
        <v>23</v>
      </c>
      <c r="I1805" s="1" t="s">
        <v>40</v>
      </c>
      <c r="J1805" s="1">
        <v>5</v>
      </c>
      <c r="K1805" s="1" t="s">
        <v>19</v>
      </c>
      <c r="L1805" s="1" t="s">
        <v>72</v>
      </c>
      <c r="M1805" s="1">
        <f>orders[[#This Row],[Ship Date]]-orders[[#This Row],[Order Date]]</f>
        <v>1</v>
      </c>
      <c r="N1805" s="1">
        <f>WEEKNUM(orders[[#This Row],[Order Date]])</f>
        <v>10</v>
      </c>
      <c r="O1805" s="1"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s="1">
        <v>81.2</v>
      </c>
      <c r="F1806" s="2">
        <v>45723</v>
      </c>
      <c r="G1806" s="2">
        <v>45729</v>
      </c>
      <c r="H1806" s="1" t="s">
        <v>23</v>
      </c>
      <c r="I1806" s="1" t="s">
        <v>70</v>
      </c>
      <c r="J1806" s="1">
        <v>2</v>
      </c>
      <c r="K1806" s="1" t="s">
        <v>19</v>
      </c>
      <c r="L1806" s="1" t="s">
        <v>72</v>
      </c>
      <c r="M1806" s="1">
        <f>orders[[#This Row],[Ship Date]]-orders[[#This Row],[Order Date]]</f>
        <v>6</v>
      </c>
      <c r="N1806" s="1">
        <f>WEEKNUM(orders[[#This Row],[Order Date]])</f>
        <v>10</v>
      </c>
      <c r="O1806" s="1"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s="1">
        <v>127</v>
      </c>
      <c r="F1807" s="2">
        <v>45723</v>
      </c>
      <c r="G1807" s="2">
        <v>45724</v>
      </c>
      <c r="H1807" s="1" t="s">
        <v>27</v>
      </c>
      <c r="I1807" s="1" t="s">
        <v>18</v>
      </c>
      <c r="J1807" s="1">
        <v>5</v>
      </c>
      <c r="K1807" s="1" t="s">
        <v>19</v>
      </c>
      <c r="L1807" s="1" t="s">
        <v>72</v>
      </c>
      <c r="M1807" s="1">
        <f>orders[[#This Row],[Ship Date]]-orders[[#This Row],[Order Date]]</f>
        <v>1</v>
      </c>
      <c r="N1807" s="1">
        <f>WEEKNUM(orders[[#This Row],[Order Date]])</f>
        <v>10</v>
      </c>
      <c r="O1807" s="1"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s="1">
        <v>310.8</v>
      </c>
      <c r="F1808" s="2">
        <v>45724</v>
      </c>
      <c r="G1808" s="2">
        <v>45728</v>
      </c>
      <c r="H1808" s="1" t="s">
        <v>23</v>
      </c>
      <c r="I1808" s="1" t="s">
        <v>35</v>
      </c>
      <c r="J1808" s="1">
        <v>4</v>
      </c>
      <c r="K1808" s="1" t="s">
        <v>19</v>
      </c>
      <c r="L1808" s="1" t="s">
        <v>77</v>
      </c>
      <c r="M1808" s="1">
        <f>orders[[#This Row],[Ship Date]]-orders[[#This Row],[Order Date]]</f>
        <v>4</v>
      </c>
      <c r="N1808" s="1">
        <f>WEEKNUM(orders[[#This Row],[Order Date]])</f>
        <v>10</v>
      </c>
      <c r="O1808" s="1"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s="1">
        <v>74.599999999999994</v>
      </c>
      <c r="F1809" s="2">
        <v>45724</v>
      </c>
      <c r="G1809" s="2">
        <v>45725</v>
      </c>
      <c r="H1809" s="1" t="s">
        <v>27</v>
      </c>
      <c r="I1809" s="1" t="s">
        <v>18</v>
      </c>
      <c r="J1809" s="1">
        <v>5</v>
      </c>
      <c r="K1809" s="1" t="s">
        <v>19</v>
      </c>
      <c r="L1809" s="1" t="s">
        <v>108</v>
      </c>
      <c r="M1809" s="1">
        <f>orders[[#This Row],[Ship Date]]-orders[[#This Row],[Order Date]]</f>
        <v>1</v>
      </c>
      <c r="N1809" s="1">
        <f>WEEKNUM(orders[[#This Row],[Order Date]])</f>
        <v>10</v>
      </c>
      <c r="O1809" s="1"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s="1">
        <v>142.4</v>
      </c>
      <c r="F1810" s="2">
        <v>45724</v>
      </c>
      <c r="G1810" s="2">
        <v>45726</v>
      </c>
      <c r="H1810" s="1" t="s">
        <v>27</v>
      </c>
      <c r="I1810" s="1" t="s">
        <v>35</v>
      </c>
      <c r="J1810" s="1">
        <v>3</v>
      </c>
      <c r="K1810" s="1" t="s">
        <v>19</v>
      </c>
      <c r="L1810" s="1" t="s">
        <v>110</v>
      </c>
      <c r="M1810" s="1">
        <f>orders[[#This Row],[Ship Date]]-orders[[#This Row],[Order Date]]</f>
        <v>2</v>
      </c>
      <c r="N1810" s="1">
        <f>WEEKNUM(orders[[#This Row],[Order Date]])</f>
        <v>10</v>
      </c>
      <c r="O1810" s="1"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s="1">
        <v>285</v>
      </c>
      <c r="F1811" s="2">
        <v>45724</v>
      </c>
      <c r="G1811" s="2">
        <v>45728</v>
      </c>
      <c r="H1811" s="1" t="s">
        <v>27</v>
      </c>
      <c r="I1811" s="1" t="s">
        <v>40</v>
      </c>
      <c r="J1811" s="1">
        <v>5</v>
      </c>
      <c r="K1811" s="1" t="s">
        <v>19</v>
      </c>
      <c r="L1811" s="1" t="s">
        <v>1911</v>
      </c>
      <c r="M1811" s="1">
        <f>orders[[#This Row],[Ship Date]]-orders[[#This Row],[Order Date]]</f>
        <v>4</v>
      </c>
      <c r="N1811" s="1">
        <f>WEEKNUM(orders[[#This Row],[Order Date]])</f>
        <v>10</v>
      </c>
      <c r="O1811" s="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s="1">
        <v>688.4</v>
      </c>
      <c r="F1812" s="2">
        <v>45724</v>
      </c>
      <c r="G1812" s="2">
        <v>45728</v>
      </c>
      <c r="H1812" s="1" t="s">
        <v>89</v>
      </c>
      <c r="I1812" s="1" t="s">
        <v>40</v>
      </c>
      <c r="J1812" s="1">
        <v>5</v>
      </c>
      <c r="K1812" s="1" t="s">
        <v>19</v>
      </c>
      <c r="L1812" s="1" t="s">
        <v>115</v>
      </c>
      <c r="M1812" s="1">
        <f>orders[[#This Row],[Ship Date]]-orders[[#This Row],[Order Date]]</f>
        <v>4</v>
      </c>
      <c r="N1812" s="1">
        <f>WEEKNUM(orders[[#This Row],[Order Date]])</f>
        <v>10</v>
      </c>
      <c r="O1812" s="1"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s="1">
        <v>466</v>
      </c>
      <c r="F1813" s="2">
        <v>45724</v>
      </c>
      <c r="G1813" s="2">
        <v>45727</v>
      </c>
      <c r="H1813" s="1" t="s">
        <v>27</v>
      </c>
      <c r="I1813" s="1" t="s">
        <v>35</v>
      </c>
      <c r="J1813" s="1">
        <v>4</v>
      </c>
      <c r="K1813" s="1" t="s">
        <v>19</v>
      </c>
      <c r="L1813" s="1" t="s">
        <v>115</v>
      </c>
      <c r="M1813" s="1">
        <f>orders[[#This Row],[Ship Date]]-orders[[#This Row],[Order Date]]</f>
        <v>3</v>
      </c>
      <c r="N1813" s="1">
        <f>WEEKNUM(orders[[#This Row],[Order Date]])</f>
        <v>10</v>
      </c>
      <c r="O1813" s="1"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s="1">
        <v>43.5</v>
      </c>
      <c r="F1814" s="2">
        <v>45724</v>
      </c>
      <c r="G1814" s="2">
        <v>45725</v>
      </c>
      <c r="H1814" s="1" t="s">
        <v>27</v>
      </c>
      <c r="I1814" s="1" t="s">
        <v>40</v>
      </c>
      <c r="J1814" s="1">
        <v>5</v>
      </c>
      <c r="K1814" s="1" t="s">
        <v>19</v>
      </c>
      <c r="L1814" s="1" t="s">
        <v>115</v>
      </c>
      <c r="M1814" s="1">
        <f>orders[[#This Row],[Ship Date]]-orders[[#This Row],[Order Date]]</f>
        <v>1</v>
      </c>
      <c r="N1814" s="1">
        <f>WEEKNUM(orders[[#This Row],[Order Date]])</f>
        <v>10</v>
      </c>
      <c r="O1814" s="1"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s="1">
        <v>95.6</v>
      </c>
      <c r="F1815" s="2">
        <v>45724</v>
      </c>
      <c r="G1815" s="2">
        <v>45727</v>
      </c>
      <c r="H1815" s="1" t="s">
        <v>23</v>
      </c>
      <c r="I1815" s="1" t="s">
        <v>70</v>
      </c>
      <c r="J1815" s="1">
        <v>5</v>
      </c>
      <c r="K1815" s="1" t="s">
        <v>19</v>
      </c>
      <c r="L1815" s="1" t="s">
        <v>24</v>
      </c>
      <c r="M1815" s="1">
        <f>orders[[#This Row],[Ship Date]]-orders[[#This Row],[Order Date]]</f>
        <v>3</v>
      </c>
      <c r="N1815" s="1">
        <f>WEEKNUM(orders[[#This Row],[Order Date]])</f>
        <v>10</v>
      </c>
      <c r="O1815" s="1"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s="1">
        <v>131.6</v>
      </c>
      <c r="F1816" s="2">
        <v>45724</v>
      </c>
      <c r="G1816" s="2">
        <v>45726</v>
      </c>
      <c r="H1816" s="1" t="s">
        <v>27</v>
      </c>
      <c r="I1816" s="1" t="s">
        <v>18</v>
      </c>
      <c r="J1816" s="1">
        <v>1</v>
      </c>
      <c r="K1816" s="1" t="s">
        <v>19</v>
      </c>
      <c r="L1816" s="1" t="s">
        <v>331</v>
      </c>
      <c r="M1816" s="1">
        <f>orders[[#This Row],[Ship Date]]-orders[[#This Row],[Order Date]]</f>
        <v>2</v>
      </c>
      <c r="N1816" s="1">
        <f>WEEKNUM(orders[[#This Row],[Order Date]])</f>
        <v>10</v>
      </c>
      <c r="O1816" s="1"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s="1">
        <v>425.70000000000005</v>
      </c>
      <c r="F1817" s="2">
        <v>45724</v>
      </c>
      <c r="G1817" s="2">
        <v>45724</v>
      </c>
      <c r="H1817" s="1" t="s">
        <v>23</v>
      </c>
      <c r="I1817" s="1" t="s">
        <v>18</v>
      </c>
      <c r="J1817" s="1">
        <v>4</v>
      </c>
      <c r="K1817" s="1" t="s">
        <v>19</v>
      </c>
      <c r="L1817" s="1" t="s">
        <v>147</v>
      </c>
      <c r="M1817" s="1">
        <f>orders[[#This Row],[Ship Date]]-orders[[#This Row],[Order Date]]</f>
        <v>0</v>
      </c>
      <c r="N1817" s="1">
        <f>WEEKNUM(orders[[#This Row],[Order Date]])</f>
        <v>10</v>
      </c>
      <c r="O1817" s="1"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s="1">
        <v>222.8</v>
      </c>
      <c r="F1818" s="2">
        <v>45724</v>
      </c>
      <c r="G1818" s="2">
        <v>45726</v>
      </c>
      <c r="H1818" s="1" t="s">
        <v>89</v>
      </c>
      <c r="I1818" s="1" t="s">
        <v>18</v>
      </c>
      <c r="J1818" s="1">
        <v>3</v>
      </c>
      <c r="K1818" s="1" t="s">
        <v>19</v>
      </c>
      <c r="L1818" s="1" t="s">
        <v>147</v>
      </c>
      <c r="M1818" s="1">
        <f>orders[[#This Row],[Ship Date]]-orders[[#This Row],[Order Date]]</f>
        <v>2</v>
      </c>
      <c r="N1818" s="1">
        <f>WEEKNUM(orders[[#This Row],[Order Date]])</f>
        <v>10</v>
      </c>
      <c r="O1818" s="1"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s="1">
        <v>204.8</v>
      </c>
      <c r="F1819" s="2">
        <v>45724</v>
      </c>
      <c r="G1819" s="2">
        <v>45724</v>
      </c>
      <c r="H1819" s="1" t="s">
        <v>27</v>
      </c>
      <c r="I1819" s="1" t="s">
        <v>35</v>
      </c>
      <c r="J1819" s="1">
        <v>4</v>
      </c>
      <c r="K1819" s="1" t="s">
        <v>19</v>
      </c>
      <c r="L1819" s="1" t="s">
        <v>33</v>
      </c>
      <c r="M1819" s="1">
        <f>orders[[#This Row],[Ship Date]]-orders[[#This Row],[Order Date]]</f>
        <v>0</v>
      </c>
      <c r="N1819" s="1">
        <f>WEEKNUM(orders[[#This Row],[Order Date]])</f>
        <v>10</v>
      </c>
      <c r="O1819" s="1"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s="1">
        <v>92</v>
      </c>
      <c r="F1820" s="2">
        <v>45724</v>
      </c>
      <c r="G1820" s="2">
        <v>45728</v>
      </c>
      <c r="H1820" s="1" t="s">
        <v>17</v>
      </c>
      <c r="I1820" s="1" t="s">
        <v>40</v>
      </c>
      <c r="J1820" s="1">
        <v>4</v>
      </c>
      <c r="K1820" s="1" t="s">
        <v>19</v>
      </c>
      <c r="L1820" s="1" t="s">
        <v>33</v>
      </c>
      <c r="M1820" s="1">
        <f>orders[[#This Row],[Ship Date]]-orders[[#This Row],[Order Date]]</f>
        <v>4</v>
      </c>
      <c r="N1820" s="1">
        <f>WEEKNUM(orders[[#This Row],[Order Date]])</f>
        <v>10</v>
      </c>
      <c r="O1820" s="1"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s="1">
        <v>303.60000000000002</v>
      </c>
      <c r="F1821" s="2">
        <v>45724</v>
      </c>
      <c r="G1821" s="2">
        <v>45726</v>
      </c>
      <c r="H1821" s="1" t="s">
        <v>27</v>
      </c>
      <c r="I1821" s="1" t="s">
        <v>35</v>
      </c>
      <c r="J1821" s="1">
        <v>4</v>
      </c>
      <c r="K1821" s="1" t="s">
        <v>19</v>
      </c>
      <c r="L1821" s="1" t="s">
        <v>33</v>
      </c>
      <c r="M1821" s="1">
        <f>orders[[#This Row],[Ship Date]]-orders[[#This Row],[Order Date]]</f>
        <v>2</v>
      </c>
      <c r="N1821" s="1">
        <f>WEEKNUM(orders[[#This Row],[Order Date]])</f>
        <v>10</v>
      </c>
      <c r="O1821" s="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s="1">
        <v>144.80000000000001</v>
      </c>
      <c r="F1822" s="2">
        <v>45724</v>
      </c>
      <c r="G1822" s="2">
        <v>45725</v>
      </c>
      <c r="H1822" s="1" t="s">
        <v>27</v>
      </c>
      <c r="I1822" s="1" t="s">
        <v>35</v>
      </c>
      <c r="J1822" s="1">
        <v>4</v>
      </c>
      <c r="K1822" s="1" t="s">
        <v>19</v>
      </c>
      <c r="L1822" s="1" t="s">
        <v>33</v>
      </c>
      <c r="M1822" s="1">
        <f>orders[[#This Row],[Ship Date]]-orders[[#This Row],[Order Date]]</f>
        <v>1</v>
      </c>
      <c r="N1822" s="1">
        <f>WEEKNUM(orders[[#This Row],[Order Date]])</f>
        <v>10</v>
      </c>
      <c r="O1822" s="1"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s="1">
        <v>7264.5</v>
      </c>
      <c r="F1823" s="2">
        <v>45724</v>
      </c>
      <c r="G1823" s="2">
        <v>45726</v>
      </c>
      <c r="H1823" s="1" t="s">
        <v>17</v>
      </c>
      <c r="I1823" s="1" t="s">
        <v>51</v>
      </c>
      <c r="J1823" s="1">
        <v>4</v>
      </c>
      <c r="K1823" s="1" t="s">
        <v>19</v>
      </c>
      <c r="L1823" s="1" t="s">
        <v>33</v>
      </c>
      <c r="M1823" s="1">
        <f>orders[[#This Row],[Ship Date]]-orders[[#This Row],[Order Date]]</f>
        <v>2</v>
      </c>
      <c r="N1823" s="1">
        <f>WEEKNUM(orders[[#This Row],[Order Date]])</f>
        <v>10</v>
      </c>
      <c r="O1823" s="1"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s="1">
        <v>628.79999999999995</v>
      </c>
      <c r="F1824" s="2">
        <v>45724</v>
      </c>
      <c r="G1824" s="2">
        <v>45724</v>
      </c>
      <c r="H1824" s="1" t="s">
        <v>23</v>
      </c>
      <c r="I1824" s="1" t="s">
        <v>40</v>
      </c>
      <c r="J1824" s="1">
        <v>4</v>
      </c>
      <c r="K1824" s="1" t="s">
        <v>19</v>
      </c>
      <c r="L1824" s="1" t="s">
        <v>33</v>
      </c>
      <c r="M1824" s="1">
        <f>orders[[#This Row],[Ship Date]]-orders[[#This Row],[Order Date]]</f>
        <v>0</v>
      </c>
      <c r="N1824" s="1">
        <f>WEEKNUM(orders[[#This Row],[Order Date]])</f>
        <v>10</v>
      </c>
      <c r="O1824" s="1"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s="1">
        <v>208.5</v>
      </c>
      <c r="F1825" s="2">
        <v>45724</v>
      </c>
      <c r="G1825" s="2">
        <v>45725</v>
      </c>
      <c r="H1825" s="1" t="s">
        <v>89</v>
      </c>
      <c r="I1825" s="1" t="s">
        <v>70</v>
      </c>
      <c r="J1825" s="1">
        <v>4</v>
      </c>
      <c r="K1825" s="1" t="s">
        <v>19</v>
      </c>
      <c r="L1825" s="1" t="s">
        <v>33</v>
      </c>
      <c r="M1825" s="1">
        <f>orders[[#This Row],[Ship Date]]-orders[[#This Row],[Order Date]]</f>
        <v>1</v>
      </c>
      <c r="N1825" s="1">
        <f>WEEKNUM(orders[[#This Row],[Order Date]])</f>
        <v>10</v>
      </c>
      <c r="O1825" s="1"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s="1">
        <v>15.5</v>
      </c>
      <c r="F1826" s="2">
        <v>45724</v>
      </c>
      <c r="G1826" s="2">
        <v>45726</v>
      </c>
      <c r="H1826" s="1" t="s">
        <v>23</v>
      </c>
      <c r="I1826" s="1" t="s">
        <v>18</v>
      </c>
      <c r="J1826" s="1">
        <v>4</v>
      </c>
      <c r="K1826" s="1" t="s">
        <v>19</v>
      </c>
      <c r="L1826" s="1" t="s">
        <v>33</v>
      </c>
      <c r="M1826" s="1">
        <f>orders[[#This Row],[Ship Date]]-orders[[#This Row],[Order Date]]</f>
        <v>2</v>
      </c>
      <c r="N1826" s="1">
        <f>WEEKNUM(orders[[#This Row],[Order Date]])</f>
        <v>10</v>
      </c>
      <c r="O1826" s="1"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s="1">
        <v>140.80000000000001</v>
      </c>
      <c r="F1827" s="2">
        <v>45724</v>
      </c>
      <c r="G1827" s="2">
        <v>45725</v>
      </c>
      <c r="H1827" s="1" t="s">
        <v>27</v>
      </c>
      <c r="I1827" s="1" t="s">
        <v>40</v>
      </c>
      <c r="J1827" s="1">
        <v>5</v>
      </c>
      <c r="K1827" s="1" t="s">
        <v>19</v>
      </c>
      <c r="L1827" s="1" t="s">
        <v>33</v>
      </c>
      <c r="M1827" s="1">
        <f>orders[[#This Row],[Ship Date]]-orders[[#This Row],[Order Date]]</f>
        <v>1</v>
      </c>
      <c r="N1827" s="1">
        <f>WEEKNUM(orders[[#This Row],[Order Date]])</f>
        <v>10</v>
      </c>
      <c r="O1827" s="1"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s="1">
        <v>207.60000000000002</v>
      </c>
      <c r="F1828" s="2">
        <v>45724</v>
      </c>
      <c r="G1828" s="2">
        <v>45725</v>
      </c>
      <c r="H1828" s="1" t="s">
        <v>17</v>
      </c>
      <c r="I1828" s="1" t="s">
        <v>18</v>
      </c>
      <c r="J1828" s="1">
        <v>3</v>
      </c>
      <c r="K1828" s="1" t="s">
        <v>19</v>
      </c>
      <c r="L1828" s="1" t="s">
        <v>33</v>
      </c>
      <c r="M1828" s="1">
        <f>orders[[#This Row],[Ship Date]]-orders[[#This Row],[Order Date]]</f>
        <v>1</v>
      </c>
      <c r="N1828" s="1">
        <f>WEEKNUM(orders[[#This Row],[Order Date]])</f>
        <v>10</v>
      </c>
      <c r="O1828" s="1"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s="1">
        <v>21.3</v>
      </c>
      <c r="F1829" s="2">
        <v>45725</v>
      </c>
      <c r="G1829" s="2">
        <v>45726</v>
      </c>
      <c r="H1829" s="1" t="s">
        <v>23</v>
      </c>
      <c r="I1829" s="1" t="s">
        <v>40</v>
      </c>
      <c r="J1829" s="1">
        <v>3</v>
      </c>
      <c r="K1829" s="1" t="s">
        <v>19</v>
      </c>
      <c r="L1829" s="1" t="s">
        <v>33</v>
      </c>
      <c r="M1829" s="1">
        <f>orders[[#This Row],[Ship Date]]-orders[[#This Row],[Order Date]]</f>
        <v>1</v>
      </c>
      <c r="N1829" s="1">
        <f>WEEKNUM(orders[[#This Row],[Order Date]])</f>
        <v>11</v>
      </c>
      <c r="O1829" s="1"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s="1">
        <v>273</v>
      </c>
      <c r="F1830" s="2">
        <v>45725</v>
      </c>
      <c r="G1830" s="2">
        <v>45731</v>
      </c>
      <c r="H1830" s="1" t="s">
        <v>27</v>
      </c>
      <c r="I1830" s="1" t="s">
        <v>18</v>
      </c>
      <c r="J1830" s="1">
        <v>4</v>
      </c>
      <c r="K1830" s="1" t="s">
        <v>19</v>
      </c>
      <c r="L1830" s="1" t="s">
        <v>364</v>
      </c>
      <c r="M1830" s="1">
        <f>orders[[#This Row],[Ship Date]]-orders[[#This Row],[Order Date]]</f>
        <v>6</v>
      </c>
      <c r="N1830" s="1">
        <f>WEEKNUM(orders[[#This Row],[Order Date]])</f>
        <v>11</v>
      </c>
      <c r="O1830" s="1"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s="1">
        <v>214.9</v>
      </c>
      <c r="F1831" s="2">
        <v>45725</v>
      </c>
      <c r="G1831" s="2">
        <v>45726</v>
      </c>
      <c r="H1831" s="1" t="s">
        <v>23</v>
      </c>
      <c r="I1831" s="1" t="s">
        <v>40</v>
      </c>
      <c r="J1831" s="1">
        <v>5</v>
      </c>
      <c r="K1831" s="1" t="s">
        <v>19</v>
      </c>
      <c r="L1831" s="1" t="s">
        <v>188</v>
      </c>
      <c r="M1831" s="1">
        <f>orders[[#This Row],[Ship Date]]-orders[[#This Row],[Order Date]]</f>
        <v>1</v>
      </c>
      <c r="N1831" s="1">
        <f>WEEKNUM(orders[[#This Row],[Order Date]])</f>
        <v>11</v>
      </c>
      <c r="O1831" s="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s="1">
        <v>123.2</v>
      </c>
      <c r="F1832" s="2">
        <v>45725</v>
      </c>
      <c r="G1832" s="2">
        <v>45726</v>
      </c>
      <c r="H1832" s="1" t="s">
        <v>27</v>
      </c>
      <c r="I1832" s="1" t="s">
        <v>40</v>
      </c>
      <c r="J1832" s="1">
        <v>5</v>
      </c>
      <c r="K1832" s="1" t="s">
        <v>19</v>
      </c>
      <c r="L1832" s="1" t="s">
        <v>158</v>
      </c>
      <c r="M1832" s="1">
        <f>orders[[#This Row],[Ship Date]]-orders[[#This Row],[Order Date]]</f>
        <v>1</v>
      </c>
      <c r="N1832" s="1">
        <f>WEEKNUM(orders[[#This Row],[Order Date]])</f>
        <v>11</v>
      </c>
      <c r="O1832" s="1"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s="1">
        <v>217.2</v>
      </c>
      <c r="F1833" s="2">
        <v>45725</v>
      </c>
      <c r="G1833" s="2">
        <v>45727</v>
      </c>
      <c r="H1833" s="1" t="s">
        <v>17</v>
      </c>
      <c r="I1833" s="1" t="s">
        <v>70</v>
      </c>
      <c r="J1833" s="1">
        <v>4</v>
      </c>
      <c r="K1833" s="1" t="s">
        <v>19</v>
      </c>
      <c r="L1833" s="1" t="s">
        <v>59</v>
      </c>
      <c r="M1833" s="1">
        <f>orders[[#This Row],[Ship Date]]-orders[[#This Row],[Order Date]]</f>
        <v>2</v>
      </c>
      <c r="N1833" s="1">
        <f>WEEKNUM(orders[[#This Row],[Order Date]])</f>
        <v>11</v>
      </c>
      <c r="O1833" s="1"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s="1">
        <v>88.2</v>
      </c>
      <c r="F1834" s="2">
        <v>45725</v>
      </c>
      <c r="G1834" s="2">
        <v>45737</v>
      </c>
      <c r="H1834" s="1" t="s">
        <v>27</v>
      </c>
      <c r="I1834" s="1" t="s">
        <v>18</v>
      </c>
      <c r="J1834" s="1">
        <v>5</v>
      </c>
      <c r="K1834" s="1" t="s">
        <v>19</v>
      </c>
      <c r="L1834" s="1" t="s">
        <v>62</v>
      </c>
      <c r="M1834" s="1">
        <f>orders[[#This Row],[Ship Date]]-orders[[#This Row],[Order Date]]</f>
        <v>12</v>
      </c>
      <c r="N1834" s="1">
        <f>WEEKNUM(orders[[#This Row],[Order Date]])</f>
        <v>11</v>
      </c>
      <c r="O1834" s="1"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s="1">
        <v>174</v>
      </c>
      <c r="F1835" s="2">
        <v>45725</v>
      </c>
      <c r="G1835" s="2">
        <v>45731</v>
      </c>
      <c r="H1835" s="1" t="s">
        <v>23</v>
      </c>
      <c r="I1835" s="1" t="s">
        <v>51</v>
      </c>
      <c r="J1835" s="1">
        <v>4</v>
      </c>
      <c r="K1835" s="1" t="s">
        <v>19</v>
      </c>
      <c r="L1835" s="1" t="s">
        <v>62</v>
      </c>
      <c r="M1835" s="1">
        <f>orders[[#This Row],[Ship Date]]-orders[[#This Row],[Order Date]]</f>
        <v>6</v>
      </c>
      <c r="N1835" s="1">
        <f>WEEKNUM(orders[[#This Row],[Order Date]])</f>
        <v>11</v>
      </c>
      <c r="O1835" s="1"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s="1">
        <v>144.60000000000002</v>
      </c>
      <c r="F1836" s="2">
        <v>45725</v>
      </c>
      <c r="G1836" s="2">
        <v>45729</v>
      </c>
      <c r="H1836" s="1" t="s">
        <v>23</v>
      </c>
      <c r="I1836" s="1" t="s">
        <v>51</v>
      </c>
      <c r="J1836" s="1">
        <v>3</v>
      </c>
      <c r="K1836" s="1" t="s">
        <v>19</v>
      </c>
      <c r="L1836" s="1" t="s">
        <v>62</v>
      </c>
      <c r="M1836" s="1">
        <f>orders[[#This Row],[Ship Date]]-orders[[#This Row],[Order Date]]</f>
        <v>4</v>
      </c>
      <c r="N1836" s="1">
        <f>WEEKNUM(orders[[#This Row],[Order Date]])</f>
        <v>11</v>
      </c>
      <c r="O1836" s="1"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s="1">
        <v>13.7</v>
      </c>
      <c r="F1837" s="2">
        <v>45725</v>
      </c>
      <c r="G1837" s="2">
        <v>45726</v>
      </c>
      <c r="H1837" s="1" t="s">
        <v>27</v>
      </c>
      <c r="I1837" s="1" t="s">
        <v>40</v>
      </c>
      <c r="J1837" s="1">
        <v>5</v>
      </c>
      <c r="K1837" s="1" t="s">
        <v>19</v>
      </c>
      <c r="L1837" s="1" t="s">
        <v>62</v>
      </c>
      <c r="M1837" s="1">
        <f>orders[[#This Row],[Ship Date]]-orders[[#This Row],[Order Date]]</f>
        <v>1</v>
      </c>
      <c r="N1837" s="1">
        <f>WEEKNUM(orders[[#This Row],[Order Date]])</f>
        <v>11</v>
      </c>
      <c r="O1837" s="1"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s="1">
        <v>221</v>
      </c>
      <c r="F1838" s="2">
        <v>45725</v>
      </c>
      <c r="G1838" s="2">
        <v>45726</v>
      </c>
      <c r="H1838" s="1" t="s">
        <v>27</v>
      </c>
      <c r="I1838" s="1" t="s">
        <v>18</v>
      </c>
      <c r="J1838" s="1">
        <v>3</v>
      </c>
      <c r="K1838" s="1" t="s">
        <v>19</v>
      </c>
      <c r="L1838" s="1" t="s">
        <v>62</v>
      </c>
      <c r="M1838" s="1">
        <f>orders[[#This Row],[Ship Date]]-orders[[#This Row],[Order Date]]</f>
        <v>1</v>
      </c>
      <c r="N1838" s="1">
        <f>WEEKNUM(orders[[#This Row],[Order Date]])</f>
        <v>11</v>
      </c>
      <c r="O1838" s="1"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s="1">
        <v>78</v>
      </c>
      <c r="F1839" s="2">
        <v>45725</v>
      </c>
      <c r="G1839" s="2">
        <v>45730</v>
      </c>
      <c r="H1839" s="1" t="s">
        <v>27</v>
      </c>
      <c r="I1839" s="1" t="s">
        <v>35</v>
      </c>
      <c r="J1839" s="1">
        <v>3</v>
      </c>
      <c r="K1839" s="1" t="s">
        <v>19</v>
      </c>
      <c r="L1839" s="1" t="s">
        <v>62</v>
      </c>
      <c r="M1839" s="1">
        <f>orders[[#This Row],[Ship Date]]-orders[[#This Row],[Order Date]]</f>
        <v>5</v>
      </c>
      <c r="N1839" s="1">
        <f>WEEKNUM(orders[[#This Row],[Order Date]])</f>
        <v>11</v>
      </c>
      <c r="O1839" s="1"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s="1">
        <v>1407</v>
      </c>
      <c r="F1840" s="2">
        <v>45725</v>
      </c>
      <c r="G1840" s="2">
        <v>45731</v>
      </c>
      <c r="H1840" s="1" t="s">
        <v>23</v>
      </c>
      <c r="I1840" s="1" t="s">
        <v>51</v>
      </c>
      <c r="J1840" s="1">
        <v>3</v>
      </c>
      <c r="K1840" s="1" t="s">
        <v>19</v>
      </c>
      <c r="L1840" s="1" t="s">
        <v>62</v>
      </c>
      <c r="M1840" s="1">
        <f>orders[[#This Row],[Ship Date]]-orders[[#This Row],[Order Date]]</f>
        <v>6</v>
      </c>
      <c r="N1840" s="1">
        <f>WEEKNUM(orders[[#This Row],[Order Date]])</f>
        <v>11</v>
      </c>
      <c r="O1840" s="1"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s="1">
        <v>83.4</v>
      </c>
      <c r="F1841" s="2">
        <v>45725</v>
      </c>
      <c r="G1841" s="2">
        <v>45733</v>
      </c>
      <c r="H1841" s="1" t="s">
        <v>27</v>
      </c>
      <c r="I1841" s="1" t="s">
        <v>18</v>
      </c>
      <c r="J1841" s="1">
        <v>2</v>
      </c>
      <c r="K1841" s="1" t="s">
        <v>19</v>
      </c>
      <c r="L1841" s="1" t="s">
        <v>62</v>
      </c>
      <c r="M1841" s="1">
        <f>orders[[#This Row],[Ship Date]]-orders[[#This Row],[Order Date]]</f>
        <v>8</v>
      </c>
      <c r="N1841" s="1">
        <f>WEEKNUM(orders[[#This Row],[Order Date]])</f>
        <v>11</v>
      </c>
      <c r="O1841" s="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s="1">
        <v>270.2</v>
      </c>
      <c r="F1842" s="2">
        <v>45725</v>
      </c>
      <c r="G1842" s="2">
        <v>45726</v>
      </c>
      <c r="H1842" s="1" t="s">
        <v>23</v>
      </c>
      <c r="I1842" s="1" t="s">
        <v>18</v>
      </c>
      <c r="J1842" s="1">
        <v>5</v>
      </c>
      <c r="K1842" s="1" t="s">
        <v>19</v>
      </c>
      <c r="L1842" s="1" t="s">
        <v>103</v>
      </c>
      <c r="M1842" s="1">
        <f>orders[[#This Row],[Ship Date]]-orders[[#This Row],[Order Date]]</f>
        <v>1</v>
      </c>
      <c r="N1842" s="1">
        <f>WEEKNUM(orders[[#This Row],[Order Date]])</f>
        <v>11</v>
      </c>
      <c r="O1842" s="1"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s="1">
        <v>2101</v>
      </c>
      <c r="F1843" s="2">
        <v>45725</v>
      </c>
      <c r="G1843" s="2">
        <v>45726</v>
      </c>
      <c r="H1843" s="1" t="s">
        <v>27</v>
      </c>
      <c r="I1843" s="1" t="s">
        <v>70</v>
      </c>
      <c r="J1843" s="1">
        <v>2</v>
      </c>
      <c r="K1843" s="1" t="s">
        <v>19</v>
      </c>
      <c r="L1843" s="1" t="s">
        <v>201</v>
      </c>
      <c r="M1843" s="1">
        <f>orders[[#This Row],[Ship Date]]-orders[[#This Row],[Order Date]]</f>
        <v>1</v>
      </c>
      <c r="N1843" s="1">
        <f>WEEKNUM(orders[[#This Row],[Order Date]])</f>
        <v>11</v>
      </c>
      <c r="O1843" s="1"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s="1">
        <v>25.5</v>
      </c>
      <c r="F1844" s="2">
        <v>45725</v>
      </c>
      <c r="G1844" s="2">
        <v>45728</v>
      </c>
      <c r="H1844" s="1" t="s">
        <v>17</v>
      </c>
      <c r="I1844" s="1" t="s">
        <v>40</v>
      </c>
      <c r="J1844" s="1">
        <v>5</v>
      </c>
      <c r="K1844" s="1" t="s">
        <v>19</v>
      </c>
      <c r="L1844" s="1" t="s">
        <v>77</v>
      </c>
      <c r="M1844" s="1">
        <f>orders[[#This Row],[Ship Date]]-orders[[#This Row],[Order Date]]</f>
        <v>3</v>
      </c>
      <c r="N1844" s="1">
        <f>WEEKNUM(orders[[#This Row],[Order Date]])</f>
        <v>11</v>
      </c>
      <c r="O1844" s="1"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s="1">
        <v>42.6</v>
      </c>
      <c r="F1845" s="2">
        <v>45725</v>
      </c>
      <c r="G1845" s="2">
        <v>45729</v>
      </c>
      <c r="H1845" s="1" t="s">
        <v>27</v>
      </c>
      <c r="I1845" s="1" t="s">
        <v>18</v>
      </c>
      <c r="J1845" s="1">
        <v>4</v>
      </c>
      <c r="K1845" s="1" t="s">
        <v>19</v>
      </c>
      <c r="L1845" s="1" t="s">
        <v>77</v>
      </c>
      <c r="M1845" s="1">
        <f>orders[[#This Row],[Ship Date]]-orders[[#This Row],[Order Date]]</f>
        <v>4</v>
      </c>
      <c r="N1845" s="1">
        <f>WEEKNUM(orders[[#This Row],[Order Date]])</f>
        <v>11</v>
      </c>
      <c r="O1845" s="1"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s="1">
        <v>486</v>
      </c>
      <c r="F1846" s="2">
        <v>45725</v>
      </c>
      <c r="G1846" s="2">
        <v>45726</v>
      </c>
      <c r="H1846" s="1" t="s">
        <v>23</v>
      </c>
      <c r="I1846" s="1" t="s">
        <v>35</v>
      </c>
      <c r="J1846" s="1">
        <v>3</v>
      </c>
      <c r="K1846" s="1" t="s">
        <v>19</v>
      </c>
      <c r="L1846" s="1" t="s">
        <v>77</v>
      </c>
      <c r="M1846" s="1">
        <f>orders[[#This Row],[Ship Date]]-orders[[#This Row],[Order Date]]</f>
        <v>1</v>
      </c>
      <c r="N1846" s="1">
        <f>WEEKNUM(orders[[#This Row],[Order Date]])</f>
        <v>11</v>
      </c>
      <c r="O1846" s="1"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s="1">
        <v>80.8</v>
      </c>
      <c r="F1847" s="2">
        <v>45725</v>
      </c>
      <c r="G1847" s="2">
        <v>45726</v>
      </c>
      <c r="H1847" s="1" t="s">
        <v>89</v>
      </c>
      <c r="I1847" s="1" t="s">
        <v>40</v>
      </c>
      <c r="J1847" s="1">
        <v>4</v>
      </c>
      <c r="K1847" s="1" t="s">
        <v>19</v>
      </c>
      <c r="L1847" s="1" t="s">
        <v>77</v>
      </c>
      <c r="M1847" s="1">
        <f>orders[[#This Row],[Ship Date]]-orders[[#This Row],[Order Date]]</f>
        <v>1</v>
      </c>
      <c r="N1847" s="1">
        <f>WEEKNUM(orders[[#This Row],[Order Date]])</f>
        <v>11</v>
      </c>
      <c r="O1847" s="1"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s="1">
        <v>157.5</v>
      </c>
      <c r="F1848" s="2">
        <v>45725</v>
      </c>
      <c r="G1848" s="2">
        <v>45730</v>
      </c>
      <c r="H1848" s="1" t="s">
        <v>27</v>
      </c>
      <c r="I1848" s="1" t="s">
        <v>70</v>
      </c>
      <c r="J1848" s="1">
        <v>4</v>
      </c>
      <c r="K1848" s="1" t="s">
        <v>19</v>
      </c>
      <c r="L1848" s="1" t="s">
        <v>108</v>
      </c>
      <c r="M1848" s="1">
        <f>orders[[#This Row],[Ship Date]]-orders[[#This Row],[Order Date]]</f>
        <v>5</v>
      </c>
      <c r="N1848" s="1">
        <f>WEEKNUM(orders[[#This Row],[Order Date]])</f>
        <v>11</v>
      </c>
      <c r="O1848" s="1"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s="1">
        <v>299.5</v>
      </c>
      <c r="F1849" s="2">
        <v>45725</v>
      </c>
      <c r="G1849" s="2">
        <v>45727</v>
      </c>
      <c r="H1849" s="1" t="s">
        <v>27</v>
      </c>
      <c r="I1849" s="1" t="s">
        <v>40</v>
      </c>
      <c r="J1849" s="1">
        <v>4</v>
      </c>
      <c r="K1849" s="1" t="s">
        <v>19</v>
      </c>
      <c r="L1849" s="1" t="s">
        <v>110</v>
      </c>
      <c r="M1849" s="1">
        <f>orders[[#This Row],[Ship Date]]-orders[[#This Row],[Order Date]]</f>
        <v>2</v>
      </c>
      <c r="N1849" s="1">
        <f>WEEKNUM(orders[[#This Row],[Order Date]])</f>
        <v>11</v>
      </c>
      <c r="O1849" s="1"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s="1">
        <v>106.4</v>
      </c>
      <c r="F1850" s="2">
        <v>45725</v>
      </c>
      <c r="G1850" s="2">
        <v>45726</v>
      </c>
      <c r="H1850" s="1" t="s">
        <v>27</v>
      </c>
      <c r="I1850" s="1" t="s">
        <v>35</v>
      </c>
      <c r="J1850" s="1">
        <v>1</v>
      </c>
      <c r="K1850" s="1" t="s">
        <v>19</v>
      </c>
      <c r="L1850" s="1" t="s">
        <v>113</v>
      </c>
      <c r="M1850" s="1">
        <f>orders[[#This Row],[Ship Date]]-orders[[#This Row],[Order Date]]</f>
        <v>1</v>
      </c>
      <c r="N1850" s="1">
        <f>WEEKNUM(orders[[#This Row],[Order Date]])</f>
        <v>11</v>
      </c>
      <c r="O1850" s="1"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s="1">
        <v>120</v>
      </c>
      <c r="F1851" s="2">
        <v>45725</v>
      </c>
      <c r="G1851" s="2">
        <v>45731</v>
      </c>
      <c r="H1851" s="1" t="s">
        <v>23</v>
      </c>
      <c r="I1851" s="1" t="s">
        <v>35</v>
      </c>
      <c r="J1851" s="1">
        <v>5</v>
      </c>
      <c r="K1851" s="1" t="s">
        <v>19</v>
      </c>
      <c r="L1851" s="1" t="s">
        <v>113</v>
      </c>
      <c r="M1851" s="1">
        <f>orders[[#This Row],[Ship Date]]-orders[[#This Row],[Order Date]]</f>
        <v>6</v>
      </c>
      <c r="N1851" s="1">
        <f>WEEKNUM(orders[[#This Row],[Order Date]])</f>
        <v>11</v>
      </c>
      <c r="O1851" s="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s="1">
        <v>87.9</v>
      </c>
      <c r="F1852" s="2">
        <v>45725</v>
      </c>
      <c r="G1852" s="2">
        <v>45726</v>
      </c>
      <c r="H1852" s="1" t="s">
        <v>27</v>
      </c>
      <c r="I1852" s="1" t="s">
        <v>70</v>
      </c>
      <c r="J1852" s="1">
        <v>4</v>
      </c>
      <c r="K1852" s="1" t="s">
        <v>19</v>
      </c>
      <c r="L1852" s="1" t="s">
        <v>82</v>
      </c>
      <c r="M1852" s="1">
        <f>orders[[#This Row],[Ship Date]]-orders[[#This Row],[Order Date]]</f>
        <v>1</v>
      </c>
      <c r="N1852" s="1">
        <f>WEEKNUM(orders[[#This Row],[Order Date]])</f>
        <v>11</v>
      </c>
      <c r="O1852" s="1"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s="1">
        <v>110.8</v>
      </c>
      <c r="F1853" s="2">
        <v>45725</v>
      </c>
      <c r="G1853" s="2">
        <v>45726</v>
      </c>
      <c r="H1853" s="1" t="s">
        <v>27</v>
      </c>
      <c r="I1853" s="1" t="s">
        <v>18</v>
      </c>
      <c r="J1853" s="1">
        <v>5</v>
      </c>
      <c r="K1853" s="1" t="s">
        <v>19</v>
      </c>
      <c r="L1853" s="1" t="s">
        <v>115</v>
      </c>
      <c r="M1853" s="1">
        <f>orders[[#This Row],[Ship Date]]-orders[[#This Row],[Order Date]]</f>
        <v>1</v>
      </c>
      <c r="N1853" s="1">
        <f>WEEKNUM(orders[[#This Row],[Order Date]])</f>
        <v>11</v>
      </c>
      <c r="O1853" s="1"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s="1">
        <v>100.5</v>
      </c>
      <c r="F1854" s="2">
        <v>45725</v>
      </c>
      <c r="G1854" s="2">
        <v>45727</v>
      </c>
      <c r="H1854" s="1" t="s">
        <v>27</v>
      </c>
      <c r="I1854" s="1" t="s">
        <v>35</v>
      </c>
      <c r="J1854" s="1">
        <v>5</v>
      </c>
      <c r="K1854" s="1" t="s">
        <v>19</v>
      </c>
      <c r="L1854" s="1" t="s">
        <v>115</v>
      </c>
      <c r="M1854" s="1">
        <f>orders[[#This Row],[Ship Date]]-orders[[#This Row],[Order Date]]</f>
        <v>2</v>
      </c>
      <c r="N1854" s="1">
        <f>WEEKNUM(orders[[#This Row],[Order Date]])</f>
        <v>11</v>
      </c>
      <c r="O1854" s="1"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s="1">
        <v>120</v>
      </c>
      <c r="F1855" s="2">
        <v>45725</v>
      </c>
      <c r="G1855" s="2">
        <v>45728</v>
      </c>
      <c r="H1855" s="1" t="s">
        <v>23</v>
      </c>
      <c r="I1855" s="1" t="s">
        <v>40</v>
      </c>
      <c r="J1855" s="1">
        <v>4</v>
      </c>
      <c r="K1855" s="1" t="s">
        <v>19</v>
      </c>
      <c r="L1855" s="1" t="s">
        <v>24</v>
      </c>
      <c r="M1855" s="1">
        <f>orders[[#This Row],[Ship Date]]-orders[[#This Row],[Order Date]]</f>
        <v>3</v>
      </c>
      <c r="N1855" s="1">
        <f>WEEKNUM(orders[[#This Row],[Order Date]])</f>
        <v>11</v>
      </c>
      <c r="O1855" s="1"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s="1">
        <v>61.2</v>
      </c>
      <c r="F1856" s="2">
        <v>45726</v>
      </c>
      <c r="G1856" s="2">
        <v>45728</v>
      </c>
      <c r="H1856" s="1" t="s">
        <v>27</v>
      </c>
      <c r="I1856" s="1" t="s">
        <v>18</v>
      </c>
      <c r="J1856" s="1">
        <v>4</v>
      </c>
      <c r="K1856" s="1" t="s">
        <v>19</v>
      </c>
      <c r="L1856" s="1" t="s">
        <v>24</v>
      </c>
      <c r="M1856" s="1">
        <f>orders[[#This Row],[Ship Date]]-orders[[#This Row],[Order Date]]</f>
        <v>2</v>
      </c>
      <c r="N1856" s="1">
        <f>WEEKNUM(orders[[#This Row],[Order Date]])</f>
        <v>11</v>
      </c>
      <c r="O1856" s="1"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s="1">
        <v>165</v>
      </c>
      <c r="F1857" s="2">
        <v>45726</v>
      </c>
      <c r="G1857" s="2">
        <v>45727</v>
      </c>
      <c r="H1857" s="1" t="s">
        <v>23</v>
      </c>
      <c r="I1857" s="1" t="s">
        <v>35</v>
      </c>
      <c r="J1857" s="1">
        <v>3</v>
      </c>
      <c r="K1857" s="1" t="s">
        <v>19</v>
      </c>
      <c r="L1857" s="1" t="s">
        <v>208</v>
      </c>
      <c r="M1857" s="1">
        <f>orders[[#This Row],[Ship Date]]-orders[[#This Row],[Order Date]]</f>
        <v>1</v>
      </c>
      <c r="N1857" s="1">
        <f>WEEKNUM(orders[[#This Row],[Order Date]])</f>
        <v>11</v>
      </c>
      <c r="O1857" s="1"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s="1">
        <v>378.90000000000003</v>
      </c>
      <c r="F1858" s="2">
        <v>45726</v>
      </c>
      <c r="G1858" s="2">
        <v>45732</v>
      </c>
      <c r="H1858" s="1" t="s">
        <v>27</v>
      </c>
      <c r="I1858" s="1" t="s">
        <v>40</v>
      </c>
      <c r="J1858" s="1">
        <v>4</v>
      </c>
      <c r="K1858" s="1" t="s">
        <v>19</v>
      </c>
      <c r="L1858" s="1" t="s">
        <v>587</v>
      </c>
      <c r="M1858" s="1">
        <f>orders[[#This Row],[Ship Date]]-orders[[#This Row],[Order Date]]</f>
        <v>6</v>
      </c>
      <c r="N1858" s="1">
        <f>WEEKNUM(orders[[#This Row],[Order Date]])</f>
        <v>11</v>
      </c>
      <c r="O1858" s="1"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s="1">
        <v>543.9</v>
      </c>
      <c r="F1859" s="2">
        <v>45726</v>
      </c>
      <c r="G1859" s="2">
        <v>45731</v>
      </c>
      <c r="H1859" s="1" t="s">
        <v>27</v>
      </c>
      <c r="I1859" s="1" t="s">
        <v>35</v>
      </c>
      <c r="J1859" s="1">
        <v>5</v>
      </c>
      <c r="K1859" s="1" t="s">
        <v>19</v>
      </c>
      <c r="L1859" s="1" t="s">
        <v>949</v>
      </c>
      <c r="M1859" s="1">
        <f>orders[[#This Row],[Ship Date]]-orders[[#This Row],[Order Date]]</f>
        <v>5</v>
      </c>
      <c r="N1859" s="1">
        <f>WEEKNUM(orders[[#This Row],[Order Date]])</f>
        <v>11</v>
      </c>
      <c r="O1859" s="1"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s="1">
        <v>136.19999999999999</v>
      </c>
      <c r="F1860" s="2">
        <v>45726</v>
      </c>
      <c r="G1860" s="2">
        <v>45729</v>
      </c>
      <c r="H1860" s="1" t="s">
        <v>27</v>
      </c>
      <c r="I1860" s="1" t="s">
        <v>40</v>
      </c>
      <c r="J1860" s="1">
        <v>4</v>
      </c>
      <c r="K1860" s="1" t="s">
        <v>19</v>
      </c>
      <c r="L1860" s="1" t="s">
        <v>33</v>
      </c>
      <c r="M1860" s="1">
        <f>orders[[#This Row],[Ship Date]]-orders[[#This Row],[Order Date]]</f>
        <v>3</v>
      </c>
      <c r="N1860" s="1">
        <f>WEEKNUM(orders[[#This Row],[Order Date]])</f>
        <v>11</v>
      </c>
      <c r="O1860" s="1"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s="1">
        <v>266</v>
      </c>
      <c r="F1861" s="2">
        <v>45726</v>
      </c>
      <c r="G1861" s="2">
        <v>45726</v>
      </c>
      <c r="H1861" s="1" t="s">
        <v>23</v>
      </c>
      <c r="I1861" s="1" t="s">
        <v>40</v>
      </c>
      <c r="J1861" s="1">
        <v>5</v>
      </c>
      <c r="K1861" s="1" t="s">
        <v>19</v>
      </c>
      <c r="L1861" s="1" t="s">
        <v>33</v>
      </c>
      <c r="M1861" s="1">
        <f>orders[[#This Row],[Ship Date]]-orders[[#This Row],[Order Date]]</f>
        <v>0</v>
      </c>
      <c r="N1861" s="1">
        <f>WEEKNUM(orders[[#This Row],[Order Date]])</f>
        <v>11</v>
      </c>
      <c r="O1861" s="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s="1">
        <v>46.6</v>
      </c>
      <c r="F1862" s="2">
        <v>45726</v>
      </c>
      <c r="G1862" s="2">
        <v>45727</v>
      </c>
      <c r="H1862" s="1" t="s">
        <v>23</v>
      </c>
      <c r="I1862" s="1" t="s">
        <v>35</v>
      </c>
      <c r="J1862" s="1">
        <v>5</v>
      </c>
      <c r="K1862" s="1" t="s">
        <v>19</v>
      </c>
      <c r="L1862" s="1" t="s">
        <v>33</v>
      </c>
      <c r="M1862" s="1">
        <f>orders[[#This Row],[Ship Date]]-orders[[#This Row],[Order Date]]</f>
        <v>1</v>
      </c>
      <c r="N1862" s="1">
        <f>WEEKNUM(orders[[#This Row],[Order Date]])</f>
        <v>11</v>
      </c>
      <c r="O1862" s="1"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s="1">
        <v>62.099999999999994</v>
      </c>
      <c r="F1863" s="2">
        <v>45726</v>
      </c>
      <c r="G1863" s="2">
        <v>45728</v>
      </c>
      <c r="H1863" s="1" t="s">
        <v>89</v>
      </c>
      <c r="I1863" s="1" t="s">
        <v>18</v>
      </c>
      <c r="J1863" s="1">
        <v>5</v>
      </c>
      <c r="K1863" s="1" t="s">
        <v>19</v>
      </c>
      <c r="L1863" s="1" t="s">
        <v>33</v>
      </c>
      <c r="M1863" s="1">
        <f>orders[[#This Row],[Ship Date]]-orders[[#This Row],[Order Date]]</f>
        <v>2</v>
      </c>
      <c r="N1863" s="1">
        <f>WEEKNUM(orders[[#This Row],[Order Date]])</f>
        <v>11</v>
      </c>
      <c r="O1863" s="1"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s="1">
        <v>94</v>
      </c>
      <c r="F1864" s="2">
        <v>45726</v>
      </c>
      <c r="G1864" s="2">
        <v>45727</v>
      </c>
      <c r="H1864" s="1" t="s">
        <v>23</v>
      </c>
      <c r="I1864" s="1" t="s">
        <v>35</v>
      </c>
      <c r="J1864" s="1">
        <v>5</v>
      </c>
      <c r="K1864" s="1" t="s">
        <v>19</v>
      </c>
      <c r="L1864" s="1" t="s">
        <v>33</v>
      </c>
      <c r="M1864" s="1">
        <f>orders[[#This Row],[Ship Date]]-orders[[#This Row],[Order Date]]</f>
        <v>1</v>
      </c>
      <c r="N1864" s="1">
        <f>WEEKNUM(orders[[#This Row],[Order Date]])</f>
        <v>11</v>
      </c>
      <c r="O1864" s="1"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s="1">
        <v>114.60000000000001</v>
      </c>
      <c r="F1865" s="2">
        <v>45726</v>
      </c>
      <c r="G1865" s="2">
        <v>45728</v>
      </c>
      <c r="H1865" s="1" t="s">
        <v>27</v>
      </c>
      <c r="I1865" s="1" t="s">
        <v>40</v>
      </c>
      <c r="J1865" s="1">
        <v>2</v>
      </c>
      <c r="K1865" s="1" t="s">
        <v>19</v>
      </c>
      <c r="L1865" s="1" t="s">
        <v>33</v>
      </c>
      <c r="M1865" s="1">
        <f>orders[[#This Row],[Ship Date]]-orders[[#This Row],[Order Date]]</f>
        <v>2</v>
      </c>
      <c r="N1865" s="1">
        <f>WEEKNUM(orders[[#This Row],[Order Date]])</f>
        <v>11</v>
      </c>
      <c r="O1865" s="1"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s="1">
        <v>39.1</v>
      </c>
      <c r="F1866" s="2">
        <v>45726</v>
      </c>
      <c r="G1866" s="2">
        <v>45728</v>
      </c>
      <c r="H1866" s="1" t="s">
        <v>27</v>
      </c>
      <c r="I1866" s="1" t="s">
        <v>18</v>
      </c>
      <c r="J1866" s="1">
        <v>4</v>
      </c>
      <c r="K1866" s="1" t="s">
        <v>19</v>
      </c>
      <c r="L1866" s="1" t="s">
        <v>33</v>
      </c>
      <c r="M1866" s="1">
        <f>orders[[#This Row],[Ship Date]]-orders[[#This Row],[Order Date]]</f>
        <v>2</v>
      </c>
      <c r="N1866" s="1">
        <f>WEEKNUM(orders[[#This Row],[Order Date]])</f>
        <v>11</v>
      </c>
      <c r="O1866" s="1"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s="1">
        <v>1390</v>
      </c>
      <c r="F1867" s="2">
        <v>45726</v>
      </c>
      <c r="G1867" s="2">
        <v>45728</v>
      </c>
      <c r="H1867" s="1" t="s">
        <v>23</v>
      </c>
      <c r="I1867" s="1" t="s">
        <v>18</v>
      </c>
      <c r="J1867" s="1">
        <v>5</v>
      </c>
      <c r="K1867" s="1" t="s">
        <v>19</v>
      </c>
      <c r="L1867" s="1" t="s">
        <v>33</v>
      </c>
      <c r="M1867" s="1">
        <f>orders[[#This Row],[Ship Date]]-orders[[#This Row],[Order Date]]</f>
        <v>2</v>
      </c>
      <c r="N1867" s="1">
        <f>WEEKNUM(orders[[#This Row],[Order Date]])</f>
        <v>11</v>
      </c>
      <c r="O1867" s="1"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s="1">
        <v>43.1</v>
      </c>
      <c r="F1868" s="2">
        <v>45726</v>
      </c>
      <c r="G1868" s="2">
        <v>45726</v>
      </c>
      <c r="H1868" s="1" t="s">
        <v>89</v>
      </c>
      <c r="I1868" s="1" t="s">
        <v>35</v>
      </c>
      <c r="J1868" s="1">
        <v>5</v>
      </c>
      <c r="K1868" s="1" t="s">
        <v>19</v>
      </c>
      <c r="L1868" s="1" t="s">
        <v>33</v>
      </c>
      <c r="M1868" s="1">
        <f>orders[[#This Row],[Ship Date]]-orders[[#This Row],[Order Date]]</f>
        <v>0</v>
      </c>
      <c r="N1868" s="1">
        <f>WEEKNUM(orders[[#This Row],[Order Date]])</f>
        <v>11</v>
      </c>
      <c r="O1868" s="1"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s="1">
        <v>192.4</v>
      </c>
      <c r="F1869" s="2">
        <v>45726</v>
      </c>
      <c r="G1869" s="2">
        <v>45727</v>
      </c>
      <c r="H1869" s="1" t="s">
        <v>27</v>
      </c>
      <c r="I1869" s="1" t="s">
        <v>70</v>
      </c>
      <c r="J1869" s="1">
        <v>5</v>
      </c>
      <c r="K1869" s="1" t="s">
        <v>19</v>
      </c>
      <c r="L1869" s="1" t="s">
        <v>33</v>
      </c>
      <c r="M1869" s="1">
        <f>orders[[#This Row],[Ship Date]]-orders[[#This Row],[Order Date]]</f>
        <v>1</v>
      </c>
      <c r="N1869" s="1">
        <f>WEEKNUM(orders[[#This Row],[Order Date]])</f>
        <v>11</v>
      </c>
      <c r="O1869" s="1"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s="1">
        <v>42</v>
      </c>
      <c r="F1870" s="2">
        <v>45726</v>
      </c>
      <c r="G1870" s="2">
        <v>45727</v>
      </c>
      <c r="H1870" s="1" t="s">
        <v>89</v>
      </c>
      <c r="I1870" s="1" t="s">
        <v>18</v>
      </c>
      <c r="J1870" s="1">
        <v>4</v>
      </c>
      <c r="K1870" s="1" t="s">
        <v>19</v>
      </c>
      <c r="L1870" s="1" t="s">
        <v>33</v>
      </c>
      <c r="M1870" s="1">
        <f>orders[[#This Row],[Ship Date]]-orders[[#This Row],[Order Date]]</f>
        <v>1</v>
      </c>
      <c r="N1870" s="1">
        <f>WEEKNUM(orders[[#This Row],[Order Date]])</f>
        <v>11</v>
      </c>
      <c r="O1870" s="1"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s="1">
        <v>91.5</v>
      </c>
      <c r="F1871" s="2">
        <v>45726</v>
      </c>
      <c r="G1871" s="2">
        <v>45726</v>
      </c>
      <c r="H1871" s="1" t="s">
        <v>27</v>
      </c>
      <c r="I1871" s="1" t="s">
        <v>40</v>
      </c>
      <c r="J1871" s="1">
        <v>4</v>
      </c>
      <c r="K1871" s="1" t="s">
        <v>19</v>
      </c>
      <c r="L1871" s="1" t="s">
        <v>33</v>
      </c>
      <c r="M1871" s="1">
        <f>orders[[#This Row],[Ship Date]]-orders[[#This Row],[Order Date]]</f>
        <v>0</v>
      </c>
      <c r="N1871" s="1">
        <f>WEEKNUM(orders[[#This Row],[Order Date]])</f>
        <v>11</v>
      </c>
      <c r="O1871" s="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s="1">
        <v>181.2</v>
      </c>
      <c r="F1872" s="2">
        <v>45726</v>
      </c>
      <c r="G1872" s="2">
        <v>45729</v>
      </c>
      <c r="H1872" s="1" t="s">
        <v>27</v>
      </c>
      <c r="I1872" s="1" t="s">
        <v>18</v>
      </c>
      <c r="J1872" s="1">
        <v>5</v>
      </c>
      <c r="K1872" s="1" t="s">
        <v>19</v>
      </c>
      <c r="L1872" s="1" t="s">
        <v>33</v>
      </c>
      <c r="M1872" s="1">
        <f>orders[[#This Row],[Ship Date]]-orders[[#This Row],[Order Date]]</f>
        <v>3</v>
      </c>
      <c r="N1872" s="1">
        <f>WEEKNUM(orders[[#This Row],[Order Date]])</f>
        <v>11</v>
      </c>
      <c r="O1872" s="1"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s="1">
        <v>55.2</v>
      </c>
      <c r="F1873" s="2">
        <v>45726</v>
      </c>
      <c r="G1873" s="2">
        <v>45728</v>
      </c>
      <c r="H1873" s="1" t="s">
        <v>23</v>
      </c>
      <c r="I1873" s="1" t="s">
        <v>18</v>
      </c>
      <c r="J1873" s="1">
        <v>5</v>
      </c>
      <c r="K1873" s="1" t="s">
        <v>19</v>
      </c>
      <c r="L1873" s="1" t="s">
        <v>364</v>
      </c>
      <c r="M1873" s="1">
        <f>orders[[#This Row],[Ship Date]]-orders[[#This Row],[Order Date]]</f>
        <v>2</v>
      </c>
      <c r="N1873" s="1">
        <f>WEEKNUM(orders[[#This Row],[Order Date]])</f>
        <v>11</v>
      </c>
      <c r="O1873" s="1"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s="1">
        <v>134.5</v>
      </c>
      <c r="F1874" s="2">
        <v>45726</v>
      </c>
      <c r="G1874" s="2">
        <v>45727</v>
      </c>
      <c r="H1874" s="1" t="s">
        <v>27</v>
      </c>
      <c r="I1874" s="1" t="s">
        <v>40</v>
      </c>
      <c r="J1874" s="1">
        <v>4</v>
      </c>
      <c r="K1874" s="1" t="s">
        <v>19</v>
      </c>
      <c r="L1874" s="1" t="s">
        <v>188</v>
      </c>
      <c r="M1874" s="1">
        <f>orders[[#This Row],[Ship Date]]-orders[[#This Row],[Order Date]]</f>
        <v>1</v>
      </c>
      <c r="N1874" s="1">
        <f>WEEKNUM(orders[[#This Row],[Order Date]])</f>
        <v>11</v>
      </c>
      <c r="O1874" s="1"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s="1">
        <v>741.6</v>
      </c>
      <c r="F1875" s="2">
        <v>45726</v>
      </c>
      <c r="G1875" s="2">
        <v>45728</v>
      </c>
      <c r="H1875" s="1" t="s">
        <v>89</v>
      </c>
      <c r="I1875" s="1" t="s">
        <v>40</v>
      </c>
      <c r="J1875" s="1">
        <v>4</v>
      </c>
      <c r="K1875" s="1" t="s">
        <v>19</v>
      </c>
      <c r="L1875" s="1" t="s">
        <v>52</v>
      </c>
      <c r="M1875" s="1">
        <f>orders[[#This Row],[Ship Date]]-orders[[#This Row],[Order Date]]</f>
        <v>2</v>
      </c>
      <c r="N1875" s="1">
        <f>WEEKNUM(orders[[#This Row],[Order Date]])</f>
        <v>11</v>
      </c>
      <c r="O1875" s="1"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s="1">
        <v>103.7</v>
      </c>
      <c r="F1876" s="2">
        <v>45726</v>
      </c>
      <c r="G1876" s="2">
        <v>45728</v>
      </c>
      <c r="H1876" s="1" t="s">
        <v>27</v>
      </c>
      <c r="I1876" s="1" t="s">
        <v>35</v>
      </c>
      <c r="J1876" s="1">
        <v>4</v>
      </c>
      <c r="K1876" s="1" t="s">
        <v>19</v>
      </c>
      <c r="L1876" s="1" t="s">
        <v>52</v>
      </c>
      <c r="M1876" s="1">
        <f>orders[[#This Row],[Ship Date]]-orders[[#This Row],[Order Date]]</f>
        <v>2</v>
      </c>
      <c r="N1876" s="1">
        <f>WEEKNUM(orders[[#This Row],[Order Date]])</f>
        <v>11</v>
      </c>
      <c r="O1876" s="1"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s="1">
        <v>117.6</v>
      </c>
      <c r="F1877" s="2">
        <v>45726</v>
      </c>
      <c r="G1877" s="2">
        <v>45731</v>
      </c>
      <c r="H1877" s="1" t="s">
        <v>27</v>
      </c>
      <c r="I1877" s="1" t="s">
        <v>35</v>
      </c>
      <c r="J1877" s="1">
        <v>5</v>
      </c>
      <c r="K1877" s="1" t="s">
        <v>19</v>
      </c>
      <c r="L1877" s="1" t="s">
        <v>55</v>
      </c>
      <c r="M1877" s="1">
        <f>orders[[#This Row],[Ship Date]]-orders[[#This Row],[Order Date]]</f>
        <v>5</v>
      </c>
      <c r="N1877" s="1">
        <f>WEEKNUM(orders[[#This Row],[Order Date]])</f>
        <v>11</v>
      </c>
      <c r="O1877" s="1"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s="1">
        <v>31.5</v>
      </c>
      <c r="F1878" s="2">
        <v>45726</v>
      </c>
      <c r="G1878" s="2">
        <v>45727</v>
      </c>
      <c r="H1878" s="1" t="s">
        <v>27</v>
      </c>
      <c r="I1878" s="1" t="s">
        <v>35</v>
      </c>
      <c r="J1878" s="1">
        <v>3</v>
      </c>
      <c r="K1878" s="1" t="s">
        <v>19</v>
      </c>
      <c r="L1878" s="1" t="s">
        <v>55</v>
      </c>
      <c r="M1878" s="1">
        <f>orders[[#This Row],[Ship Date]]-orders[[#This Row],[Order Date]]</f>
        <v>1</v>
      </c>
      <c r="N1878" s="1">
        <f>WEEKNUM(orders[[#This Row],[Order Date]])</f>
        <v>11</v>
      </c>
      <c r="O1878" s="1"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s="1">
        <v>184</v>
      </c>
      <c r="F1879" s="2">
        <v>45726</v>
      </c>
      <c r="G1879" s="2">
        <v>45728</v>
      </c>
      <c r="H1879" s="1" t="s">
        <v>27</v>
      </c>
      <c r="I1879" s="1" t="s">
        <v>18</v>
      </c>
      <c r="J1879" s="1">
        <v>4</v>
      </c>
      <c r="K1879" s="1" t="s">
        <v>19</v>
      </c>
      <c r="L1879" s="1" t="s">
        <v>62</v>
      </c>
      <c r="M1879" s="1">
        <f>orders[[#This Row],[Ship Date]]-orders[[#This Row],[Order Date]]</f>
        <v>2</v>
      </c>
      <c r="N1879" s="1">
        <f>WEEKNUM(orders[[#This Row],[Order Date]])</f>
        <v>11</v>
      </c>
      <c r="O1879" s="1"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s="1">
        <v>84.4</v>
      </c>
      <c r="F1880" s="2">
        <v>45726</v>
      </c>
      <c r="G1880" s="2">
        <v>45727</v>
      </c>
      <c r="H1880" s="1" t="s">
        <v>27</v>
      </c>
      <c r="I1880" s="1" t="s">
        <v>18</v>
      </c>
      <c r="J1880" s="1">
        <v>4</v>
      </c>
      <c r="K1880" s="1" t="s">
        <v>19</v>
      </c>
      <c r="L1880" s="1" t="s">
        <v>62</v>
      </c>
      <c r="M1880" s="1">
        <f>orders[[#This Row],[Ship Date]]-orders[[#This Row],[Order Date]]</f>
        <v>1</v>
      </c>
      <c r="N1880" s="1">
        <f>WEEKNUM(orders[[#This Row],[Order Date]])</f>
        <v>11</v>
      </c>
      <c r="O1880" s="1"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s="1">
        <v>44.7</v>
      </c>
      <c r="F1881" s="2">
        <v>45726</v>
      </c>
      <c r="G1881" s="2">
        <v>45727</v>
      </c>
      <c r="H1881" s="1" t="s">
        <v>23</v>
      </c>
      <c r="I1881" s="1" t="s">
        <v>18</v>
      </c>
      <c r="J1881" s="1">
        <v>3</v>
      </c>
      <c r="K1881" s="1" t="s">
        <v>19</v>
      </c>
      <c r="L1881" s="1" t="s">
        <v>62</v>
      </c>
      <c r="M1881" s="1">
        <f>orders[[#This Row],[Ship Date]]-orders[[#This Row],[Order Date]]</f>
        <v>1</v>
      </c>
      <c r="N1881" s="1">
        <f>WEEKNUM(orders[[#This Row],[Order Date]])</f>
        <v>11</v>
      </c>
      <c r="O1881" s="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s="1">
        <v>315.2</v>
      </c>
      <c r="F1882" s="2">
        <v>45726</v>
      </c>
      <c r="G1882" s="2">
        <v>45727</v>
      </c>
      <c r="H1882" s="1" t="s">
        <v>27</v>
      </c>
      <c r="I1882" s="1" t="s">
        <v>35</v>
      </c>
      <c r="J1882" s="1">
        <v>5</v>
      </c>
      <c r="K1882" s="1" t="s">
        <v>19</v>
      </c>
      <c r="L1882" s="1" t="s">
        <v>62</v>
      </c>
      <c r="M1882" s="1">
        <f>orders[[#This Row],[Ship Date]]-orders[[#This Row],[Order Date]]</f>
        <v>1</v>
      </c>
      <c r="N1882" s="1">
        <f>WEEKNUM(orders[[#This Row],[Order Date]])</f>
        <v>11</v>
      </c>
      <c r="O1882" s="1"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s="1">
        <v>139.6</v>
      </c>
      <c r="F1883" s="2">
        <v>45726</v>
      </c>
      <c r="G1883" s="2">
        <v>45728</v>
      </c>
      <c r="H1883" s="1" t="s">
        <v>27</v>
      </c>
      <c r="I1883" s="1" t="s">
        <v>18</v>
      </c>
      <c r="J1883" s="1">
        <v>5</v>
      </c>
      <c r="K1883" s="1" t="s">
        <v>19</v>
      </c>
      <c r="L1883" s="1" t="s">
        <v>62</v>
      </c>
      <c r="M1883" s="1">
        <f>orders[[#This Row],[Ship Date]]-orders[[#This Row],[Order Date]]</f>
        <v>2</v>
      </c>
      <c r="N1883" s="1">
        <f>WEEKNUM(orders[[#This Row],[Order Date]])</f>
        <v>11</v>
      </c>
      <c r="O1883" s="1"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s="1">
        <v>186.89999999999998</v>
      </c>
      <c r="F1884" s="2">
        <v>45726</v>
      </c>
      <c r="G1884" s="2">
        <v>45728</v>
      </c>
      <c r="H1884" s="1" t="s">
        <v>23</v>
      </c>
      <c r="I1884" s="1" t="s">
        <v>70</v>
      </c>
      <c r="J1884" s="1">
        <v>5</v>
      </c>
      <c r="K1884" s="1" t="s">
        <v>19</v>
      </c>
      <c r="L1884" s="1" t="s">
        <v>62</v>
      </c>
      <c r="M1884" s="1">
        <f>orders[[#This Row],[Ship Date]]-orders[[#This Row],[Order Date]]</f>
        <v>2</v>
      </c>
      <c r="N1884" s="1">
        <f>WEEKNUM(orders[[#This Row],[Order Date]])</f>
        <v>11</v>
      </c>
      <c r="O1884" s="1"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s="1">
        <v>84.4</v>
      </c>
      <c r="F1885" s="2">
        <v>45726</v>
      </c>
      <c r="G1885" s="2">
        <v>45729</v>
      </c>
      <c r="H1885" s="1" t="s">
        <v>23</v>
      </c>
      <c r="I1885" s="1" t="s">
        <v>51</v>
      </c>
      <c r="J1885" s="1">
        <v>4</v>
      </c>
      <c r="K1885" s="1" t="s">
        <v>19</v>
      </c>
      <c r="L1885" s="1" t="s">
        <v>62</v>
      </c>
      <c r="M1885" s="1">
        <f>orders[[#This Row],[Ship Date]]-orders[[#This Row],[Order Date]]</f>
        <v>3</v>
      </c>
      <c r="N1885" s="1">
        <f>WEEKNUM(orders[[#This Row],[Order Date]])</f>
        <v>11</v>
      </c>
      <c r="O1885" s="1"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s="1">
        <v>99.600000000000009</v>
      </c>
      <c r="F1886" s="2">
        <v>45726</v>
      </c>
      <c r="G1886" s="2">
        <v>45740</v>
      </c>
      <c r="H1886" s="1" t="s">
        <v>17</v>
      </c>
      <c r="I1886" s="1" t="s">
        <v>18</v>
      </c>
      <c r="J1886" s="1">
        <v>2</v>
      </c>
      <c r="K1886" s="1" t="s">
        <v>19</v>
      </c>
      <c r="L1886" s="1" t="s">
        <v>62</v>
      </c>
      <c r="M1886" s="1">
        <f>orders[[#This Row],[Ship Date]]-orders[[#This Row],[Order Date]]</f>
        <v>14</v>
      </c>
      <c r="N1886" s="1">
        <f>WEEKNUM(orders[[#This Row],[Order Date]])</f>
        <v>11</v>
      </c>
      <c r="O1886" s="1"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s="1">
        <v>298</v>
      </c>
      <c r="F1887" s="2">
        <v>45726</v>
      </c>
      <c r="G1887" s="2">
        <v>45727</v>
      </c>
      <c r="H1887" s="1" t="s">
        <v>23</v>
      </c>
      <c r="I1887" s="1" t="s">
        <v>70</v>
      </c>
      <c r="J1887" s="1">
        <v>4</v>
      </c>
      <c r="K1887" s="1" t="s">
        <v>19</v>
      </c>
      <c r="L1887" s="1" t="s">
        <v>62</v>
      </c>
      <c r="M1887" s="1">
        <f>orders[[#This Row],[Ship Date]]-orders[[#This Row],[Order Date]]</f>
        <v>1</v>
      </c>
      <c r="N1887" s="1">
        <f>WEEKNUM(orders[[#This Row],[Order Date]])</f>
        <v>11</v>
      </c>
      <c r="O1887" s="1"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s="1">
        <v>823.19999999999993</v>
      </c>
      <c r="F1888" s="2">
        <v>45726</v>
      </c>
      <c r="G1888" s="2">
        <v>45729</v>
      </c>
      <c r="H1888" s="1" t="s">
        <v>27</v>
      </c>
      <c r="I1888" s="1" t="s">
        <v>18</v>
      </c>
      <c r="J1888" s="1">
        <v>5</v>
      </c>
      <c r="K1888" s="1" t="s">
        <v>19</v>
      </c>
      <c r="L1888" s="1" t="s">
        <v>62</v>
      </c>
      <c r="M1888" s="1">
        <f>orders[[#This Row],[Ship Date]]-orders[[#This Row],[Order Date]]</f>
        <v>3</v>
      </c>
      <c r="N1888" s="1">
        <f>WEEKNUM(orders[[#This Row],[Order Date]])</f>
        <v>11</v>
      </c>
      <c r="O1888" s="1"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s="1">
        <v>509.59999999999997</v>
      </c>
      <c r="F1889" s="2">
        <v>45726</v>
      </c>
      <c r="G1889" s="2">
        <v>45728</v>
      </c>
      <c r="H1889" s="1" t="s">
        <v>27</v>
      </c>
      <c r="I1889" s="1" t="s">
        <v>18</v>
      </c>
      <c r="J1889" s="1">
        <v>3</v>
      </c>
      <c r="K1889" s="1" t="s">
        <v>19</v>
      </c>
      <c r="L1889" s="1" t="s">
        <v>72</v>
      </c>
      <c r="M1889" s="1">
        <f>orders[[#This Row],[Ship Date]]-orders[[#This Row],[Order Date]]</f>
        <v>2</v>
      </c>
      <c r="N1889" s="1">
        <f>WEEKNUM(orders[[#This Row],[Order Date]])</f>
        <v>11</v>
      </c>
      <c r="O1889" s="1"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s="1">
        <v>338</v>
      </c>
      <c r="F1890" s="2">
        <v>45727</v>
      </c>
      <c r="G1890" s="2">
        <v>45730</v>
      </c>
      <c r="H1890" s="1" t="s">
        <v>27</v>
      </c>
      <c r="I1890" s="1" t="s">
        <v>70</v>
      </c>
      <c r="J1890" s="1">
        <v>3</v>
      </c>
      <c r="K1890" s="1" t="s">
        <v>19</v>
      </c>
      <c r="L1890" s="1" t="s">
        <v>72</v>
      </c>
      <c r="M1890" s="1">
        <f>orders[[#This Row],[Ship Date]]-orders[[#This Row],[Order Date]]</f>
        <v>3</v>
      </c>
      <c r="N1890" s="1">
        <f>WEEKNUM(orders[[#This Row],[Order Date]])</f>
        <v>11</v>
      </c>
      <c r="O1890" s="1"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s="1">
        <v>46.3</v>
      </c>
      <c r="F1891" s="2">
        <v>45727</v>
      </c>
      <c r="G1891" s="2">
        <v>45728</v>
      </c>
      <c r="H1891" s="1" t="s">
        <v>23</v>
      </c>
      <c r="I1891" s="1" t="s">
        <v>40</v>
      </c>
      <c r="J1891" s="1">
        <v>4</v>
      </c>
      <c r="K1891" s="1" t="s">
        <v>19</v>
      </c>
      <c r="L1891" s="1" t="s">
        <v>72</v>
      </c>
      <c r="M1891" s="1">
        <f>orders[[#This Row],[Ship Date]]-orders[[#This Row],[Order Date]]</f>
        <v>1</v>
      </c>
      <c r="N1891" s="1">
        <f>WEEKNUM(orders[[#This Row],[Order Date]])</f>
        <v>11</v>
      </c>
      <c r="O1891" s="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s="1">
        <v>372.6</v>
      </c>
      <c r="F1892" s="2">
        <v>45727</v>
      </c>
      <c r="G1892" s="2">
        <v>45729</v>
      </c>
      <c r="H1892" s="1" t="s">
        <v>27</v>
      </c>
      <c r="I1892" s="1" t="s">
        <v>35</v>
      </c>
      <c r="J1892" s="1">
        <v>5</v>
      </c>
      <c r="K1892" s="1" t="s">
        <v>19</v>
      </c>
      <c r="L1892" s="1" t="s">
        <v>77</v>
      </c>
      <c r="M1892" s="1">
        <f>orders[[#This Row],[Ship Date]]-orders[[#This Row],[Order Date]]</f>
        <v>2</v>
      </c>
      <c r="N1892" s="1">
        <f>WEEKNUM(orders[[#This Row],[Order Date]])</f>
        <v>11</v>
      </c>
      <c r="O1892" s="1"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s="1">
        <v>74</v>
      </c>
      <c r="F1893" s="2">
        <v>45727</v>
      </c>
      <c r="G1893" s="2">
        <v>45733</v>
      </c>
      <c r="H1893" s="1" t="s">
        <v>23</v>
      </c>
      <c r="I1893" s="1" t="s">
        <v>18</v>
      </c>
      <c r="J1893" s="1">
        <v>4</v>
      </c>
      <c r="K1893" s="1" t="s">
        <v>19</v>
      </c>
      <c r="L1893" s="1" t="s">
        <v>77</v>
      </c>
      <c r="M1893" s="1">
        <f>orders[[#This Row],[Ship Date]]-orders[[#This Row],[Order Date]]</f>
        <v>6</v>
      </c>
      <c r="N1893" s="1">
        <f>WEEKNUM(orders[[#This Row],[Order Date]])</f>
        <v>11</v>
      </c>
      <c r="O1893" s="1"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s="1">
        <v>41.8</v>
      </c>
      <c r="F1894" s="2">
        <v>45727</v>
      </c>
      <c r="G1894" s="2">
        <v>45728</v>
      </c>
      <c r="H1894" s="1" t="s">
        <v>23</v>
      </c>
      <c r="I1894" s="1" t="s">
        <v>40</v>
      </c>
      <c r="J1894" s="1">
        <v>4</v>
      </c>
      <c r="K1894" s="1" t="s">
        <v>19</v>
      </c>
      <c r="L1894" s="1" t="s">
        <v>292</v>
      </c>
      <c r="M1894" s="1">
        <f>orders[[#This Row],[Ship Date]]-orders[[#This Row],[Order Date]]</f>
        <v>1</v>
      </c>
      <c r="N1894" s="1">
        <f>WEEKNUM(orders[[#This Row],[Order Date]])</f>
        <v>11</v>
      </c>
      <c r="O1894" s="1"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s="1">
        <v>114.4</v>
      </c>
      <c r="F1895" s="2">
        <v>45727</v>
      </c>
      <c r="G1895" s="2">
        <v>45729</v>
      </c>
      <c r="H1895" s="1" t="s">
        <v>23</v>
      </c>
      <c r="I1895" s="1" t="s">
        <v>40</v>
      </c>
      <c r="J1895" s="1">
        <v>3</v>
      </c>
      <c r="K1895" s="1" t="s">
        <v>19</v>
      </c>
      <c r="L1895" s="1" t="s">
        <v>113</v>
      </c>
      <c r="M1895" s="1">
        <f>orders[[#This Row],[Ship Date]]-orders[[#This Row],[Order Date]]</f>
        <v>2</v>
      </c>
      <c r="N1895" s="1">
        <f>WEEKNUM(orders[[#This Row],[Order Date]])</f>
        <v>11</v>
      </c>
      <c r="O1895" s="1"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s="1">
        <v>94.2</v>
      </c>
      <c r="F1896" s="2">
        <v>45727</v>
      </c>
      <c r="G1896" s="2">
        <v>45729</v>
      </c>
      <c r="H1896" s="1" t="s">
        <v>27</v>
      </c>
      <c r="I1896" s="1" t="s">
        <v>18</v>
      </c>
      <c r="J1896" s="1">
        <v>2</v>
      </c>
      <c r="K1896" s="1" t="s">
        <v>19</v>
      </c>
      <c r="L1896" s="1" t="s">
        <v>113</v>
      </c>
      <c r="M1896" s="1">
        <f>orders[[#This Row],[Ship Date]]-orders[[#This Row],[Order Date]]</f>
        <v>2</v>
      </c>
      <c r="N1896" s="1">
        <f>WEEKNUM(orders[[#This Row],[Order Date]])</f>
        <v>11</v>
      </c>
      <c r="O1896" s="1"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s="1">
        <v>259.20000000000005</v>
      </c>
      <c r="F1897" s="2">
        <v>45727</v>
      </c>
      <c r="G1897" s="2">
        <v>45728</v>
      </c>
      <c r="H1897" s="1" t="s">
        <v>23</v>
      </c>
      <c r="I1897" s="1" t="s">
        <v>40</v>
      </c>
      <c r="J1897" s="1">
        <v>3</v>
      </c>
      <c r="K1897" s="1" t="s">
        <v>19</v>
      </c>
      <c r="L1897" s="1" t="s">
        <v>997</v>
      </c>
      <c r="M1897" s="1">
        <f>orders[[#This Row],[Ship Date]]-orders[[#This Row],[Order Date]]</f>
        <v>1</v>
      </c>
      <c r="N1897" s="1">
        <f>WEEKNUM(orders[[#This Row],[Order Date]])</f>
        <v>11</v>
      </c>
      <c r="O1897" s="1"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s="1">
        <v>525</v>
      </c>
      <c r="F1898" s="2">
        <v>45727</v>
      </c>
      <c r="G1898" s="2">
        <v>45730</v>
      </c>
      <c r="H1898" s="1" t="s">
        <v>23</v>
      </c>
      <c r="I1898" s="1" t="s">
        <v>18</v>
      </c>
      <c r="J1898" s="1">
        <v>4</v>
      </c>
      <c r="K1898" s="1" t="s">
        <v>19</v>
      </c>
      <c r="L1898" s="1" t="s">
        <v>82</v>
      </c>
      <c r="M1898" s="1">
        <f>orders[[#This Row],[Ship Date]]-orders[[#This Row],[Order Date]]</f>
        <v>3</v>
      </c>
      <c r="N1898" s="1">
        <f>WEEKNUM(orders[[#This Row],[Order Date]])</f>
        <v>11</v>
      </c>
      <c r="O1898" s="1"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s="1">
        <v>33</v>
      </c>
      <c r="F1899" s="2">
        <v>45727</v>
      </c>
      <c r="G1899" s="2">
        <v>45730</v>
      </c>
      <c r="H1899" s="1" t="s">
        <v>23</v>
      </c>
      <c r="I1899" s="1" t="s">
        <v>70</v>
      </c>
      <c r="J1899" s="1">
        <v>4</v>
      </c>
      <c r="K1899" s="1" t="s">
        <v>19</v>
      </c>
      <c r="L1899" s="1" t="s">
        <v>115</v>
      </c>
      <c r="M1899" s="1">
        <f>orders[[#This Row],[Ship Date]]-orders[[#This Row],[Order Date]]</f>
        <v>3</v>
      </c>
      <c r="N1899" s="1">
        <f>WEEKNUM(orders[[#This Row],[Order Date]])</f>
        <v>11</v>
      </c>
      <c r="O1899" s="1"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s="1">
        <v>533</v>
      </c>
      <c r="F1900" s="2">
        <v>45727</v>
      </c>
      <c r="G1900" s="2">
        <v>45740</v>
      </c>
      <c r="H1900" s="1" t="s">
        <v>27</v>
      </c>
      <c r="I1900" s="1" t="s">
        <v>40</v>
      </c>
      <c r="J1900" s="1">
        <v>4</v>
      </c>
      <c r="K1900" s="1" t="s">
        <v>19</v>
      </c>
      <c r="L1900" s="1" t="s">
        <v>24</v>
      </c>
      <c r="M1900" s="1">
        <f>orders[[#This Row],[Ship Date]]-orders[[#This Row],[Order Date]]</f>
        <v>13</v>
      </c>
      <c r="N1900" s="1">
        <f>WEEKNUM(orders[[#This Row],[Order Date]])</f>
        <v>11</v>
      </c>
      <c r="O1900" s="1"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s="1">
        <v>857.6</v>
      </c>
      <c r="F1901" s="2">
        <v>45727</v>
      </c>
      <c r="G1901" s="2">
        <v>45728</v>
      </c>
      <c r="H1901" s="1" t="s">
        <v>27</v>
      </c>
      <c r="I1901" s="1" t="s">
        <v>40</v>
      </c>
      <c r="J1901" s="1">
        <v>4</v>
      </c>
      <c r="K1901" s="1" t="s">
        <v>19</v>
      </c>
      <c r="L1901" s="1" t="s">
        <v>24</v>
      </c>
      <c r="M1901" s="1">
        <f>orders[[#This Row],[Ship Date]]-orders[[#This Row],[Order Date]]</f>
        <v>1</v>
      </c>
      <c r="N1901" s="1">
        <f>WEEKNUM(orders[[#This Row],[Order Date]])</f>
        <v>11</v>
      </c>
      <c r="O1901" s="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s="1">
        <v>129</v>
      </c>
      <c r="F1902" s="2">
        <v>45727</v>
      </c>
      <c r="G1902" s="2">
        <v>45727</v>
      </c>
      <c r="H1902" s="1" t="s">
        <v>27</v>
      </c>
      <c r="I1902" s="1" t="s">
        <v>35</v>
      </c>
      <c r="J1902" s="1">
        <v>5</v>
      </c>
      <c r="K1902" s="1" t="s">
        <v>19</v>
      </c>
      <c r="L1902" s="1" t="s">
        <v>33</v>
      </c>
      <c r="M1902" s="1">
        <f>orders[[#This Row],[Ship Date]]-orders[[#This Row],[Order Date]]</f>
        <v>0</v>
      </c>
      <c r="N1902" s="1">
        <f>WEEKNUM(orders[[#This Row],[Order Date]])</f>
        <v>11</v>
      </c>
      <c r="O1902" s="1"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s="1">
        <v>651</v>
      </c>
      <c r="F1903" s="2">
        <v>45727</v>
      </c>
      <c r="G1903" s="2">
        <v>45728</v>
      </c>
      <c r="H1903" s="1" t="s">
        <v>27</v>
      </c>
      <c r="I1903" s="1" t="s">
        <v>35</v>
      </c>
      <c r="J1903" s="1">
        <v>3</v>
      </c>
      <c r="K1903" s="1" t="s">
        <v>19</v>
      </c>
      <c r="L1903" s="1" t="s">
        <v>33</v>
      </c>
      <c r="M1903" s="1">
        <f>orders[[#This Row],[Ship Date]]-orders[[#This Row],[Order Date]]</f>
        <v>1</v>
      </c>
      <c r="N1903" s="1">
        <f>WEEKNUM(orders[[#This Row],[Order Date]])</f>
        <v>11</v>
      </c>
      <c r="O1903" s="1"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s="1">
        <v>194.6</v>
      </c>
      <c r="F1904" s="2">
        <v>45727</v>
      </c>
      <c r="G1904" s="2">
        <v>45728</v>
      </c>
      <c r="H1904" s="1" t="s">
        <v>23</v>
      </c>
      <c r="I1904" s="1" t="s">
        <v>40</v>
      </c>
      <c r="J1904" s="1">
        <v>2</v>
      </c>
      <c r="K1904" s="1" t="s">
        <v>19</v>
      </c>
      <c r="L1904" s="1" t="s">
        <v>33</v>
      </c>
      <c r="M1904" s="1">
        <f>orders[[#This Row],[Ship Date]]-orders[[#This Row],[Order Date]]</f>
        <v>1</v>
      </c>
      <c r="N1904" s="1">
        <f>WEEKNUM(orders[[#This Row],[Order Date]])</f>
        <v>11</v>
      </c>
      <c r="O1904" s="1"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s="1">
        <v>49.8</v>
      </c>
      <c r="F1905" s="2">
        <v>45727</v>
      </c>
      <c r="G1905" s="2">
        <v>45728</v>
      </c>
      <c r="H1905" s="1" t="s">
        <v>27</v>
      </c>
      <c r="I1905" s="1" t="s">
        <v>18</v>
      </c>
      <c r="J1905" s="1">
        <v>4</v>
      </c>
      <c r="K1905" s="1" t="s">
        <v>19</v>
      </c>
      <c r="L1905" s="1" t="s">
        <v>33</v>
      </c>
      <c r="M1905" s="1">
        <f>orders[[#This Row],[Ship Date]]-orders[[#This Row],[Order Date]]</f>
        <v>1</v>
      </c>
      <c r="N1905" s="1">
        <f>WEEKNUM(orders[[#This Row],[Order Date]])</f>
        <v>11</v>
      </c>
      <c r="O1905" s="1"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s="1">
        <v>163</v>
      </c>
      <c r="F1906" s="2">
        <v>45727</v>
      </c>
      <c r="G1906" s="2">
        <v>45728</v>
      </c>
      <c r="H1906" s="1" t="s">
        <v>27</v>
      </c>
      <c r="I1906" s="1" t="s">
        <v>18</v>
      </c>
      <c r="J1906" s="1">
        <v>4</v>
      </c>
      <c r="K1906" s="1" t="s">
        <v>19</v>
      </c>
      <c r="L1906" s="1" t="s">
        <v>33</v>
      </c>
      <c r="M1906" s="1">
        <f>orders[[#This Row],[Ship Date]]-orders[[#This Row],[Order Date]]</f>
        <v>1</v>
      </c>
      <c r="N1906" s="1">
        <f>WEEKNUM(orders[[#This Row],[Order Date]])</f>
        <v>11</v>
      </c>
      <c r="O1906" s="1"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s="1">
        <v>80.2</v>
      </c>
      <c r="F1907" s="2">
        <v>45727</v>
      </c>
      <c r="G1907" s="2">
        <v>45730</v>
      </c>
      <c r="H1907" s="1" t="s">
        <v>23</v>
      </c>
      <c r="I1907" s="1" t="s">
        <v>35</v>
      </c>
      <c r="J1907" s="1">
        <v>5</v>
      </c>
      <c r="K1907" s="1" t="s">
        <v>19</v>
      </c>
      <c r="L1907" s="1" t="s">
        <v>33</v>
      </c>
      <c r="M1907" s="1">
        <f>orders[[#This Row],[Ship Date]]-orders[[#This Row],[Order Date]]</f>
        <v>3</v>
      </c>
      <c r="N1907" s="1">
        <f>WEEKNUM(orders[[#This Row],[Order Date]])</f>
        <v>11</v>
      </c>
      <c r="O1907" s="1"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s="1">
        <v>98.8</v>
      </c>
      <c r="F1908" s="2">
        <v>45727</v>
      </c>
      <c r="G1908" s="2">
        <v>45729</v>
      </c>
      <c r="H1908" s="1" t="s">
        <v>23</v>
      </c>
      <c r="I1908" s="1" t="s">
        <v>35</v>
      </c>
      <c r="J1908" s="1">
        <v>4</v>
      </c>
      <c r="K1908" s="1" t="s">
        <v>19</v>
      </c>
      <c r="L1908" s="1" t="s">
        <v>33</v>
      </c>
      <c r="M1908" s="1">
        <f>orders[[#This Row],[Ship Date]]-orders[[#This Row],[Order Date]]</f>
        <v>2</v>
      </c>
      <c r="N1908" s="1">
        <f>WEEKNUM(orders[[#This Row],[Order Date]])</f>
        <v>11</v>
      </c>
      <c r="O1908" s="1"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s="1">
        <v>67.3</v>
      </c>
      <c r="F1909" s="2">
        <v>45727</v>
      </c>
      <c r="G1909" s="2">
        <v>45728</v>
      </c>
      <c r="H1909" s="1" t="s">
        <v>27</v>
      </c>
      <c r="I1909" s="1" t="s">
        <v>18</v>
      </c>
      <c r="J1909" s="1">
        <v>5</v>
      </c>
      <c r="K1909" s="1" t="s">
        <v>19</v>
      </c>
      <c r="L1909" s="1" t="s">
        <v>33</v>
      </c>
      <c r="M1909" s="1">
        <f>orders[[#This Row],[Ship Date]]-orders[[#This Row],[Order Date]]</f>
        <v>1</v>
      </c>
      <c r="N1909" s="1">
        <f>WEEKNUM(orders[[#This Row],[Order Date]])</f>
        <v>11</v>
      </c>
      <c r="O1909" s="1"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s="1">
        <v>178</v>
      </c>
      <c r="F1910" s="2">
        <v>45727</v>
      </c>
      <c r="G1910" s="2">
        <v>45730</v>
      </c>
      <c r="H1910" s="1" t="s">
        <v>17</v>
      </c>
      <c r="I1910" s="1" t="s">
        <v>35</v>
      </c>
      <c r="J1910" s="1">
        <v>4</v>
      </c>
      <c r="K1910" s="1" t="s">
        <v>19</v>
      </c>
      <c r="L1910" s="1" t="s">
        <v>33</v>
      </c>
      <c r="M1910" s="1">
        <f>orders[[#This Row],[Ship Date]]-orders[[#This Row],[Order Date]]</f>
        <v>3</v>
      </c>
      <c r="N1910" s="1">
        <f>WEEKNUM(orders[[#This Row],[Order Date]])</f>
        <v>11</v>
      </c>
      <c r="O1910" s="1"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s="1">
        <v>1222.0999999999999</v>
      </c>
      <c r="F1911" s="2">
        <v>45727</v>
      </c>
      <c r="G1911" s="2">
        <v>45728</v>
      </c>
      <c r="H1911" s="1" t="s">
        <v>27</v>
      </c>
      <c r="I1911" s="1" t="s">
        <v>70</v>
      </c>
      <c r="J1911" s="1">
        <v>4</v>
      </c>
      <c r="K1911" s="1" t="s">
        <v>19</v>
      </c>
      <c r="L1911" s="1" t="s">
        <v>33</v>
      </c>
      <c r="M1911" s="1">
        <f>orders[[#This Row],[Ship Date]]-orders[[#This Row],[Order Date]]</f>
        <v>1</v>
      </c>
      <c r="N1911" s="1">
        <f>WEEKNUM(orders[[#This Row],[Order Date]])</f>
        <v>11</v>
      </c>
      <c r="O1911" s="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s="1">
        <v>59.099999999999994</v>
      </c>
      <c r="F1912" s="2">
        <v>45727</v>
      </c>
      <c r="G1912" s="2">
        <v>45728</v>
      </c>
      <c r="H1912" s="1" t="s">
        <v>27</v>
      </c>
      <c r="I1912" s="1" t="s">
        <v>70</v>
      </c>
      <c r="J1912" s="1">
        <v>2</v>
      </c>
      <c r="K1912" s="1" t="s">
        <v>19</v>
      </c>
      <c r="L1912" s="1" t="s">
        <v>33</v>
      </c>
      <c r="M1912" s="1">
        <f>orders[[#This Row],[Ship Date]]-orders[[#This Row],[Order Date]]</f>
        <v>1</v>
      </c>
      <c r="N1912" s="1">
        <f>WEEKNUM(orders[[#This Row],[Order Date]])</f>
        <v>11</v>
      </c>
      <c r="O1912" s="1"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s="1">
        <v>40.299999999999997</v>
      </c>
      <c r="F1913" s="2">
        <v>45727</v>
      </c>
      <c r="G1913" s="2">
        <v>45728</v>
      </c>
      <c r="H1913" s="1" t="s">
        <v>89</v>
      </c>
      <c r="I1913" s="1" t="s">
        <v>35</v>
      </c>
      <c r="J1913" s="1">
        <v>4</v>
      </c>
      <c r="K1913" s="1" t="s">
        <v>19</v>
      </c>
      <c r="L1913" s="1" t="s">
        <v>33</v>
      </c>
      <c r="M1913" s="1">
        <f>orders[[#This Row],[Ship Date]]-orders[[#This Row],[Order Date]]</f>
        <v>1</v>
      </c>
      <c r="N1913" s="1">
        <f>WEEKNUM(orders[[#This Row],[Order Date]])</f>
        <v>11</v>
      </c>
      <c r="O1913" s="1"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s="1">
        <v>217.6</v>
      </c>
      <c r="F1914" s="2">
        <v>45727</v>
      </c>
      <c r="G1914" s="2">
        <v>45732</v>
      </c>
      <c r="H1914" s="1" t="s">
        <v>23</v>
      </c>
      <c r="I1914" s="1" t="s">
        <v>18</v>
      </c>
      <c r="J1914" s="1">
        <v>5</v>
      </c>
      <c r="K1914" s="1" t="s">
        <v>19</v>
      </c>
      <c r="L1914" s="1" t="s">
        <v>55</v>
      </c>
      <c r="M1914" s="1">
        <f>orders[[#This Row],[Ship Date]]-orders[[#This Row],[Order Date]]</f>
        <v>5</v>
      </c>
      <c r="N1914" s="1">
        <f>WEEKNUM(orders[[#This Row],[Order Date]])</f>
        <v>11</v>
      </c>
      <c r="O1914" s="1"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s="1">
        <v>144.60000000000002</v>
      </c>
      <c r="F1915" s="2">
        <v>45727</v>
      </c>
      <c r="G1915" s="2">
        <v>45732</v>
      </c>
      <c r="H1915" s="1" t="s">
        <v>27</v>
      </c>
      <c r="I1915" s="1" t="s">
        <v>70</v>
      </c>
      <c r="J1915" s="1">
        <v>4</v>
      </c>
      <c r="K1915" s="1" t="s">
        <v>19</v>
      </c>
      <c r="L1915" s="1" t="s">
        <v>59</v>
      </c>
      <c r="M1915" s="1">
        <f>orders[[#This Row],[Ship Date]]-orders[[#This Row],[Order Date]]</f>
        <v>5</v>
      </c>
      <c r="N1915" s="1">
        <f>WEEKNUM(orders[[#This Row],[Order Date]])</f>
        <v>11</v>
      </c>
      <c r="O1915" s="1"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s="1">
        <v>314.10000000000002</v>
      </c>
      <c r="F1916" s="2">
        <v>45727</v>
      </c>
      <c r="G1916" s="2">
        <v>45729</v>
      </c>
      <c r="H1916" s="1" t="s">
        <v>27</v>
      </c>
      <c r="I1916" s="1" t="s">
        <v>18</v>
      </c>
      <c r="J1916" s="1">
        <v>3</v>
      </c>
      <c r="K1916" s="1" t="s">
        <v>19</v>
      </c>
      <c r="L1916" s="1" t="s">
        <v>59</v>
      </c>
      <c r="M1916" s="1">
        <f>orders[[#This Row],[Ship Date]]-orders[[#This Row],[Order Date]]</f>
        <v>2</v>
      </c>
      <c r="N1916" s="1">
        <f>WEEKNUM(orders[[#This Row],[Order Date]])</f>
        <v>11</v>
      </c>
      <c r="O1916" s="1"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s="1">
        <v>161.19999999999999</v>
      </c>
      <c r="F1917" s="2">
        <v>45727</v>
      </c>
      <c r="G1917" s="2">
        <v>45727</v>
      </c>
      <c r="H1917" s="1" t="s">
        <v>27</v>
      </c>
      <c r="I1917" s="1" t="s">
        <v>35</v>
      </c>
      <c r="J1917" s="1">
        <v>4</v>
      </c>
      <c r="K1917" s="1" t="s">
        <v>19</v>
      </c>
      <c r="L1917" s="1" t="s">
        <v>62</v>
      </c>
      <c r="M1917" s="1">
        <f>orders[[#This Row],[Ship Date]]-orders[[#This Row],[Order Date]]</f>
        <v>0</v>
      </c>
      <c r="N1917" s="1">
        <f>WEEKNUM(orders[[#This Row],[Order Date]])</f>
        <v>11</v>
      </c>
      <c r="O1917" s="1"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s="1">
        <v>65.5</v>
      </c>
      <c r="F1918" s="2">
        <v>45727</v>
      </c>
      <c r="G1918" s="2">
        <v>45729</v>
      </c>
      <c r="H1918" s="1" t="s">
        <v>89</v>
      </c>
      <c r="I1918" s="1" t="s">
        <v>35</v>
      </c>
      <c r="J1918" s="1">
        <v>4</v>
      </c>
      <c r="K1918" s="1" t="s">
        <v>19</v>
      </c>
      <c r="L1918" s="1" t="s">
        <v>62</v>
      </c>
      <c r="M1918" s="1">
        <f>orders[[#This Row],[Ship Date]]-orders[[#This Row],[Order Date]]</f>
        <v>2</v>
      </c>
      <c r="N1918" s="1">
        <f>WEEKNUM(orders[[#This Row],[Order Date]])</f>
        <v>11</v>
      </c>
      <c r="O1918" s="1"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s="1">
        <v>184.2</v>
      </c>
      <c r="F1919" s="2">
        <v>45727</v>
      </c>
      <c r="G1919" s="2">
        <v>45729</v>
      </c>
      <c r="H1919" s="1" t="s">
        <v>27</v>
      </c>
      <c r="I1919" s="1" t="s">
        <v>70</v>
      </c>
      <c r="J1919" s="1">
        <v>5</v>
      </c>
      <c r="K1919" s="1" t="s">
        <v>19</v>
      </c>
      <c r="L1919" s="1" t="s">
        <v>62</v>
      </c>
      <c r="M1919" s="1">
        <f>orders[[#This Row],[Ship Date]]-orders[[#This Row],[Order Date]]</f>
        <v>2</v>
      </c>
      <c r="N1919" s="1">
        <f>WEEKNUM(orders[[#This Row],[Order Date]])</f>
        <v>11</v>
      </c>
      <c r="O1919" s="1"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s="1">
        <v>12.5</v>
      </c>
      <c r="F1920" s="2">
        <v>45728</v>
      </c>
      <c r="G1920" s="2">
        <v>45731</v>
      </c>
      <c r="H1920" s="1" t="s">
        <v>27</v>
      </c>
      <c r="I1920" s="1" t="s">
        <v>18</v>
      </c>
      <c r="J1920" s="1">
        <v>3</v>
      </c>
      <c r="K1920" s="1" t="s">
        <v>19</v>
      </c>
      <c r="L1920" s="1" t="s">
        <v>62</v>
      </c>
      <c r="M1920" s="1">
        <f>orders[[#This Row],[Ship Date]]-orders[[#This Row],[Order Date]]</f>
        <v>3</v>
      </c>
      <c r="N1920" s="1">
        <f>WEEKNUM(orders[[#This Row],[Order Date]])</f>
        <v>11</v>
      </c>
      <c r="O1920" s="1"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s="1">
        <v>140.4</v>
      </c>
      <c r="F1921" s="2">
        <v>45728</v>
      </c>
      <c r="G1921" s="2">
        <v>45729</v>
      </c>
      <c r="H1921" s="1" t="s">
        <v>23</v>
      </c>
      <c r="I1921" s="1" t="s">
        <v>40</v>
      </c>
      <c r="J1921" s="1">
        <v>3</v>
      </c>
      <c r="K1921" s="1" t="s">
        <v>19</v>
      </c>
      <c r="L1921" s="1" t="s">
        <v>103</v>
      </c>
      <c r="M1921" s="1">
        <f>orders[[#This Row],[Ship Date]]-orders[[#This Row],[Order Date]]</f>
        <v>1</v>
      </c>
      <c r="N1921" s="1">
        <f>WEEKNUM(orders[[#This Row],[Order Date]])</f>
        <v>11</v>
      </c>
      <c r="O1921" s="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s="1">
        <v>111.4</v>
      </c>
      <c r="F1922" s="2">
        <v>45728</v>
      </c>
      <c r="G1922" s="2">
        <v>45729</v>
      </c>
      <c r="H1922" s="1" t="s">
        <v>23</v>
      </c>
      <c r="I1922" s="1" t="s">
        <v>18</v>
      </c>
      <c r="J1922" s="1">
        <v>3</v>
      </c>
      <c r="K1922" s="1" t="s">
        <v>19</v>
      </c>
      <c r="L1922" s="1" t="s">
        <v>201</v>
      </c>
      <c r="M1922" s="1">
        <f>orders[[#This Row],[Ship Date]]-orders[[#This Row],[Order Date]]</f>
        <v>1</v>
      </c>
      <c r="N1922" s="1">
        <f>WEEKNUM(orders[[#This Row],[Order Date]])</f>
        <v>11</v>
      </c>
      <c r="O1922" s="1"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s="1">
        <v>115.4</v>
      </c>
      <c r="F1923" s="2">
        <v>45728</v>
      </c>
      <c r="G1923" s="2">
        <v>45730</v>
      </c>
      <c r="H1923" s="1" t="s">
        <v>23</v>
      </c>
      <c r="I1923" s="1" t="s">
        <v>70</v>
      </c>
      <c r="J1923" s="1">
        <v>3</v>
      </c>
      <c r="K1923" s="1" t="s">
        <v>19</v>
      </c>
      <c r="L1923" s="1" t="s">
        <v>72</v>
      </c>
      <c r="M1923" s="1">
        <f>orders[[#This Row],[Ship Date]]-orders[[#This Row],[Order Date]]</f>
        <v>2</v>
      </c>
      <c r="N1923" s="1">
        <f>WEEKNUM(orders[[#This Row],[Order Date]])</f>
        <v>11</v>
      </c>
      <c r="O1923" s="1"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s="1">
        <v>514.20000000000005</v>
      </c>
      <c r="F1924" s="2">
        <v>45728</v>
      </c>
      <c r="G1924" s="2">
        <v>45729</v>
      </c>
      <c r="H1924" s="1" t="s">
        <v>23</v>
      </c>
      <c r="I1924" s="1" t="s">
        <v>51</v>
      </c>
      <c r="J1924" s="1">
        <v>5</v>
      </c>
      <c r="K1924" s="1" t="s">
        <v>19</v>
      </c>
      <c r="L1924" s="1" t="s">
        <v>72</v>
      </c>
      <c r="M1924" s="1">
        <f>orders[[#This Row],[Ship Date]]-orders[[#This Row],[Order Date]]</f>
        <v>1</v>
      </c>
      <c r="N1924" s="1">
        <f>WEEKNUM(orders[[#This Row],[Order Date]])</f>
        <v>11</v>
      </c>
      <c r="O1924" s="1"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s="1">
        <v>260.70000000000005</v>
      </c>
      <c r="F1925" s="2">
        <v>45728</v>
      </c>
      <c r="G1925" s="2">
        <v>45730</v>
      </c>
      <c r="H1925" s="1" t="s">
        <v>27</v>
      </c>
      <c r="I1925" s="1" t="s">
        <v>35</v>
      </c>
      <c r="J1925" s="1">
        <v>4</v>
      </c>
      <c r="K1925" s="1" t="s">
        <v>19</v>
      </c>
      <c r="L1925" s="1" t="s">
        <v>77</v>
      </c>
      <c r="M1925" s="1">
        <f>orders[[#This Row],[Ship Date]]-orders[[#This Row],[Order Date]]</f>
        <v>2</v>
      </c>
      <c r="N1925" s="1">
        <f>WEEKNUM(orders[[#This Row],[Order Date]])</f>
        <v>11</v>
      </c>
      <c r="O1925" s="1"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s="1">
        <v>92.8</v>
      </c>
      <c r="F1926" s="2">
        <v>45728</v>
      </c>
      <c r="G1926" s="2">
        <v>45731</v>
      </c>
      <c r="H1926" s="1" t="s">
        <v>27</v>
      </c>
      <c r="I1926" s="1" t="s">
        <v>70</v>
      </c>
      <c r="J1926" s="1">
        <v>4</v>
      </c>
      <c r="K1926" s="1" t="s">
        <v>19</v>
      </c>
      <c r="L1926" s="1" t="s">
        <v>77</v>
      </c>
      <c r="M1926" s="1">
        <f>orders[[#This Row],[Ship Date]]-orders[[#This Row],[Order Date]]</f>
        <v>3</v>
      </c>
      <c r="N1926" s="1">
        <f>WEEKNUM(orders[[#This Row],[Order Date]])</f>
        <v>11</v>
      </c>
      <c r="O1926" s="1"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s="1">
        <v>76.199999999999989</v>
      </c>
      <c r="F1927" s="2">
        <v>45728</v>
      </c>
      <c r="G1927" s="2">
        <v>45728</v>
      </c>
      <c r="H1927" s="1" t="s">
        <v>27</v>
      </c>
      <c r="I1927" s="1" t="s">
        <v>40</v>
      </c>
      <c r="J1927" s="1">
        <v>5</v>
      </c>
      <c r="K1927" s="1" t="s">
        <v>19</v>
      </c>
      <c r="L1927" s="1" t="s">
        <v>108</v>
      </c>
      <c r="M1927" s="1">
        <f>orders[[#This Row],[Ship Date]]-orders[[#This Row],[Order Date]]</f>
        <v>0</v>
      </c>
      <c r="N1927" s="1">
        <f>WEEKNUM(orders[[#This Row],[Order Date]])</f>
        <v>11</v>
      </c>
      <c r="O1927" s="1"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s="1">
        <v>143.39999999999998</v>
      </c>
      <c r="F1928" s="2">
        <v>45728</v>
      </c>
      <c r="G1928" s="2">
        <v>45728</v>
      </c>
      <c r="H1928" s="1" t="s">
        <v>17</v>
      </c>
      <c r="I1928" s="1" t="s">
        <v>40</v>
      </c>
      <c r="J1928" s="1">
        <v>5</v>
      </c>
      <c r="K1928" s="1" t="s">
        <v>19</v>
      </c>
      <c r="L1928" s="1" t="s">
        <v>110</v>
      </c>
      <c r="M1928" s="1">
        <f>orders[[#This Row],[Ship Date]]-orders[[#This Row],[Order Date]]</f>
        <v>0</v>
      </c>
      <c r="N1928" s="1">
        <f>WEEKNUM(orders[[#This Row],[Order Date]])</f>
        <v>11</v>
      </c>
      <c r="O1928" s="1"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s="1">
        <v>349.59999999999997</v>
      </c>
      <c r="F1929" s="2">
        <v>45728</v>
      </c>
      <c r="G1929" s="2">
        <v>45730</v>
      </c>
      <c r="H1929" s="1" t="s">
        <v>89</v>
      </c>
      <c r="I1929" s="1" t="s">
        <v>40</v>
      </c>
      <c r="J1929" s="1">
        <v>4</v>
      </c>
      <c r="K1929" s="1" t="s">
        <v>19</v>
      </c>
      <c r="L1929" s="1" t="s">
        <v>113</v>
      </c>
      <c r="M1929" s="1">
        <f>orders[[#This Row],[Ship Date]]-orders[[#This Row],[Order Date]]</f>
        <v>2</v>
      </c>
      <c r="N1929" s="1">
        <f>WEEKNUM(orders[[#This Row],[Order Date]])</f>
        <v>11</v>
      </c>
      <c r="O1929" s="1"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s="1">
        <v>196.5</v>
      </c>
      <c r="F1930" s="2">
        <v>45728</v>
      </c>
      <c r="G1930" s="2">
        <v>45736</v>
      </c>
      <c r="H1930" s="1" t="s">
        <v>27</v>
      </c>
      <c r="I1930" s="1" t="s">
        <v>18</v>
      </c>
      <c r="J1930" s="1">
        <v>4</v>
      </c>
      <c r="K1930" s="1" t="s">
        <v>19</v>
      </c>
      <c r="L1930" s="1" t="s">
        <v>115</v>
      </c>
      <c r="M1930" s="1">
        <f>orders[[#This Row],[Ship Date]]-orders[[#This Row],[Order Date]]</f>
        <v>8</v>
      </c>
      <c r="N1930" s="1">
        <f>WEEKNUM(orders[[#This Row],[Order Date]])</f>
        <v>11</v>
      </c>
      <c r="O1930" s="1"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s="1">
        <v>101.2</v>
      </c>
      <c r="F1931" s="2">
        <v>45728</v>
      </c>
      <c r="G1931" s="2">
        <v>45731</v>
      </c>
      <c r="H1931" s="1" t="s">
        <v>23</v>
      </c>
      <c r="I1931" s="1" t="s">
        <v>40</v>
      </c>
      <c r="J1931" s="1">
        <v>2</v>
      </c>
      <c r="K1931" s="1" t="s">
        <v>19</v>
      </c>
      <c r="L1931" s="1" t="s">
        <v>115</v>
      </c>
      <c r="M1931" s="1">
        <f>orders[[#This Row],[Ship Date]]-orders[[#This Row],[Order Date]]</f>
        <v>3</v>
      </c>
      <c r="N1931" s="1">
        <f>WEEKNUM(orders[[#This Row],[Order Date]])</f>
        <v>11</v>
      </c>
      <c r="O1931" s="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s="1">
        <v>345</v>
      </c>
      <c r="F1932" s="2">
        <v>45728</v>
      </c>
      <c r="G1932" s="2">
        <v>45732</v>
      </c>
      <c r="H1932" s="1" t="s">
        <v>23</v>
      </c>
      <c r="I1932" s="1" t="s">
        <v>51</v>
      </c>
      <c r="J1932" s="1">
        <v>4</v>
      </c>
      <c r="K1932" s="1" t="s">
        <v>19</v>
      </c>
      <c r="L1932" s="1" t="s">
        <v>115</v>
      </c>
      <c r="M1932" s="1">
        <f>orders[[#This Row],[Ship Date]]-orders[[#This Row],[Order Date]]</f>
        <v>4</v>
      </c>
      <c r="N1932" s="1">
        <f>WEEKNUM(orders[[#This Row],[Order Date]])</f>
        <v>11</v>
      </c>
      <c r="O1932" s="1"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s="1">
        <v>408.8</v>
      </c>
      <c r="F1933" s="2">
        <v>45728</v>
      </c>
      <c r="G1933" s="2">
        <v>45730</v>
      </c>
      <c r="H1933" s="1" t="s">
        <v>27</v>
      </c>
      <c r="I1933" s="1" t="s">
        <v>18</v>
      </c>
      <c r="J1933" s="1">
        <v>4</v>
      </c>
      <c r="K1933" s="1" t="s">
        <v>19</v>
      </c>
      <c r="L1933" s="1" t="s">
        <v>24</v>
      </c>
      <c r="M1933" s="1">
        <f>orders[[#This Row],[Ship Date]]-orders[[#This Row],[Order Date]]</f>
        <v>2</v>
      </c>
      <c r="N1933" s="1">
        <f>WEEKNUM(orders[[#This Row],[Order Date]])</f>
        <v>11</v>
      </c>
      <c r="O1933" s="1"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s="1">
        <v>36.1</v>
      </c>
      <c r="F1934" s="2">
        <v>45728</v>
      </c>
      <c r="G1934" s="2">
        <v>45729</v>
      </c>
      <c r="H1934" s="1" t="s">
        <v>27</v>
      </c>
      <c r="I1934" s="1" t="s">
        <v>18</v>
      </c>
      <c r="J1934" s="1">
        <v>5</v>
      </c>
      <c r="K1934" s="1" t="s">
        <v>19</v>
      </c>
      <c r="L1934" s="1" t="s">
        <v>334</v>
      </c>
      <c r="M1934" s="1">
        <f>orders[[#This Row],[Ship Date]]-orders[[#This Row],[Order Date]]</f>
        <v>1</v>
      </c>
      <c r="N1934" s="1">
        <f>WEEKNUM(orders[[#This Row],[Order Date]])</f>
        <v>11</v>
      </c>
      <c r="O1934" s="1"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s="1">
        <v>18.7</v>
      </c>
      <c r="F1935" s="2">
        <v>45728</v>
      </c>
      <c r="G1935" s="2">
        <v>45729</v>
      </c>
      <c r="H1935" s="1" t="s">
        <v>23</v>
      </c>
      <c r="I1935" s="1" t="s">
        <v>18</v>
      </c>
      <c r="J1935" s="1">
        <v>4</v>
      </c>
      <c r="K1935" s="1" t="s">
        <v>19</v>
      </c>
      <c r="L1935" s="1" t="s">
        <v>33</v>
      </c>
      <c r="M1935" s="1">
        <f>orders[[#This Row],[Ship Date]]-orders[[#This Row],[Order Date]]</f>
        <v>1</v>
      </c>
      <c r="N1935" s="1">
        <f>WEEKNUM(orders[[#This Row],[Order Date]])</f>
        <v>11</v>
      </c>
      <c r="O1935" s="1"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s="1">
        <v>30.1</v>
      </c>
      <c r="F1936" s="2">
        <v>45728</v>
      </c>
      <c r="G1936" s="2">
        <v>45731</v>
      </c>
      <c r="H1936" s="1" t="s">
        <v>27</v>
      </c>
      <c r="I1936" s="1" t="s">
        <v>51</v>
      </c>
      <c r="J1936" s="1">
        <v>3</v>
      </c>
      <c r="K1936" s="1" t="s">
        <v>19</v>
      </c>
      <c r="L1936" s="1" t="s">
        <v>33</v>
      </c>
      <c r="M1936" s="1">
        <f>orders[[#This Row],[Ship Date]]-orders[[#This Row],[Order Date]]</f>
        <v>3</v>
      </c>
      <c r="N1936" s="1">
        <f>WEEKNUM(orders[[#This Row],[Order Date]])</f>
        <v>11</v>
      </c>
      <c r="O1936" s="1"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s="1">
        <v>16.3</v>
      </c>
      <c r="F1937" s="2">
        <v>45728</v>
      </c>
      <c r="G1937" s="2">
        <v>45729</v>
      </c>
      <c r="H1937" s="1" t="s">
        <v>23</v>
      </c>
      <c r="I1937" s="1" t="s">
        <v>51</v>
      </c>
      <c r="J1937" s="1">
        <v>4</v>
      </c>
      <c r="K1937" s="1" t="s">
        <v>19</v>
      </c>
      <c r="L1937" s="1" t="s">
        <v>33</v>
      </c>
      <c r="M1937" s="1">
        <f>orders[[#This Row],[Ship Date]]-orders[[#This Row],[Order Date]]</f>
        <v>1</v>
      </c>
      <c r="N1937" s="1">
        <f>WEEKNUM(orders[[#This Row],[Order Date]])</f>
        <v>11</v>
      </c>
      <c r="O1937" s="1"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s="1">
        <v>191.39999999999998</v>
      </c>
      <c r="F1938" s="2">
        <v>45728</v>
      </c>
      <c r="G1938" s="2">
        <v>45733</v>
      </c>
      <c r="H1938" s="1" t="s">
        <v>27</v>
      </c>
      <c r="I1938" s="1" t="s">
        <v>40</v>
      </c>
      <c r="J1938" s="1">
        <v>3</v>
      </c>
      <c r="K1938" s="1" t="s">
        <v>19</v>
      </c>
      <c r="L1938" s="1" t="s">
        <v>33</v>
      </c>
      <c r="M1938" s="1">
        <f>orders[[#This Row],[Ship Date]]-orders[[#This Row],[Order Date]]</f>
        <v>5</v>
      </c>
      <c r="N1938" s="1">
        <f>WEEKNUM(orders[[#This Row],[Order Date]])</f>
        <v>11</v>
      </c>
      <c r="O1938" s="1"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s="1">
        <v>517.30000000000007</v>
      </c>
      <c r="F1939" s="2">
        <v>45728</v>
      </c>
      <c r="G1939" s="2">
        <v>45728</v>
      </c>
      <c r="H1939" s="1" t="s">
        <v>27</v>
      </c>
      <c r="I1939" s="1" t="s">
        <v>18</v>
      </c>
      <c r="J1939" s="1">
        <v>3</v>
      </c>
      <c r="K1939" s="1" t="s">
        <v>19</v>
      </c>
      <c r="L1939" s="1" t="s">
        <v>33</v>
      </c>
      <c r="M1939" s="1">
        <f>orders[[#This Row],[Ship Date]]-orders[[#This Row],[Order Date]]</f>
        <v>0</v>
      </c>
      <c r="N1939" s="1">
        <f>WEEKNUM(orders[[#This Row],[Order Date]])</f>
        <v>11</v>
      </c>
      <c r="O1939" s="1"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s="1">
        <v>40.4</v>
      </c>
      <c r="F1940" s="2">
        <v>45728</v>
      </c>
      <c r="G1940" s="2">
        <v>45729</v>
      </c>
      <c r="H1940" s="1" t="s">
        <v>23</v>
      </c>
      <c r="I1940" s="1" t="s">
        <v>18</v>
      </c>
      <c r="J1940" s="1">
        <v>3</v>
      </c>
      <c r="K1940" s="1" t="s">
        <v>19</v>
      </c>
      <c r="L1940" s="1" t="s">
        <v>33</v>
      </c>
      <c r="M1940" s="1">
        <f>orders[[#This Row],[Ship Date]]-orders[[#This Row],[Order Date]]</f>
        <v>1</v>
      </c>
      <c r="N1940" s="1">
        <f>WEEKNUM(orders[[#This Row],[Order Date]])</f>
        <v>11</v>
      </c>
      <c r="O1940" s="1"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s="1">
        <v>324.5</v>
      </c>
      <c r="F1941" s="2">
        <v>45728</v>
      </c>
      <c r="G1941" s="2">
        <v>45729</v>
      </c>
      <c r="H1941" s="1" t="s">
        <v>23</v>
      </c>
      <c r="I1941" s="1" t="s">
        <v>18</v>
      </c>
      <c r="J1941" s="1">
        <v>4</v>
      </c>
      <c r="K1941" s="1" t="s">
        <v>19</v>
      </c>
      <c r="L1941" s="1" t="s">
        <v>33</v>
      </c>
      <c r="M1941" s="1">
        <f>orders[[#This Row],[Ship Date]]-orders[[#This Row],[Order Date]]</f>
        <v>1</v>
      </c>
      <c r="N1941" s="1">
        <f>WEEKNUM(orders[[#This Row],[Order Date]])</f>
        <v>11</v>
      </c>
      <c r="O1941" s="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s="1">
        <v>265.3</v>
      </c>
      <c r="F1942" s="2">
        <v>45728</v>
      </c>
      <c r="G1942" s="2">
        <v>45729</v>
      </c>
      <c r="H1942" s="1" t="s">
        <v>23</v>
      </c>
      <c r="I1942" s="1" t="s">
        <v>35</v>
      </c>
      <c r="J1942" s="1">
        <v>4</v>
      </c>
      <c r="K1942" s="1" t="s">
        <v>19</v>
      </c>
      <c r="L1942" s="1" t="s">
        <v>33</v>
      </c>
      <c r="M1942" s="1">
        <f>orders[[#This Row],[Ship Date]]-orders[[#This Row],[Order Date]]</f>
        <v>1</v>
      </c>
      <c r="N1942" s="1">
        <f>WEEKNUM(orders[[#This Row],[Order Date]])</f>
        <v>11</v>
      </c>
      <c r="O1942" s="1"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s="1">
        <v>56.5</v>
      </c>
      <c r="F1943" s="2">
        <v>45728</v>
      </c>
      <c r="G1943" s="2">
        <v>45729</v>
      </c>
      <c r="H1943" s="1" t="s">
        <v>27</v>
      </c>
      <c r="I1943" s="1" t="s">
        <v>40</v>
      </c>
      <c r="J1943" s="1">
        <v>3</v>
      </c>
      <c r="K1943" s="1" t="s">
        <v>19</v>
      </c>
      <c r="L1943" s="1" t="s">
        <v>33</v>
      </c>
      <c r="M1943" s="1">
        <f>orders[[#This Row],[Ship Date]]-orders[[#This Row],[Order Date]]</f>
        <v>1</v>
      </c>
      <c r="N1943" s="1">
        <f>WEEKNUM(orders[[#This Row],[Order Date]])</f>
        <v>11</v>
      </c>
      <c r="O1943" s="1"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s="1">
        <v>133.80000000000001</v>
      </c>
      <c r="F1944" s="2">
        <v>45728</v>
      </c>
      <c r="G1944" s="2">
        <v>45734</v>
      </c>
      <c r="H1944" s="1" t="s">
        <v>23</v>
      </c>
      <c r="I1944" s="1" t="s">
        <v>35</v>
      </c>
      <c r="J1944" s="1">
        <v>2</v>
      </c>
      <c r="K1944" s="1" t="s">
        <v>19</v>
      </c>
      <c r="L1944" s="1" t="s">
        <v>188</v>
      </c>
      <c r="M1944" s="1">
        <f>orders[[#This Row],[Ship Date]]-orders[[#This Row],[Order Date]]</f>
        <v>6</v>
      </c>
      <c r="N1944" s="1">
        <f>WEEKNUM(orders[[#This Row],[Order Date]])</f>
        <v>11</v>
      </c>
      <c r="O1944" s="1"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s="1">
        <v>259.5</v>
      </c>
      <c r="F1945" s="2">
        <v>45728</v>
      </c>
      <c r="G1945" s="2">
        <v>45731</v>
      </c>
      <c r="H1945" s="1" t="s">
        <v>23</v>
      </c>
      <c r="I1945" s="1" t="s">
        <v>35</v>
      </c>
      <c r="J1945" s="1">
        <v>4</v>
      </c>
      <c r="K1945" s="1" t="s">
        <v>19</v>
      </c>
      <c r="L1945" s="1" t="s">
        <v>59</v>
      </c>
      <c r="M1945" s="1">
        <f>orders[[#This Row],[Ship Date]]-orders[[#This Row],[Order Date]]</f>
        <v>3</v>
      </c>
      <c r="N1945" s="1">
        <f>WEEKNUM(orders[[#This Row],[Order Date]])</f>
        <v>11</v>
      </c>
      <c r="O1945" s="1"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s="1">
        <v>151.19999999999999</v>
      </c>
      <c r="F1946" s="2">
        <v>45728</v>
      </c>
      <c r="G1946" s="2">
        <v>45731</v>
      </c>
      <c r="H1946" s="1" t="s">
        <v>23</v>
      </c>
      <c r="I1946" s="1" t="s">
        <v>35</v>
      </c>
      <c r="J1946" s="1">
        <v>4</v>
      </c>
      <c r="K1946" s="1" t="s">
        <v>19</v>
      </c>
      <c r="L1946" s="1" t="s">
        <v>62</v>
      </c>
      <c r="M1946" s="1">
        <f>orders[[#This Row],[Ship Date]]-orders[[#This Row],[Order Date]]</f>
        <v>3</v>
      </c>
      <c r="N1946" s="1">
        <f>WEEKNUM(orders[[#This Row],[Order Date]])</f>
        <v>11</v>
      </c>
      <c r="O1946" s="1"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s="1">
        <v>283.79999999999995</v>
      </c>
      <c r="F1947" s="2">
        <v>45728</v>
      </c>
      <c r="G1947" s="2">
        <v>45739</v>
      </c>
      <c r="H1947" s="1" t="s">
        <v>23</v>
      </c>
      <c r="I1947" s="1" t="s">
        <v>18</v>
      </c>
      <c r="J1947" s="1">
        <v>4</v>
      </c>
      <c r="K1947" s="1" t="s">
        <v>19</v>
      </c>
      <c r="L1947" s="1" t="s">
        <v>62</v>
      </c>
      <c r="M1947" s="1">
        <f>orders[[#This Row],[Ship Date]]-orders[[#This Row],[Order Date]]</f>
        <v>11</v>
      </c>
      <c r="N1947" s="1">
        <f>WEEKNUM(orders[[#This Row],[Order Date]])</f>
        <v>11</v>
      </c>
      <c r="O1947" s="1"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s="1">
        <v>20.6</v>
      </c>
      <c r="F1948" s="2">
        <v>45728</v>
      </c>
      <c r="G1948" s="2">
        <v>45729</v>
      </c>
      <c r="H1948" s="1" t="s">
        <v>17</v>
      </c>
      <c r="I1948" s="1" t="s">
        <v>18</v>
      </c>
      <c r="J1948" s="1">
        <v>3</v>
      </c>
      <c r="K1948" s="1" t="s">
        <v>19</v>
      </c>
      <c r="L1948" s="1" t="s">
        <v>62</v>
      </c>
      <c r="M1948" s="1">
        <f>orders[[#This Row],[Ship Date]]-orders[[#This Row],[Order Date]]</f>
        <v>1</v>
      </c>
      <c r="N1948" s="1">
        <f>WEEKNUM(orders[[#This Row],[Order Date]])</f>
        <v>11</v>
      </c>
      <c r="O1948" s="1"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s="1">
        <v>149.10000000000002</v>
      </c>
      <c r="F1949" s="2">
        <v>45728</v>
      </c>
      <c r="G1949" s="2">
        <v>45730</v>
      </c>
      <c r="H1949" s="1" t="s">
        <v>23</v>
      </c>
      <c r="I1949" s="1" t="s">
        <v>18</v>
      </c>
      <c r="J1949" s="1">
        <v>3</v>
      </c>
      <c r="K1949" s="1" t="s">
        <v>19</v>
      </c>
      <c r="L1949" s="1" t="s">
        <v>62</v>
      </c>
      <c r="M1949" s="1">
        <f>orders[[#This Row],[Ship Date]]-orders[[#This Row],[Order Date]]</f>
        <v>2</v>
      </c>
      <c r="N1949" s="1">
        <f>WEEKNUM(orders[[#This Row],[Order Date]])</f>
        <v>11</v>
      </c>
      <c r="O1949" s="1"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s="1">
        <v>37.9</v>
      </c>
      <c r="F1950" s="2">
        <v>45728</v>
      </c>
      <c r="G1950" s="2">
        <v>45730</v>
      </c>
      <c r="H1950" s="1" t="s">
        <v>27</v>
      </c>
      <c r="I1950" s="1" t="s">
        <v>18</v>
      </c>
      <c r="J1950" s="1">
        <v>4</v>
      </c>
      <c r="K1950" s="1" t="s">
        <v>19</v>
      </c>
      <c r="L1950" s="1" t="s">
        <v>62</v>
      </c>
      <c r="M1950" s="1">
        <f>orders[[#This Row],[Ship Date]]-orders[[#This Row],[Order Date]]</f>
        <v>2</v>
      </c>
      <c r="N1950" s="1">
        <f>WEEKNUM(orders[[#This Row],[Order Date]])</f>
        <v>11</v>
      </c>
      <c r="O1950" s="1"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s="1">
        <v>480</v>
      </c>
      <c r="F1951" s="2">
        <v>45728</v>
      </c>
      <c r="G1951" s="2">
        <v>45730</v>
      </c>
      <c r="H1951" s="1" t="s">
        <v>27</v>
      </c>
      <c r="I1951" s="1" t="s">
        <v>70</v>
      </c>
      <c r="J1951" s="1">
        <v>4</v>
      </c>
      <c r="K1951" s="1" t="s">
        <v>19</v>
      </c>
      <c r="L1951" s="1" t="s">
        <v>77</v>
      </c>
      <c r="M1951" s="1">
        <f>orders[[#This Row],[Ship Date]]-orders[[#This Row],[Order Date]]</f>
        <v>2</v>
      </c>
      <c r="N1951" s="1">
        <f>WEEKNUM(orders[[#This Row],[Order Date]])</f>
        <v>11</v>
      </c>
      <c r="O1951" s="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s="1">
        <v>693</v>
      </c>
      <c r="F1952" s="2">
        <v>45729</v>
      </c>
      <c r="G1952" s="2">
        <v>45730</v>
      </c>
      <c r="H1952" s="1" t="s">
        <v>23</v>
      </c>
      <c r="I1952" s="1" t="s">
        <v>18</v>
      </c>
      <c r="J1952" s="1">
        <v>5</v>
      </c>
      <c r="K1952" s="1" t="s">
        <v>19</v>
      </c>
      <c r="L1952" s="1" t="s">
        <v>77</v>
      </c>
      <c r="M1952" s="1">
        <f>orders[[#This Row],[Ship Date]]-orders[[#This Row],[Order Date]]</f>
        <v>1</v>
      </c>
      <c r="N1952" s="1">
        <f>WEEKNUM(orders[[#This Row],[Order Date]])</f>
        <v>11</v>
      </c>
      <c r="O1952" s="1"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s="1">
        <v>46.8</v>
      </c>
      <c r="F1953" s="2">
        <v>45729</v>
      </c>
      <c r="G1953" s="2">
        <v>45731</v>
      </c>
      <c r="H1953" s="1" t="s">
        <v>27</v>
      </c>
      <c r="I1953" s="1" t="s">
        <v>35</v>
      </c>
      <c r="J1953" s="1">
        <v>4</v>
      </c>
      <c r="K1953" s="1" t="s">
        <v>19</v>
      </c>
      <c r="L1953" s="1" t="s">
        <v>113</v>
      </c>
      <c r="M1953" s="1">
        <f>orders[[#This Row],[Ship Date]]-orders[[#This Row],[Order Date]]</f>
        <v>2</v>
      </c>
      <c r="N1953" s="1">
        <f>WEEKNUM(orders[[#This Row],[Order Date]])</f>
        <v>11</v>
      </c>
      <c r="O1953" s="1"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s="1">
        <v>502.79999999999995</v>
      </c>
      <c r="F1954" s="2">
        <v>45729</v>
      </c>
      <c r="G1954" s="2">
        <v>45730</v>
      </c>
      <c r="H1954" s="1" t="s">
        <v>23</v>
      </c>
      <c r="I1954" s="1" t="s">
        <v>18</v>
      </c>
      <c r="J1954" s="1">
        <v>4</v>
      </c>
      <c r="K1954" s="1" t="s">
        <v>19</v>
      </c>
      <c r="L1954" s="1" t="s">
        <v>115</v>
      </c>
      <c r="M1954" s="1">
        <f>orders[[#This Row],[Ship Date]]-orders[[#This Row],[Order Date]]</f>
        <v>1</v>
      </c>
      <c r="N1954" s="1">
        <f>WEEKNUM(orders[[#This Row],[Order Date]])</f>
        <v>11</v>
      </c>
      <c r="O1954" s="1"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s="1">
        <v>98</v>
      </c>
      <c r="F1955" s="2">
        <v>45729</v>
      </c>
      <c r="G1955" s="2">
        <v>45732</v>
      </c>
      <c r="H1955" s="1" t="s">
        <v>23</v>
      </c>
      <c r="I1955" s="1" t="s">
        <v>18</v>
      </c>
      <c r="J1955" s="1">
        <v>3</v>
      </c>
      <c r="K1955" s="1" t="s">
        <v>19</v>
      </c>
      <c r="L1955" s="1" t="s">
        <v>147</v>
      </c>
      <c r="M1955" s="1">
        <f>orders[[#This Row],[Ship Date]]-orders[[#This Row],[Order Date]]</f>
        <v>3</v>
      </c>
      <c r="N1955" s="1">
        <f>WEEKNUM(orders[[#This Row],[Order Date]])</f>
        <v>11</v>
      </c>
      <c r="O1955" s="1"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s="1">
        <v>309.2</v>
      </c>
      <c r="F1956" s="2">
        <v>45729</v>
      </c>
      <c r="G1956" s="2">
        <v>45731</v>
      </c>
      <c r="H1956" s="1" t="s">
        <v>27</v>
      </c>
      <c r="I1956" s="1" t="s">
        <v>70</v>
      </c>
      <c r="J1956" s="1">
        <v>5</v>
      </c>
      <c r="K1956" s="1" t="s">
        <v>19</v>
      </c>
      <c r="L1956" s="1" t="s">
        <v>33</v>
      </c>
      <c r="M1956" s="1">
        <f>orders[[#This Row],[Ship Date]]-orders[[#This Row],[Order Date]]</f>
        <v>2</v>
      </c>
      <c r="N1956" s="1">
        <f>WEEKNUM(orders[[#This Row],[Order Date]])</f>
        <v>11</v>
      </c>
      <c r="O1956" s="1"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s="1">
        <v>153.80000000000001</v>
      </c>
      <c r="F1957" s="2">
        <v>45729</v>
      </c>
      <c r="G1957" s="2">
        <v>45733</v>
      </c>
      <c r="H1957" s="1" t="s">
        <v>27</v>
      </c>
      <c r="I1957" s="1" t="s">
        <v>18</v>
      </c>
      <c r="J1957" s="1">
        <v>3</v>
      </c>
      <c r="K1957" s="1" t="s">
        <v>19</v>
      </c>
      <c r="L1957" s="1" t="s">
        <v>33</v>
      </c>
      <c r="M1957" s="1">
        <f>orders[[#This Row],[Ship Date]]-orders[[#This Row],[Order Date]]</f>
        <v>4</v>
      </c>
      <c r="N1957" s="1">
        <f>WEEKNUM(orders[[#This Row],[Order Date]])</f>
        <v>11</v>
      </c>
      <c r="O1957" s="1"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s="1">
        <v>48</v>
      </c>
      <c r="F1958" s="2">
        <v>45729</v>
      </c>
      <c r="G1958" s="2">
        <v>45731</v>
      </c>
      <c r="H1958" s="1" t="s">
        <v>27</v>
      </c>
      <c r="I1958" s="1" t="s">
        <v>35</v>
      </c>
      <c r="J1958" s="1">
        <v>5</v>
      </c>
      <c r="K1958" s="1" t="s">
        <v>19</v>
      </c>
      <c r="L1958" s="1" t="s">
        <v>33</v>
      </c>
      <c r="M1958" s="1">
        <f>orders[[#This Row],[Ship Date]]-orders[[#This Row],[Order Date]]</f>
        <v>2</v>
      </c>
      <c r="N1958" s="1">
        <f>WEEKNUM(orders[[#This Row],[Order Date]])</f>
        <v>11</v>
      </c>
      <c r="O1958" s="1"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s="1">
        <v>94.5</v>
      </c>
      <c r="F1959" s="2">
        <v>45729</v>
      </c>
      <c r="G1959" s="2">
        <v>45732</v>
      </c>
      <c r="H1959" s="1" t="s">
        <v>23</v>
      </c>
      <c r="I1959" s="1" t="s">
        <v>35</v>
      </c>
      <c r="J1959" s="1">
        <v>3</v>
      </c>
      <c r="K1959" s="1" t="s">
        <v>19</v>
      </c>
      <c r="L1959" s="1" t="s">
        <v>33</v>
      </c>
      <c r="M1959" s="1">
        <f>orders[[#This Row],[Ship Date]]-orders[[#This Row],[Order Date]]</f>
        <v>3</v>
      </c>
      <c r="N1959" s="1">
        <f>WEEKNUM(orders[[#This Row],[Order Date]])</f>
        <v>11</v>
      </c>
      <c r="O1959" s="1"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s="1">
        <v>175.2</v>
      </c>
      <c r="F1960" s="2">
        <v>45729</v>
      </c>
      <c r="G1960" s="2">
        <v>45731</v>
      </c>
      <c r="H1960" s="1" t="s">
        <v>27</v>
      </c>
      <c r="I1960" s="1" t="s">
        <v>35</v>
      </c>
      <c r="J1960" s="1">
        <v>5</v>
      </c>
      <c r="K1960" s="1" t="s">
        <v>19</v>
      </c>
      <c r="L1960" s="1" t="s">
        <v>33</v>
      </c>
      <c r="M1960" s="1">
        <f>orders[[#This Row],[Ship Date]]-orders[[#This Row],[Order Date]]</f>
        <v>2</v>
      </c>
      <c r="N1960" s="1">
        <f>WEEKNUM(orders[[#This Row],[Order Date]])</f>
        <v>11</v>
      </c>
      <c r="O1960" s="1"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s="1">
        <v>548.6</v>
      </c>
      <c r="F1961" s="2">
        <v>45729</v>
      </c>
      <c r="G1961" s="2">
        <v>45729</v>
      </c>
      <c r="H1961" s="1" t="s">
        <v>23</v>
      </c>
      <c r="I1961" s="1" t="s">
        <v>18</v>
      </c>
      <c r="J1961" s="1">
        <v>4</v>
      </c>
      <c r="K1961" s="1" t="s">
        <v>19</v>
      </c>
      <c r="L1961" s="1" t="s">
        <v>188</v>
      </c>
      <c r="M1961" s="1">
        <f>orders[[#This Row],[Ship Date]]-orders[[#This Row],[Order Date]]</f>
        <v>0</v>
      </c>
      <c r="N1961" s="1">
        <f>WEEKNUM(orders[[#This Row],[Order Date]])</f>
        <v>11</v>
      </c>
      <c r="O1961" s="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s="1">
        <v>304.39999999999998</v>
      </c>
      <c r="F1962" s="2">
        <v>45729</v>
      </c>
      <c r="G1962" s="2">
        <v>45730</v>
      </c>
      <c r="H1962" s="1" t="s">
        <v>23</v>
      </c>
      <c r="I1962" s="1" t="s">
        <v>70</v>
      </c>
      <c r="J1962" s="1">
        <v>3</v>
      </c>
      <c r="K1962" s="1" t="s">
        <v>19</v>
      </c>
      <c r="L1962" s="1" t="s">
        <v>188</v>
      </c>
      <c r="M1962" s="1">
        <f>orders[[#This Row],[Ship Date]]-orders[[#This Row],[Order Date]]</f>
        <v>1</v>
      </c>
      <c r="N1962" s="1">
        <f>WEEKNUM(orders[[#This Row],[Order Date]])</f>
        <v>11</v>
      </c>
      <c r="O1962" s="1"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s="1">
        <v>1728</v>
      </c>
      <c r="F1963" s="2">
        <v>45729</v>
      </c>
      <c r="G1963" s="2">
        <v>45730</v>
      </c>
      <c r="H1963" s="1" t="s">
        <v>23</v>
      </c>
      <c r="I1963" s="1" t="s">
        <v>18</v>
      </c>
      <c r="J1963" s="1">
        <v>3</v>
      </c>
      <c r="K1963" s="1" t="s">
        <v>19</v>
      </c>
      <c r="L1963" s="1" t="s">
        <v>55</v>
      </c>
      <c r="M1963" s="1">
        <f>orders[[#This Row],[Ship Date]]-orders[[#This Row],[Order Date]]</f>
        <v>1</v>
      </c>
      <c r="N1963" s="1">
        <f>WEEKNUM(orders[[#This Row],[Order Date]])</f>
        <v>11</v>
      </c>
      <c r="O1963" s="1"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s="1">
        <v>1630.7</v>
      </c>
      <c r="F1964" s="2">
        <v>45729</v>
      </c>
      <c r="G1964" s="2">
        <v>45730</v>
      </c>
      <c r="H1964" s="1" t="s">
        <v>27</v>
      </c>
      <c r="I1964" s="1" t="s">
        <v>40</v>
      </c>
      <c r="J1964" s="1">
        <v>4</v>
      </c>
      <c r="K1964" s="1" t="s">
        <v>19</v>
      </c>
      <c r="L1964" s="1" t="s">
        <v>62</v>
      </c>
      <c r="M1964" s="1">
        <f>orders[[#This Row],[Ship Date]]-orders[[#This Row],[Order Date]]</f>
        <v>1</v>
      </c>
      <c r="N1964" s="1">
        <f>WEEKNUM(orders[[#This Row],[Order Date]])</f>
        <v>11</v>
      </c>
      <c r="O1964" s="1"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s="1">
        <v>107.4</v>
      </c>
      <c r="F1965" s="2">
        <v>45729</v>
      </c>
      <c r="G1965" s="2">
        <v>45730</v>
      </c>
      <c r="H1965" s="1" t="s">
        <v>23</v>
      </c>
      <c r="I1965" s="1" t="s">
        <v>40</v>
      </c>
      <c r="J1965" s="1">
        <v>5</v>
      </c>
      <c r="K1965" s="1" t="s">
        <v>19</v>
      </c>
      <c r="L1965" s="1" t="s">
        <v>62</v>
      </c>
      <c r="M1965" s="1">
        <f>orders[[#This Row],[Ship Date]]-orders[[#This Row],[Order Date]]</f>
        <v>1</v>
      </c>
      <c r="N1965" s="1">
        <f>WEEKNUM(orders[[#This Row],[Order Date]])</f>
        <v>11</v>
      </c>
      <c r="O1965" s="1"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s="1">
        <v>171.6</v>
      </c>
      <c r="F1966" s="2">
        <v>45729</v>
      </c>
      <c r="G1966" s="2">
        <v>45730</v>
      </c>
      <c r="H1966" s="1" t="s">
        <v>27</v>
      </c>
      <c r="I1966" s="1" t="s">
        <v>40</v>
      </c>
      <c r="J1966" s="1">
        <v>2</v>
      </c>
      <c r="K1966" s="1" t="s">
        <v>19</v>
      </c>
      <c r="L1966" s="1" t="s">
        <v>72</v>
      </c>
      <c r="M1966" s="1">
        <f>orders[[#This Row],[Ship Date]]-orders[[#This Row],[Order Date]]</f>
        <v>1</v>
      </c>
      <c r="N1966" s="1">
        <f>WEEKNUM(orders[[#This Row],[Order Date]])</f>
        <v>11</v>
      </c>
      <c r="O1966" s="1"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s="1">
        <v>752.5</v>
      </c>
      <c r="F1967" s="2">
        <v>45729</v>
      </c>
      <c r="G1967" s="2">
        <v>45730</v>
      </c>
      <c r="H1967" s="1" t="s">
        <v>23</v>
      </c>
      <c r="I1967" s="1" t="s">
        <v>35</v>
      </c>
      <c r="J1967" s="1">
        <v>4</v>
      </c>
      <c r="K1967" s="1" t="s">
        <v>19</v>
      </c>
      <c r="L1967" s="1" t="s">
        <v>77</v>
      </c>
      <c r="M1967" s="1">
        <f>orders[[#This Row],[Ship Date]]-orders[[#This Row],[Order Date]]</f>
        <v>1</v>
      </c>
      <c r="N1967" s="1">
        <f>WEEKNUM(orders[[#This Row],[Order Date]])</f>
        <v>11</v>
      </c>
      <c r="O1967" s="1"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s="1">
        <v>344</v>
      </c>
      <c r="F1968" s="2">
        <v>45729</v>
      </c>
      <c r="G1968" s="2">
        <v>45730</v>
      </c>
      <c r="H1968" s="1" t="s">
        <v>23</v>
      </c>
      <c r="I1968" s="1" t="s">
        <v>35</v>
      </c>
      <c r="J1968" s="1">
        <v>3</v>
      </c>
      <c r="K1968" s="1" t="s">
        <v>19</v>
      </c>
      <c r="L1968" s="1" t="s">
        <v>309</v>
      </c>
      <c r="M1968" s="1">
        <f>orders[[#This Row],[Ship Date]]-orders[[#This Row],[Order Date]]</f>
        <v>1</v>
      </c>
      <c r="N1968" s="1">
        <f>WEEKNUM(orders[[#This Row],[Order Date]])</f>
        <v>11</v>
      </c>
      <c r="O1968" s="1"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s="1">
        <v>426.5</v>
      </c>
      <c r="F1969" s="2">
        <v>45729</v>
      </c>
      <c r="G1969" s="2">
        <v>45731</v>
      </c>
      <c r="H1969" s="1" t="s">
        <v>27</v>
      </c>
      <c r="I1969" s="1" t="s">
        <v>51</v>
      </c>
      <c r="J1969" s="1">
        <v>4</v>
      </c>
      <c r="K1969" s="1" t="s">
        <v>19</v>
      </c>
      <c r="L1969" s="1" t="s">
        <v>108</v>
      </c>
      <c r="M1969" s="1">
        <f>orders[[#This Row],[Ship Date]]-orders[[#This Row],[Order Date]]</f>
        <v>2</v>
      </c>
      <c r="N1969" s="1">
        <f>WEEKNUM(orders[[#This Row],[Order Date]])</f>
        <v>11</v>
      </c>
      <c r="O1969" s="1"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s="1">
        <v>404</v>
      </c>
      <c r="F1970" s="2">
        <v>45729</v>
      </c>
      <c r="G1970" s="2">
        <v>45737</v>
      </c>
      <c r="H1970" s="1" t="s">
        <v>89</v>
      </c>
      <c r="I1970" s="1" t="s">
        <v>35</v>
      </c>
      <c r="J1970" s="1">
        <v>3</v>
      </c>
      <c r="K1970" s="1" t="s">
        <v>19</v>
      </c>
      <c r="L1970" s="1" t="s">
        <v>110</v>
      </c>
      <c r="M1970" s="1">
        <f>orders[[#This Row],[Ship Date]]-orders[[#This Row],[Order Date]]</f>
        <v>8</v>
      </c>
      <c r="N1970" s="1">
        <f>WEEKNUM(orders[[#This Row],[Order Date]])</f>
        <v>11</v>
      </c>
      <c r="O1970" s="1"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s="1">
        <v>369.29999999999995</v>
      </c>
      <c r="F1971" s="2">
        <v>45729</v>
      </c>
      <c r="G1971" s="2">
        <v>45731</v>
      </c>
      <c r="H1971" s="1" t="s">
        <v>17</v>
      </c>
      <c r="I1971" s="1" t="s">
        <v>40</v>
      </c>
      <c r="J1971" s="1">
        <v>4</v>
      </c>
      <c r="K1971" s="1" t="s">
        <v>19</v>
      </c>
      <c r="L1971" s="1" t="s">
        <v>115</v>
      </c>
      <c r="M1971" s="1">
        <f>orders[[#This Row],[Ship Date]]-orders[[#This Row],[Order Date]]</f>
        <v>2</v>
      </c>
      <c r="N1971" s="1">
        <f>WEEKNUM(orders[[#This Row],[Order Date]])</f>
        <v>11</v>
      </c>
      <c r="O1971" s="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s="1">
        <v>73.8</v>
      </c>
      <c r="F1972" s="2">
        <v>45729</v>
      </c>
      <c r="G1972" s="2">
        <v>45731</v>
      </c>
      <c r="H1972" s="1" t="s">
        <v>27</v>
      </c>
      <c r="I1972" s="1" t="s">
        <v>40</v>
      </c>
      <c r="J1972" s="1">
        <v>2</v>
      </c>
      <c r="K1972" s="1" t="s">
        <v>19</v>
      </c>
      <c r="L1972" s="1" t="s">
        <v>967</v>
      </c>
      <c r="M1972" s="1">
        <f>orders[[#This Row],[Ship Date]]-orders[[#This Row],[Order Date]]</f>
        <v>2</v>
      </c>
      <c r="N1972" s="1">
        <f>WEEKNUM(orders[[#This Row],[Order Date]])</f>
        <v>11</v>
      </c>
      <c r="O1972" s="1"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s="1">
        <v>200</v>
      </c>
      <c r="F1973" s="2">
        <v>45729</v>
      </c>
      <c r="G1973" s="2">
        <v>45730</v>
      </c>
      <c r="H1973" s="1" t="s">
        <v>23</v>
      </c>
      <c r="I1973" s="1" t="s">
        <v>18</v>
      </c>
      <c r="J1973" s="1">
        <v>4</v>
      </c>
      <c r="K1973" s="1" t="s">
        <v>19</v>
      </c>
      <c r="L1973" s="1" t="s">
        <v>24</v>
      </c>
      <c r="M1973" s="1">
        <f>orders[[#This Row],[Ship Date]]-orders[[#This Row],[Order Date]]</f>
        <v>1</v>
      </c>
      <c r="N1973" s="1">
        <f>WEEKNUM(orders[[#This Row],[Order Date]])</f>
        <v>11</v>
      </c>
      <c r="O1973" s="1"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s="1">
        <v>166.5</v>
      </c>
      <c r="F1974" s="2">
        <v>45729</v>
      </c>
      <c r="G1974" s="2">
        <v>45730</v>
      </c>
      <c r="H1974" s="1" t="s">
        <v>23</v>
      </c>
      <c r="I1974" s="1" t="s">
        <v>70</v>
      </c>
      <c r="J1974" s="1">
        <v>5</v>
      </c>
      <c r="K1974" s="1" t="s">
        <v>19</v>
      </c>
      <c r="L1974" s="1" t="s">
        <v>24</v>
      </c>
      <c r="M1974" s="1">
        <f>orders[[#This Row],[Ship Date]]-orders[[#This Row],[Order Date]]</f>
        <v>1</v>
      </c>
      <c r="N1974" s="1">
        <f>WEEKNUM(orders[[#This Row],[Order Date]])</f>
        <v>11</v>
      </c>
      <c r="O1974" s="1"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s="1">
        <v>82</v>
      </c>
      <c r="F1975" s="2">
        <v>45729</v>
      </c>
      <c r="G1975" s="2">
        <v>45733</v>
      </c>
      <c r="H1975" s="1" t="s">
        <v>27</v>
      </c>
      <c r="I1975" s="1" t="s">
        <v>70</v>
      </c>
      <c r="J1975" s="1">
        <v>4</v>
      </c>
      <c r="K1975" s="1" t="s">
        <v>19</v>
      </c>
      <c r="L1975" s="1" t="s">
        <v>24</v>
      </c>
      <c r="M1975" s="1">
        <f>orders[[#This Row],[Ship Date]]-orders[[#This Row],[Order Date]]</f>
        <v>4</v>
      </c>
      <c r="N1975" s="1">
        <f>WEEKNUM(orders[[#This Row],[Order Date]])</f>
        <v>11</v>
      </c>
      <c r="O1975" s="1"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s="1">
        <v>200.4</v>
      </c>
      <c r="F1976" s="2">
        <v>45729</v>
      </c>
      <c r="G1976" s="2">
        <v>45730</v>
      </c>
      <c r="H1976" s="1" t="s">
        <v>27</v>
      </c>
      <c r="I1976" s="1" t="s">
        <v>70</v>
      </c>
      <c r="J1976" s="1">
        <v>4</v>
      </c>
      <c r="K1976" s="1" t="s">
        <v>19</v>
      </c>
      <c r="L1976" s="1" t="s">
        <v>24</v>
      </c>
      <c r="M1976" s="1">
        <f>orders[[#This Row],[Ship Date]]-orders[[#This Row],[Order Date]]</f>
        <v>1</v>
      </c>
      <c r="N1976" s="1">
        <f>WEEKNUM(orders[[#This Row],[Order Date]])</f>
        <v>11</v>
      </c>
      <c r="O1976" s="1"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s="1">
        <v>35.9</v>
      </c>
      <c r="F1977" s="2">
        <v>45729</v>
      </c>
      <c r="G1977" s="2">
        <v>45731</v>
      </c>
      <c r="H1977" s="1" t="s">
        <v>23</v>
      </c>
      <c r="I1977" s="1" t="s">
        <v>35</v>
      </c>
      <c r="J1977" s="1">
        <v>5</v>
      </c>
      <c r="K1977" s="1" t="s">
        <v>19</v>
      </c>
      <c r="L1977" s="1" t="s">
        <v>24</v>
      </c>
      <c r="M1977" s="1">
        <f>orders[[#This Row],[Ship Date]]-orders[[#This Row],[Order Date]]</f>
        <v>2</v>
      </c>
      <c r="N1977" s="1">
        <f>WEEKNUM(orders[[#This Row],[Order Date]])</f>
        <v>11</v>
      </c>
      <c r="O1977" s="1"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s="1">
        <v>117.6</v>
      </c>
      <c r="F1978" s="2">
        <v>45730</v>
      </c>
      <c r="G1978" s="2">
        <v>45731</v>
      </c>
      <c r="H1978" s="1" t="s">
        <v>23</v>
      </c>
      <c r="I1978" s="1" t="s">
        <v>40</v>
      </c>
      <c r="J1978" s="1">
        <v>5</v>
      </c>
      <c r="K1978" s="1" t="s">
        <v>19</v>
      </c>
      <c r="L1978" s="1" t="s">
        <v>331</v>
      </c>
      <c r="M1978" s="1">
        <f>orders[[#This Row],[Ship Date]]-orders[[#This Row],[Order Date]]</f>
        <v>1</v>
      </c>
      <c r="N1978" s="1">
        <f>WEEKNUM(orders[[#This Row],[Order Date]])</f>
        <v>11</v>
      </c>
      <c r="O1978" s="1"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s="1">
        <v>145.5</v>
      </c>
      <c r="F1979" s="2">
        <v>45730</v>
      </c>
      <c r="G1979" s="2">
        <v>45738</v>
      </c>
      <c r="H1979" s="1" t="s">
        <v>89</v>
      </c>
      <c r="I1979" s="1" t="s">
        <v>40</v>
      </c>
      <c r="J1979" s="1">
        <v>3</v>
      </c>
      <c r="K1979" s="1" t="s">
        <v>19</v>
      </c>
      <c r="L1979" s="1" t="s">
        <v>331</v>
      </c>
      <c r="M1979" s="1">
        <f>orders[[#This Row],[Ship Date]]-orders[[#This Row],[Order Date]]</f>
        <v>8</v>
      </c>
      <c r="N1979" s="1">
        <f>WEEKNUM(orders[[#This Row],[Order Date]])</f>
        <v>11</v>
      </c>
      <c r="O1979" s="1"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s="1">
        <v>100.5</v>
      </c>
      <c r="F1980" s="2">
        <v>45730</v>
      </c>
      <c r="G1980" s="2">
        <v>45742</v>
      </c>
      <c r="H1980" s="1" t="s">
        <v>23</v>
      </c>
      <c r="I1980" s="1" t="s">
        <v>18</v>
      </c>
      <c r="J1980" s="1">
        <v>5</v>
      </c>
      <c r="K1980" s="1" t="s">
        <v>19</v>
      </c>
      <c r="L1980" s="1" t="s">
        <v>147</v>
      </c>
      <c r="M1980" s="1">
        <f>orders[[#This Row],[Ship Date]]-orders[[#This Row],[Order Date]]</f>
        <v>12</v>
      </c>
      <c r="N1980" s="1">
        <f>WEEKNUM(orders[[#This Row],[Order Date]])</f>
        <v>11</v>
      </c>
      <c r="O1980" s="1"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s="1">
        <v>360</v>
      </c>
      <c r="F1981" s="2">
        <v>45730</v>
      </c>
      <c r="G1981" s="2">
        <v>45730</v>
      </c>
      <c r="H1981" s="1" t="s">
        <v>23</v>
      </c>
      <c r="I1981" s="1" t="s">
        <v>51</v>
      </c>
      <c r="J1981" s="1">
        <v>5</v>
      </c>
      <c r="K1981" s="1" t="s">
        <v>19</v>
      </c>
      <c r="L1981" s="1" t="s">
        <v>33</v>
      </c>
      <c r="M1981" s="1">
        <f>orders[[#This Row],[Ship Date]]-orders[[#This Row],[Order Date]]</f>
        <v>0</v>
      </c>
      <c r="N1981" s="1">
        <f>WEEKNUM(orders[[#This Row],[Order Date]])</f>
        <v>11</v>
      </c>
      <c r="O1981" s="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s="1">
        <v>171.89999999999998</v>
      </c>
      <c r="F1982" s="2">
        <v>45730</v>
      </c>
      <c r="G1982" s="2">
        <v>45734</v>
      </c>
      <c r="H1982" s="1" t="s">
        <v>27</v>
      </c>
      <c r="I1982" s="1" t="s">
        <v>18</v>
      </c>
      <c r="J1982" s="1">
        <v>5</v>
      </c>
      <c r="K1982" s="1" t="s">
        <v>19</v>
      </c>
      <c r="L1982" s="1" t="s">
        <v>33</v>
      </c>
      <c r="M1982" s="1">
        <f>orders[[#This Row],[Ship Date]]-orders[[#This Row],[Order Date]]</f>
        <v>4</v>
      </c>
      <c r="N1982" s="1">
        <f>WEEKNUM(orders[[#This Row],[Order Date]])</f>
        <v>11</v>
      </c>
      <c r="O1982" s="1"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s="1">
        <v>81.400000000000006</v>
      </c>
      <c r="F1983" s="2">
        <v>45730</v>
      </c>
      <c r="G1983" s="2">
        <v>45731</v>
      </c>
      <c r="H1983" s="1" t="s">
        <v>27</v>
      </c>
      <c r="I1983" s="1" t="s">
        <v>40</v>
      </c>
      <c r="J1983" s="1">
        <v>5</v>
      </c>
      <c r="K1983" s="1" t="s">
        <v>19</v>
      </c>
      <c r="L1983" s="1" t="s">
        <v>33</v>
      </c>
      <c r="M1983" s="1">
        <f>orders[[#This Row],[Ship Date]]-orders[[#This Row],[Order Date]]</f>
        <v>1</v>
      </c>
      <c r="N1983" s="1">
        <f>WEEKNUM(orders[[#This Row],[Order Date]])</f>
        <v>11</v>
      </c>
      <c r="O1983" s="1"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s="1">
        <v>70.599999999999994</v>
      </c>
      <c r="F1984" s="2">
        <v>45730</v>
      </c>
      <c r="G1984" s="2">
        <v>45734</v>
      </c>
      <c r="H1984" s="1" t="s">
        <v>23</v>
      </c>
      <c r="I1984" s="1" t="s">
        <v>18</v>
      </c>
      <c r="J1984" s="1">
        <v>5</v>
      </c>
      <c r="K1984" s="1" t="s">
        <v>19</v>
      </c>
      <c r="L1984" s="1" t="s">
        <v>33</v>
      </c>
      <c r="M1984" s="1">
        <f>orders[[#This Row],[Ship Date]]-orders[[#This Row],[Order Date]]</f>
        <v>4</v>
      </c>
      <c r="N1984" s="1">
        <f>WEEKNUM(orders[[#This Row],[Order Date]])</f>
        <v>11</v>
      </c>
      <c r="O1984" s="1"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s="1">
        <v>36.1</v>
      </c>
      <c r="F1985" s="2">
        <v>45730</v>
      </c>
      <c r="G1985" s="2">
        <v>45731</v>
      </c>
      <c r="H1985" s="1" t="s">
        <v>27</v>
      </c>
      <c r="I1985" s="1" t="s">
        <v>70</v>
      </c>
      <c r="J1985" s="1">
        <v>4</v>
      </c>
      <c r="K1985" s="1" t="s">
        <v>19</v>
      </c>
      <c r="L1985" s="1" t="s">
        <v>33</v>
      </c>
      <c r="M1985" s="1">
        <f>orders[[#This Row],[Ship Date]]-orders[[#This Row],[Order Date]]</f>
        <v>1</v>
      </c>
      <c r="N1985" s="1">
        <f>WEEKNUM(orders[[#This Row],[Order Date]])</f>
        <v>11</v>
      </c>
      <c r="O1985" s="1"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s="1">
        <v>73.400000000000006</v>
      </c>
      <c r="F1986" s="2">
        <v>45730</v>
      </c>
      <c r="G1986" s="2">
        <v>45732</v>
      </c>
      <c r="H1986" s="1" t="s">
        <v>27</v>
      </c>
      <c r="I1986" s="1" t="s">
        <v>18</v>
      </c>
      <c r="J1986" s="1">
        <v>5</v>
      </c>
      <c r="K1986" s="1" t="s">
        <v>19</v>
      </c>
      <c r="L1986" s="1" t="s">
        <v>33</v>
      </c>
      <c r="M1986" s="1">
        <f>orders[[#This Row],[Ship Date]]-orders[[#This Row],[Order Date]]</f>
        <v>2</v>
      </c>
      <c r="N1986" s="1">
        <f>WEEKNUM(orders[[#This Row],[Order Date]])</f>
        <v>11</v>
      </c>
      <c r="O1986" s="1"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s="1">
        <v>20.9</v>
      </c>
      <c r="F1987" s="2">
        <v>45730</v>
      </c>
      <c r="G1987" s="2">
        <v>45732</v>
      </c>
      <c r="H1987" s="1" t="s">
        <v>27</v>
      </c>
      <c r="I1987" s="1" t="s">
        <v>18</v>
      </c>
      <c r="J1987" s="1">
        <v>2</v>
      </c>
      <c r="K1987" s="1" t="s">
        <v>19</v>
      </c>
      <c r="L1987" s="1" t="s">
        <v>33</v>
      </c>
      <c r="M1987" s="1">
        <f>orders[[#This Row],[Ship Date]]-orders[[#This Row],[Order Date]]</f>
        <v>2</v>
      </c>
      <c r="N1987" s="1">
        <f>WEEKNUM(orders[[#This Row],[Order Date]])</f>
        <v>11</v>
      </c>
      <c r="O1987" s="1"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s="1">
        <v>176.39999999999998</v>
      </c>
      <c r="F1988" s="2">
        <v>45730</v>
      </c>
      <c r="G1988" s="2">
        <v>45734</v>
      </c>
      <c r="H1988" s="1" t="s">
        <v>23</v>
      </c>
      <c r="I1988" s="1" t="s">
        <v>18</v>
      </c>
      <c r="J1988" s="1">
        <v>5</v>
      </c>
      <c r="K1988" s="1" t="s">
        <v>19</v>
      </c>
      <c r="L1988" s="1" t="s">
        <v>188</v>
      </c>
      <c r="M1988" s="1">
        <f>orders[[#This Row],[Ship Date]]-orders[[#This Row],[Order Date]]</f>
        <v>4</v>
      </c>
      <c r="N1988" s="1">
        <f>WEEKNUM(orders[[#This Row],[Order Date]])</f>
        <v>11</v>
      </c>
      <c r="O1988" s="1"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s="1">
        <v>292.79999999999995</v>
      </c>
      <c r="F1989" s="2">
        <v>45731</v>
      </c>
      <c r="G1989" s="2">
        <v>45733</v>
      </c>
      <c r="H1989" s="1" t="s">
        <v>17</v>
      </c>
      <c r="I1989" s="1" t="s">
        <v>18</v>
      </c>
      <c r="J1989" s="1">
        <v>4</v>
      </c>
      <c r="K1989" s="1" t="s">
        <v>19</v>
      </c>
      <c r="L1989" s="1" t="s">
        <v>55</v>
      </c>
      <c r="M1989" s="1">
        <f>orders[[#This Row],[Ship Date]]-orders[[#This Row],[Order Date]]</f>
        <v>2</v>
      </c>
      <c r="N1989" s="1">
        <f>WEEKNUM(orders[[#This Row],[Order Date]])</f>
        <v>11</v>
      </c>
      <c r="O1989" s="1"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s="1">
        <v>117.4</v>
      </c>
      <c r="F1990" s="2">
        <v>45731</v>
      </c>
      <c r="G1990" s="2">
        <v>45734</v>
      </c>
      <c r="H1990" s="1" t="s">
        <v>27</v>
      </c>
      <c r="I1990" s="1" t="s">
        <v>18</v>
      </c>
      <c r="J1990" s="1">
        <v>3</v>
      </c>
      <c r="K1990" s="1" t="s">
        <v>19</v>
      </c>
      <c r="L1990" s="1" t="s">
        <v>55</v>
      </c>
      <c r="M1990" s="1">
        <f>orders[[#This Row],[Ship Date]]-orders[[#This Row],[Order Date]]</f>
        <v>3</v>
      </c>
      <c r="N1990" s="1">
        <f>WEEKNUM(orders[[#This Row],[Order Date]])</f>
        <v>11</v>
      </c>
      <c r="O1990" s="1"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s="1">
        <v>359.5</v>
      </c>
      <c r="F1991" s="2">
        <v>45731</v>
      </c>
      <c r="G1991" s="2">
        <v>45732</v>
      </c>
      <c r="H1991" s="1" t="s">
        <v>17</v>
      </c>
      <c r="I1991" s="1" t="s">
        <v>18</v>
      </c>
      <c r="J1991" s="1">
        <v>3</v>
      </c>
      <c r="K1991" s="1" t="s">
        <v>19</v>
      </c>
      <c r="L1991" s="1" t="s">
        <v>55</v>
      </c>
      <c r="M1991" s="1">
        <f>orders[[#This Row],[Ship Date]]-orders[[#This Row],[Order Date]]</f>
        <v>1</v>
      </c>
      <c r="N1991" s="1">
        <f>WEEKNUM(orders[[#This Row],[Order Date]])</f>
        <v>11</v>
      </c>
      <c r="O1991" s="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s="1">
        <v>124.8</v>
      </c>
      <c r="F1992" s="2">
        <v>45731</v>
      </c>
      <c r="G1992" s="2">
        <v>45733</v>
      </c>
      <c r="H1992" s="1" t="s">
        <v>17</v>
      </c>
      <c r="I1992" s="1" t="s">
        <v>18</v>
      </c>
      <c r="J1992" s="1">
        <v>3</v>
      </c>
      <c r="K1992" s="1" t="s">
        <v>19</v>
      </c>
      <c r="L1992" s="1" t="s">
        <v>62</v>
      </c>
      <c r="M1992" s="1">
        <f>orders[[#This Row],[Ship Date]]-orders[[#This Row],[Order Date]]</f>
        <v>2</v>
      </c>
      <c r="N1992" s="1">
        <f>WEEKNUM(orders[[#This Row],[Order Date]])</f>
        <v>11</v>
      </c>
      <c r="O1992" s="1"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s="1">
        <v>860.8</v>
      </c>
      <c r="F1993" s="2">
        <v>45731</v>
      </c>
      <c r="G1993" s="2">
        <v>45732</v>
      </c>
      <c r="H1993" s="1" t="s">
        <v>27</v>
      </c>
      <c r="I1993" s="1" t="s">
        <v>35</v>
      </c>
      <c r="J1993" s="1">
        <v>4</v>
      </c>
      <c r="K1993" s="1" t="s">
        <v>19</v>
      </c>
      <c r="L1993" s="1" t="s">
        <v>62</v>
      </c>
      <c r="M1993" s="1">
        <f>orders[[#This Row],[Ship Date]]-orders[[#This Row],[Order Date]]</f>
        <v>1</v>
      </c>
      <c r="N1993" s="1">
        <f>WEEKNUM(orders[[#This Row],[Order Date]])</f>
        <v>11</v>
      </c>
      <c r="O1993" s="1"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s="1">
        <v>43.8</v>
      </c>
      <c r="F1994" s="2">
        <v>45731</v>
      </c>
      <c r="G1994" s="2">
        <v>45738</v>
      </c>
      <c r="H1994" s="1" t="s">
        <v>27</v>
      </c>
      <c r="I1994" s="1" t="s">
        <v>18</v>
      </c>
      <c r="J1994" s="1">
        <v>5</v>
      </c>
      <c r="K1994" s="1" t="s">
        <v>19</v>
      </c>
      <c r="L1994" s="1" t="s">
        <v>62</v>
      </c>
      <c r="M1994" s="1">
        <f>orders[[#This Row],[Ship Date]]-orders[[#This Row],[Order Date]]</f>
        <v>7</v>
      </c>
      <c r="N1994" s="1">
        <f>WEEKNUM(orders[[#This Row],[Order Date]])</f>
        <v>11</v>
      </c>
      <c r="O1994" s="1"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s="1">
        <v>160.80000000000001</v>
      </c>
      <c r="F1995" s="2">
        <v>45731</v>
      </c>
      <c r="G1995" s="2">
        <v>45732</v>
      </c>
      <c r="H1995" s="1" t="s">
        <v>23</v>
      </c>
      <c r="I1995" s="1" t="s">
        <v>51</v>
      </c>
      <c r="J1995" s="1">
        <v>4</v>
      </c>
      <c r="K1995" s="1" t="s">
        <v>19</v>
      </c>
      <c r="L1995" s="1" t="s">
        <v>62</v>
      </c>
      <c r="M1995" s="1">
        <f>orders[[#This Row],[Ship Date]]-orders[[#This Row],[Order Date]]</f>
        <v>1</v>
      </c>
      <c r="N1995" s="1">
        <f>WEEKNUM(orders[[#This Row],[Order Date]])</f>
        <v>11</v>
      </c>
      <c r="O1995" s="1"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s="1">
        <v>168.6</v>
      </c>
      <c r="F1996" s="2">
        <v>45731</v>
      </c>
      <c r="G1996" s="2">
        <v>45734</v>
      </c>
      <c r="H1996" s="1" t="s">
        <v>23</v>
      </c>
      <c r="I1996" s="1" t="s">
        <v>70</v>
      </c>
      <c r="J1996" s="1">
        <v>3</v>
      </c>
      <c r="K1996" s="1" t="s">
        <v>19</v>
      </c>
      <c r="L1996" s="1" t="s">
        <v>62</v>
      </c>
      <c r="M1996" s="1">
        <f>orders[[#This Row],[Ship Date]]-orders[[#This Row],[Order Date]]</f>
        <v>3</v>
      </c>
      <c r="N1996" s="1">
        <f>WEEKNUM(orders[[#This Row],[Order Date]])</f>
        <v>11</v>
      </c>
      <c r="O1996" s="1"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s="1">
        <v>1061.1000000000001</v>
      </c>
      <c r="F1997" s="2">
        <v>45731</v>
      </c>
      <c r="G1997" s="2">
        <v>45732</v>
      </c>
      <c r="H1997" s="1" t="s">
        <v>27</v>
      </c>
      <c r="I1997" s="1" t="s">
        <v>35</v>
      </c>
      <c r="J1997" s="1">
        <v>5</v>
      </c>
      <c r="K1997" s="1" t="s">
        <v>19</v>
      </c>
      <c r="L1997" s="1" t="s">
        <v>62</v>
      </c>
      <c r="M1997" s="1">
        <f>orders[[#This Row],[Ship Date]]-orders[[#This Row],[Order Date]]</f>
        <v>1</v>
      </c>
      <c r="N1997" s="1">
        <f>WEEKNUM(orders[[#This Row],[Order Date]])</f>
        <v>11</v>
      </c>
      <c r="O1997" s="1"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s="1">
        <v>240</v>
      </c>
      <c r="F1998" s="2">
        <v>45731</v>
      </c>
      <c r="G1998" s="2">
        <v>45732</v>
      </c>
      <c r="H1998" s="1" t="s">
        <v>27</v>
      </c>
      <c r="I1998" s="1" t="s">
        <v>35</v>
      </c>
      <c r="J1998" s="1">
        <v>4</v>
      </c>
      <c r="K1998" s="1" t="s">
        <v>19</v>
      </c>
      <c r="L1998" s="1" t="s">
        <v>201</v>
      </c>
      <c r="M1998" s="1">
        <f>orders[[#This Row],[Ship Date]]-orders[[#This Row],[Order Date]]</f>
        <v>1</v>
      </c>
      <c r="N1998" s="1">
        <f>WEEKNUM(orders[[#This Row],[Order Date]])</f>
        <v>11</v>
      </c>
      <c r="O1998" s="1"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s="1">
        <v>111.89999999999999</v>
      </c>
      <c r="F1999" s="2">
        <v>45731</v>
      </c>
      <c r="G1999" s="2">
        <v>45732</v>
      </c>
      <c r="H1999" s="1" t="s">
        <v>23</v>
      </c>
      <c r="I1999" s="1" t="s">
        <v>40</v>
      </c>
      <c r="J1999" s="1">
        <v>4</v>
      </c>
      <c r="K1999" s="1" t="s">
        <v>19</v>
      </c>
      <c r="L1999" s="1" t="s">
        <v>72</v>
      </c>
      <c r="M1999" s="1">
        <f>orders[[#This Row],[Ship Date]]-orders[[#This Row],[Order Date]]</f>
        <v>1</v>
      </c>
      <c r="N1999" s="1">
        <f>WEEKNUM(orders[[#This Row],[Order Date]])</f>
        <v>11</v>
      </c>
      <c r="O1999" s="1"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s="1">
        <v>225.9</v>
      </c>
      <c r="F2000" s="2">
        <v>45731</v>
      </c>
      <c r="G2000" s="2">
        <v>45733</v>
      </c>
      <c r="H2000" s="1" t="s">
        <v>23</v>
      </c>
      <c r="I2000" s="1" t="s">
        <v>35</v>
      </c>
      <c r="J2000" s="1">
        <v>5</v>
      </c>
      <c r="K2000" s="1" t="s">
        <v>19</v>
      </c>
      <c r="L2000" s="1" t="s">
        <v>77</v>
      </c>
      <c r="M2000" s="1">
        <f>orders[[#This Row],[Ship Date]]-orders[[#This Row],[Order Date]]</f>
        <v>2</v>
      </c>
      <c r="N2000" s="1">
        <f>WEEKNUM(orders[[#This Row],[Order Date]])</f>
        <v>11</v>
      </c>
      <c r="O2000" s="1"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s="1">
        <v>396</v>
      </c>
      <c r="F2001" s="2">
        <v>45731</v>
      </c>
      <c r="G2001" s="2">
        <v>45741</v>
      </c>
      <c r="H2001" s="1" t="s">
        <v>23</v>
      </c>
      <c r="I2001" s="1" t="s">
        <v>35</v>
      </c>
      <c r="J2001" s="1">
        <v>4</v>
      </c>
      <c r="K2001" s="1" t="s">
        <v>19</v>
      </c>
      <c r="L2001" s="1" t="s">
        <v>108</v>
      </c>
      <c r="M2001" s="1">
        <f>orders[[#This Row],[Ship Date]]-orders[[#This Row],[Order Date]]</f>
        <v>10</v>
      </c>
      <c r="N2001" s="1">
        <f>WEEKNUM(orders[[#This Row],[Order Date]])</f>
        <v>11</v>
      </c>
      <c r="O2001" s="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s="1">
        <v>145.5</v>
      </c>
      <c r="F2002" s="2">
        <v>45731</v>
      </c>
      <c r="G2002" s="2">
        <v>45735</v>
      </c>
      <c r="H2002" s="1" t="s">
        <v>27</v>
      </c>
      <c r="I2002" s="1" t="s">
        <v>35</v>
      </c>
      <c r="J2002" s="1">
        <v>4</v>
      </c>
      <c r="K2002" s="1" t="s">
        <v>19</v>
      </c>
      <c r="L2002" s="1" t="s">
        <v>110</v>
      </c>
      <c r="M2002" s="1">
        <f>orders[[#This Row],[Ship Date]]-orders[[#This Row],[Order Date]]</f>
        <v>4</v>
      </c>
      <c r="N2002" s="1">
        <f>WEEKNUM(orders[[#This Row],[Order Date]])</f>
        <v>11</v>
      </c>
      <c r="O2002" s="1"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s="1">
        <v>126.60000000000001</v>
      </c>
      <c r="F2003" s="2">
        <v>45731</v>
      </c>
      <c r="G2003" s="2">
        <v>45732</v>
      </c>
      <c r="H2003" s="1" t="s">
        <v>23</v>
      </c>
      <c r="I2003" s="1" t="s">
        <v>35</v>
      </c>
      <c r="J2003" s="1">
        <v>5</v>
      </c>
      <c r="K2003" s="1" t="s">
        <v>19</v>
      </c>
      <c r="L2003" s="1" t="s">
        <v>115</v>
      </c>
      <c r="M2003" s="1">
        <f>orders[[#This Row],[Ship Date]]-orders[[#This Row],[Order Date]]</f>
        <v>1</v>
      </c>
      <c r="N2003" s="1">
        <f>WEEKNUM(orders[[#This Row],[Order Date]])</f>
        <v>11</v>
      </c>
      <c r="O2003" s="1"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s="1">
        <v>604.80000000000007</v>
      </c>
      <c r="F2004" s="2">
        <v>45731</v>
      </c>
      <c r="G2004" s="2">
        <v>45732</v>
      </c>
      <c r="H2004" s="1" t="s">
        <v>89</v>
      </c>
      <c r="I2004" s="1" t="s">
        <v>18</v>
      </c>
      <c r="J2004" s="1">
        <v>3</v>
      </c>
      <c r="K2004" s="1" t="s">
        <v>19</v>
      </c>
      <c r="L2004" s="1" t="s">
        <v>115</v>
      </c>
      <c r="M2004" s="1">
        <f>orders[[#This Row],[Ship Date]]-orders[[#This Row],[Order Date]]</f>
        <v>1</v>
      </c>
      <c r="N2004" s="1">
        <f>WEEKNUM(orders[[#This Row],[Order Date]])</f>
        <v>11</v>
      </c>
      <c r="O2004" s="1"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s="1">
        <v>42.2</v>
      </c>
      <c r="F2005" s="2">
        <v>45731</v>
      </c>
      <c r="G2005" s="2">
        <v>45732</v>
      </c>
      <c r="H2005" s="1" t="s">
        <v>17</v>
      </c>
      <c r="I2005" s="1" t="s">
        <v>51</v>
      </c>
      <c r="J2005" s="1">
        <v>3</v>
      </c>
      <c r="K2005" s="1" t="s">
        <v>19</v>
      </c>
      <c r="L2005" s="1" t="s">
        <v>115</v>
      </c>
      <c r="M2005" s="1">
        <f>orders[[#This Row],[Ship Date]]-orders[[#This Row],[Order Date]]</f>
        <v>1</v>
      </c>
      <c r="N2005" s="1">
        <f>WEEKNUM(orders[[#This Row],[Order Date]])</f>
        <v>11</v>
      </c>
      <c r="O2005" s="1"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s="1">
        <v>165.2</v>
      </c>
      <c r="F2006" s="2">
        <v>45731</v>
      </c>
      <c r="G2006" s="2">
        <v>45733</v>
      </c>
      <c r="H2006" s="1" t="s">
        <v>27</v>
      </c>
      <c r="I2006" s="1" t="s">
        <v>51</v>
      </c>
      <c r="J2006" s="1">
        <v>5</v>
      </c>
      <c r="K2006" s="1" t="s">
        <v>19</v>
      </c>
      <c r="L2006" s="1" t="s">
        <v>24</v>
      </c>
      <c r="M2006" s="1">
        <f>orders[[#This Row],[Ship Date]]-orders[[#This Row],[Order Date]]</f>
        <v>2</v>
      </c>
      <c r="N2006" s="1">
        <f>WEEKNUM(orders[[#This Row],[Order Date]])</f>
        <v>11</v>
      </c>
      <c r="O2006" s="1"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s="1">
        <v>30.6</v>
      </c>
      <c r="F2007" s="2">
        <v>45731</v>
      </c>
      <c r="G2007" s="2">
        <v>45734</v>
      </c>
      <c r="H2007" s="1" t="s">
        <v>17</v>
      </c>
      <c r="I2007" s="1" t="s">
        <v>40</v>
      </c>
      <c r="J2007" s="1">
        <v>5</v>
      </c>
      <c r="K2007" s="1" t="s">
        <v>19</v>
      </c>
      <c r="L2007" s="1" t="s">
        <v>24</v>
      </c>
      <c r="M2007" s="1">
        <f>orders[[#This Row],[Ship Date]]-orders[[#This Row],[Order Date]]</f>
        <v>3</v>
      </c>
      <c r="N2007" s="1">
        <f>WEEKNUM(orders[[#This Row],[Order Date]])</f>
        <v>11</v>
      </c>
      <c r="O2007" s="1"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s="1">
        <v>54.6</v>
      </c>
      <c r="F2008" s="2">
        <v>45731</v>
      </c>
      <c r="G2008" s="2">
        <v>45733</v>
      </c>
      <c r="H2008" s="1" t="s">
        <v>23</v>
      </c>
      <c r="I2008" s="1" t="s">
        <v>35</v>
      </c>
      <c r="J2008" s="1">
        <v>3</v>
      </c>
      <c r="K2008" s="1" t="s">
        <v>19</v>
      </c>
      <c r="L2008" s="1" t="s">
        <v>28</v>
      </c>
      <c r="M2008" s="1">
        <f>orders[[#This Row],[Ship Date]]-orders[[#This Row],[Order Date]]</f>
        <v>2</v>
      </c>
      <c r="N2008" s="1">
        <f>WEEKNUM(orders[[#This Row],[Order Date]])</f>
        <v>11</v>
      </c>
      <c r="O2008" s="1"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s="1">
        <v>15.9</v>
      </c>
      <c r="F2009" s="2">
        <v>45731</v>
      </c>
      <c r="G2009" s="2">
        <v>45732</v>
      </c>
      <c r="H2009" s="1" t="s">
        <v>23</v>
      </c>
      <c r="I2009" s="1" t="s">
        <v>18</v>
      </c>
      <c r="J2009" s="1">
        <v>3</v>
      </c>
      <c r="K2009" s="1" t="s">
        <v>19</v>
      </c>
      <c r="L2009" s="1" t="s">
        <v>147</v>
      </c>
      <c r="M2009" s="1">
        <f>orders[[#This Row],[Ship Date]]-orders[[#This Row],[Order Date]]</f>
        <v>1</v>
      </c>
      <c r="N2009" s="1">
        <f>WEEKNUM(orders[[#This Row],[Order Date]])</f>
        <v>11</v>
      </c>
      <c r="O2009" s="1"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s="1">
        <v>50.2</v>
      </c>
      <c r="F2010" s="2">
        <v>45731</v>
      </c>
      <c r="G2010" s="2">
        <v>45733</v>
      </c>
      <c r="H2010" s="1" t="s">
        <v>27</v>
      </c>
      <c r="I2010" s="1" t="s">
        <v>51</v>
      </c>
      <c r="J2010" s="1">
        <v>5</v>
      </c>
      <c r="K2010" s="1" t="s">
        <v>19</v>
      </c>
      <c r="L2010" s="1" t="s">
        <v>334</v>
      </c>
      <c r="M2010" s="1">
        <f>orders[[#This Row],[Ship Date]]-orders[[#This Row],[Order Date]]</f>
        <v>2</v>
      </c>
      <c r="N2010" s="1">
        <f>WEEKNUM(orders[[#This Row],[Order Date]])</f>
        <v>11</v>
      </c>
      <c r="O2010" s="1"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s="1">
        <v>340.4</v>
      </c>
      <c r="F2011" s="2">
        <v>45731</v>
      </c>
      <c r="G2011" s="2">
        <v>45732</v>
      </c>
      <c r="H2011" s="1" t="s">
        <v>27</v>
      </c>
      <c r="I2011" s="1" t="s">
        <v>51</v>
      </c>
      <c r="J2011" s="1">
        <v>2</v>
      </c>
      <c r="K2011" s="1" t="s">
        <v>19</v>
      </c>
      <c r="L2011" s="1" t="s">
        <v>334</v>
      </c>
      <c r="M2011" s="1">
        <f>orders[[#This Row],[Ship Date]]-orders[[#This Row],[Order Date]]</f>
        <v>1</v>
      </c>
      <c r="N2011" s="1">
        <f>WEEKNUM(orders[[#This Row],[Order Date]])</f>
        <v>11</v>
      </c>
      <c r="O2011" s="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s="1">
        <v>82.8</v>
      </c>
      <c r="F2012" s="2">
        <v>45731</v>
      </c>
      <c r="G2012" s="2">
        <v>45732</v>
      </c>
      <c r="H2012" s="1" t="s">
        <v>27</v>
      </c>
      <c r="I2012" s="1" t="s">
        <v>18</v>
      </c>
      <c r="J2012" s="1">
        <v>5</v>
      </c>
      <c r="K2012" s="1" t="s">
        <v>19</v>
      </c>
      <c r="L2012" s="1" t="s">
        <v>33</v>
      </c>
      <c r="M2012" s="1">
        <f>orders[[#This Row],[Ship Date]]-orders[[#This Row],[Order Date]]</f>
        <v>1</v>
      </c>
      <c r="N2012" s="1">
        <f>WEEKNUM(orders[[#This Row],[Order Date]])</f>
        <v>11</v>
      </c>
      <c r="O2012" s="1"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s="1">
        <v>228.90000000000003</v>
      </c>
      <c r="F2013" s="2">
        <v>45731</v>
      </c>
      <c r="G2013" s="2">
        <v>45732</v>
      </c>
      <c r="H2013" s="1" t="s">
        <v>27</v>
      </c>
      <c r="I2013" s="1" t="s">
        <v>40</v>
      </c>
      <c r="J2013" s="1">
        <v>3</v>
      </c>
      <c r="K2013" s="1" t="s">
        <v>19</v>
      </c>
      <c r="L2013" s="1" t="s">
        <v>33</v>
      </c>
      <c r="M2013" s="1">
        <f>orders[[#This Row],[Ship Date]]-orders[[#This Row],[Order Date]]</f>
        <v>1</v>
      </c>
      <c r="N2013" s="1">
        <f>WEEKNUM(orders[[#This Row],[Order Date]])</f>
        <v>11</v>
      </c>
      <c r="O2013" s="1"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s="1">
        <v>83.2</v>
      </c>
      <c r="F2014" s="2">
        <v>45731</v>
      </c>
      <c r="G2014" s="2">
        <v>45733</v>
      </c>
      <c r="H2014" s="1" t="s">
        <v>23</v>
      </c>
      <c r="I2014" s="1" t="s">
        <v>70</v>
      </c>
      <c r="J2014" s="1">
        <v>3</v>
      </c>
      <c r="K2014" s="1" t="s">
        <v>19</v>
      </c>
      <c r="L2014" s="1" t="s">
        <v>33</v>
      </c>
      <c r="M2014" s="1">
        <f>orders[[#This Row],[Ship Date]]-orders[[#This Row],[Order Date]]</f>
        <v>2</v>
      </c>
      <c r="N2014" s="1">
        <f>WEEKNUM(orders[[#This Row],[Order Date]])</f>
        <v>11</v>
      </c>
      <c r="O2014" s="1"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s="1">
        <v>259.2</v>
      </c>
      <c r="F2015" s="2">
        <v>45731</v>
      </c>
      <c r="G2015" s="2">
        <v>45732</v>
      </c>
      <c r="H2015" s="1" t="s">
        <v>17</v>
      </c>
      <c r="I2015" s="1" t="s">
        <v>40</v>
      </c>
      <c r="J2015" s="1">
        <v>4</v>
      </c>
      <c r="K2015" s="1" t="s">
        <v>19</v>
      </c>
      <c r="L2015" s="1" t="s">
        <v>33</v>
      </c>
      <c r="M2015" s="1">
        <f>orders[[#This Row],[Ship Date]]-orders[[#This Row],[Order Date]]</f>
        <v>1</v>
      </c>
      <c r="N2015" s="1">
        <f>WEEKNUM(orders[[#This Row],[Order Date]])</f>
        <v>11</v>
      </c>
      <c r="O2015" s="1"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s="1">
        <v>67.2</v>
      </c>
      <c r="F2016" s="2">
        <v>45731</v>
      </c>
      <c r="G2016" s="2">
        <v>45732</v>
      </c>
      <c r="H2016" s="1" t="s">
        <v>23</v>
      </c>
      <c r="I2016" s="1" t="s">
        <v>18</v>
      </c>
      <c r="J2016" s="1">
        <v>5</v>
      </c>
      <c r="K2016" s="1" t="s">
        <v>19</v>
      </c>
      <c r="L2016" s="1" t="s">
        <v>33</v>
      </c>
      <c r="M2016" s="1">
        <f>orders[[#This Row],[Ship Date]]-orders[[#This Row],[Order Date]]</f>
        <v>1</v>
      </c>
      <c r="N2016" s="1">
        <f>WEEKNUM(orders[[#This Row],[Order Date]])</f>
        <v>11</v>
      </c>
      <c r="O2016" s="1"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s="1">
        <v>302.10000000000002</v>
      </c>
      <c r="F2017" s="2">
        <v>45731</v>
      </c>
      <c r="G2017" s="2">
        <v>45732</v>
      </c>
      <c r="H2017" s="1" t="s">
        <v>17</v>
      </c>
      <c r="I2017" s="1" t="s">
        <v>35</v>
      </c>
      <c r="J2017" s="1">
        <v>4</v>
      </c>
      <c r="K2017" s="1" t="s">
        <v>19</v>
      </c>
      <c r="L2017" s="1" t="s">
        <v>33</v>
      </c>
      <c r="M2017" s="1">
        <f>orders[[#This Row],[Ship Date]]-orders[[#This Row],[Order Date]]</f>
        <v>1</v>
      </c>
      <c r="N2017" s="1">
        <f>WEEKNUM(orders[[#This Row],[Order Date]])</f>
        <v>11</v>
      </c>
      <c r="O2017" s="1"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s="1">
        <v>98.6</v>
      </c>
      <c r="F2018" s="2">
        <v>45732</v>
      </c>
      <c r="G2018" s="2">
        <v>45734</v>
      </c>
      <c r="H2018" s="1" t="s">
        <v>27</v>
      </c>
      <c r="I2018" s="1" t="s">
        <v>70</v>
      </c>
      <c r="J2018" s="1">
        <v>5</v>
      </c>
      <c r="K2018" s="1" t="s">
        <v>19</v>
      </c>
      <c r="L2018" s="1" t="s">
        <v>33</v>
      </c>
      <c r="M2018" s="1">
        <f>orders[[#This Row],[Ship Date]]-orders[[#This Row],[Order Date]]</f>
        <v>2</v>
      </c>
      <c r="N2018" s="1">
        <f>WEEKNUM(orders[[#This Row],[Order Date]])</f>
        <v>12</v>
      </c>
      <c r="O2018" s="1"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s="1">
        <v>582</v>
      </c>
      <c r="F2019" s="2">
        <v>45732</v>
      </c>
      <c r="G2019" s="2">
        <v>45735</v>
      </c>
      <c r="H2019" s="1" t="s">
        <v>23</v>
      </c>
      <c r="I2019" s="1" t="s">
        <v>40</v>
      </c>
      <c r="J2019" s="1">
        <v>5</v>
      </c>
      <c r="K2019" s="1" t="s">
        <v>19</v>
      </c>
      <c r="L2019" s="1" t="s">
        <v>33</v>
      </c>
      <c r="M2019" s="1">
        <f>orders[[#This Row],[Ship Date]]-orders[[#This Row],[Order Date]]</f>
        <v>3</v>
      </c>
      <c r="N2019" s="1">
        <f>WEEKNUM(orders[[#This Row],[Order Date]])</f>
        <v>12</v>
      </c>
      <c r="O2019" s="1"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s="1">
        <v>151.19999999999999</v>
      </c>
      <c r="F2020" s="2">
        <v>45732</v>
      </c>
      <c r="G2020" s="2">
        <v>45735</v>
      </c>
      <c r="H2020" s="1" t="s">
        <v>27</v>
      </c>
      <c r="I2020" s="1" t="s">
        <v>70</v>
      </c>
      <c r="J2020" s="1">
        <v>5</v>
      </c>
      <c r="K2020" s="1" t="s">
        <v>19</v>
      </c>
      <c r="L2020" s="1" t="s">
        <v>33</v>
      </c>
      <c r="M2020" s="1">
        <f>orders[[#This Row],[Ship Date]]-orders[[#This Row],[Order Date]]</f>
        <v>3</v>
      </c>
      <c r="N2020" s="1">
        <f>WEEKNUM(orders[[#This Row],[Order Date]])</f>
        <v>12</v>
      </c>
      <c r="O2020" s="1"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s="1">
        <v>134.19999999999999</v>
      </c>
      <c r="F2021" s="2">
        <v>45732</v>
      </c>
      <c r="G2021" s="2">
        <v>45733</v>
      </c>
      <c r="H2021" s="1" t="s">
        <v>17</v>
      </c>
      <c r="I2021" s="1" t="s">
        <v>18</v>
      </c>
      <c r="J2021" s="1">
        <v>3</v>
      </c>
      <c r="K2021" s="1" t="s">
        <v>19</v>
      </c>
      <c r="L2021" s="1" t="s">
        <v>33</v>
      </c>
      <c r="M2021" s="1">
        <f>orders[[#This Row],[Ship Date]]-orders[[#This Row],[Order Date]]</f>
        <v>1</v>
      </c>
      <c r="N2021" s="1">
        <f>WEEKNUM(orders[[#This Row],[Order Date]])</f>
        <v>12</v>
      </c>
      <c r="O2021" s="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s="1">
        <v>271.59999999999997</v>
      </c>
      <c r="F2022" s="2">
        <v>45732</v>
      </c>
      <c r="G2022" s="2">
        <v>45734</v>
      </c>
      <c r="H2022" s="1" t="s">
        <v>27</v>
      </c>
      <c r="I2022" s="1" t="s">
        <v>35</v>
      </c>
      <c r="J2022" s="1">
        <v>3</v>
      </c>
      <c r="K2022" s="1" t="s">
        <v>19</v>
      </c>
      <c r="L2022" s="1" t="s">
        <v>158</v>
      </c>
      <c r="M2022" s="1">
        <f>orders[[#This Row],[Ship Date]]-orders[[#This Row],[Order Date]]</f>
        <v>2</v>
      </c>
      <c r="N2022" s="1">
        <f>WEEKNUM(orders[[#This Row],[Order Date]])</f>
        <v>12</v>
      </c>
      <c r="O2022" s="1"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s="1">
        <v>212.8</v>
      </c>
      <c r="F2023" s="2">
        <v>45732</v>
      </c>
      <c r="G2023" s="2">
        <v>45733</v>
      </c>
      <c r="H2023" s="1" t="s">
        <v>23</v>
      </c>
      <c r="I2023" s="1" t="s">
        <v>18</v>
      </c>
      <c r="J2023" s="1">
        <v>5</v>
      </c>
      <c r="K2023" s="1" t="s">
        <v>19</v>
      </c>
      <c r="L2023" s="1" t="s">
        <v>62</v>
      </c>
      <c r="M2023" s="1">
        <f>orders[[#This Row],[Ship Date]]-orders[[#This Row],[Order Date]]</f>
        <v>1</v>
      </c>
      <c r="N2023" s="1">
        <f>WEEKNUM(orders[[#This Row],[Order Date]])</f>
        <v>12</v>
      </c>
      <c r="O2023" s="1"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s="1">
        <v>1057</v>
      </c>
      <c r="F2024" s="2">
        <v>45732</v>
      </c>
      <c r="G2024" s="2">
        <v>45733</v>
      </c>
      <c r="H2024" s="1" t="s">
        <v>89</v>
      </c>
      <c r="I2024" s="1" t="s">
        <v>35</v>
      </c>
      <c r="J2024" s="1">
        <v>3</v>
      </c>
      <c r="K2024" s="1" t="s">
        <v>19</v>
      </c>
      <c r="L2024" s="1" t="s">
        <v>62</v>
      </c>
      <c r="M2024" s="1">
        <f>orders[[#This Row],[Ship Date]]-orders[[#This Row],[Order Date]]</f>
        <v>1</v>
      </c>
      <c r="N2024" s="1">
        <f>WEEKNUM(orders[[#This Row],[Order Date]])</f>
        <v>12</v>
      </c>
      <c r="O2024" s="1"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s="1">
        <v>74.2</v>
      </c>
      <c r="F2025" s="2">
        <v>45732</v>
      </c>
      <c r="G2025" s="2">
        <v>45733</v>
      </c>
      <c r="H2025" s="1" t="s">
        <v>27</v>
      </c>
      <c r="I2025" s="1" t="s">
        <v>70</v>
      </c>
      <c r="J2025" s="1">
        <v>4</v>
      </c>
      <c r="K2025" s="1" t="s">
        <v>19</v>
      </c>
      <c r="L2025" s="1" t="s">
        <v>62</v>
      </c>
      <c r="M2025" s="1">
        <f>orders[[#This Row],[Ship Date]]-orders[[#This Row],[Order Date]]</f>
        <v>1</v>
      </c>
      <c r="N2025" s="1">
        <f>WEEKNUM(orders[[#This Row],[Order Date]])</f>
        <v>12</v>
      </c>
      <c r="O2025" s="1"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s="1">
        <v>77.8</v>
      </c>
      <c r="F2026" s="2">
        <v>45732</v>
      </c>
      <c r="G2026" s="2">
        <v>45733</v>
      </c>
      <c r="H2026" s="1" t="s">
        <v>23</v>
      </c>
      <c r="I2026" s="1" t="s">
        <v>70</v>
      </c>
      <c r="J2026" s="1">
        <v>4</v>
      </c>
      <c r="K2026" s="1" t="s">
        <v>19</v>
      </c>
      <c r="L2026" s="1" t="s">
        <v>62</v>
      </c>
      <c r="M2026" s="1">
        <f>orders[[#This Row],[Ship Date]]-orders[[#This Row],[Order Date]]</f>
        <v>1</v>
      </c>
      <c r="N2026" s="1">
        <f>WEEKNUM(orders[[#This Row],[Order Date]])</f>
        <v>12</v>
      </c>
      <c r="O2026" s="1"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s="1">
        <v>70.400000000000006</v>
      </c>
      <c r="F2027" s="2">
        <v>45732</v>
      </c>
      <c r="G2027" s="2">
        <v>45733</v>
      </c>
      <c r="H2027" s="1" t="s">
        <v>23</v>
      </c>
      <c r="I2027" s="1" t="s">
        <v>18</v>
      </c>
      <c r="J2027" s="1">
        <v>5</v>
      </c>
      <c r="K2027" s="1" t="s">
        <v>19</v>
      </c>
      <c r="L2027" s="1" t="s">
        <v>103</v>
      </c>
      <c r="M2027" s="1">
        <f>orders[[#This Row],[Ship Date]]-orders[[#This Row],[Order Date]]</f>
        <v>1</v>
      </c>
      <c r="N2027" s="1">
        <f>WEEKNUM(orders[[#This Row],[Order Date]])</f>
        <v>12</v>
      </c>
      <c r="O2027" s="1"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s="1">
        <v>44.6</v>
      </c>
      <c r="F2028" s="2">
        <v>45732</v>
      </c>
      <c r="G2028" s="2">
        <v>45734</v>
      </c>
      <c r="H2028" s="1" t="s">
        <v>27</v>
      </c>
      <c r="I2028" s="1" t="s">
        <v>35</v>
      </c>
      <c r="J2028" s="1">
        <v>4</v>
      </c>
      <c r="K2028" s="1" t="s">
        <v>19</v>
      </c>
      <c r="L2028" s="1" t="s">
        <v>72</v>
      </c>
      <c r="M2028" s="1">
        <f>orders[[#This Row],[Ship Date]]-orders[[#This Row],[Order Date]]</f>
        <v>2</v>
      </c>
      <c r="N2028" s="1">
        <f>WEEKNUM(orders[[#This Row],[Order Date]])</f>
        <v>12</v>
      </c>
      <c r="O2028" s="1"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s="1">
        <v>43.3</v>
      </c>
      <c r="F2029" s="2">
        <v>45732</v>
      </c>
      <c r="G2029" s="2">
        <v>45735</v>
      </c>
      <c r="H2029" s="1" t="s">
        <v>27</v>
      </c>
      <c r="I2029" s="1" t="s">
        <v>18</v>
      </c>
      <c r="J2029" s="1">
        <v>5</v>
      </c>
      <c r="K2029" s="1" t="s">
        <v>19</v>
      </c>
      <c r="L2029" s="1" t="s">
        <v>77</v>
      </c>
      <c r="M2029" s="1">
        <f>orders[[#This Row],[Ship Date]]-orders[[#This Row],[Order Date]]</f>
        <v>3</v>
      </c>
      <c r="N2029" s="1">
        <f>WEEKNUM(orders[[#This Row],[Order Date]])</f>
        <v>12</v>
      </c>
      <c r="O2029" s="1"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s="1">
        <v>455.40000000000003</v>
      </c>
      <c r="F2030" s="2">
        <v>45732</v>
      </c>
      <c r="G2030" s="2">
        <v>45738</v>
      </c>
      <c r="H2030" s="1" t="s">
        <v>23</v>
      </c>
      <c r="I2030" s="1" t="s">
        <v>18</v>
      </c>
      <c r="J2030" s="1">
        <v>4</v>
      </c>
      <c r="K2030" s="1" t="s">
        <v>19</v>
      </c>
      <c r="L2030" s="1" t="s">
        <v>77</v>
      </c>
      <c r="M2030" s="1">
        <f>orders[[#This Row],[Ship Date]]-orders[[#This Row],[Order Date]]</f>
        <v>6</v>
      </c>
      <c r="N2030" s="1">
        <f>WEEKNUM(orders[[#This Row],[Order Date]])</f>
        <v>12</v>
      </c>
      <c r="O2030" s="1"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s="1">
        <v>236.10000000000002</v>
      </c>
      <c r="F2031" s="2">
        <v>45732</v>
      </c>
      <c r="G2031" s="2">
        <v>45736</v>
      </c>
      <c r="H2031" s="1" t="s">
        <v>27</v>
      </c>
      <c r="I2031" s="1" t="s">
        <v>40</v>
      </c>
      <c r="J2031" s="1">
        <v>3</v>
      </c>
      <c r="K2031" s="1" t="s">
        <v>19</v>
      </c>
      <c r="L2031" s="1" t="s">
        <v>77</v>
      </c>
      <c r="M2031" s="1">
        <f>orders[[#This Row],[Ship Date]]-orders[[#This Row],[Order Date]]</f>
        <v>4</v>
      </c>
      <c r="N2031" s="1">
        <f>WEEKNUM(orders[[#This Row],[Order Date]])</f>
        <v>12</v>
      </c>
      <c r="O2031" s="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s="1">
        <v>66.3</v>
      </c>
      <c r="F2032" s="2">
        <v>45732</v>
      </c>
      <c r="G2032" s="2">
        <v>45736</v>
      </c>
      <c r="H2032" s="1" t="s">
        <v>27</v>
      </c>
      <c r="I2032" s="1" t="s">
        <v>18</v>
      </c>
      <c r="J2032" s="1">
        <v>5</v>
      </c>
      <c r="K2032" s="1" t="s">
        <v>19</v>
      </c>
      <c r="L2032" s="1" t="s">
        <v>110</v>
      </c>
      <c r="M2032" s="1">
        <f>orders[[#This Row],[Ship Date]]-orders[[#This Row],[Order Date]]</f>
        <v>4</v>
      </c>
      <c r="N2032" s="1">
        <f>WEEKNUM(orders[[#This Row],[Order Date]])</f>
        <v>12</v>
      </c>
      <c r="O2032" s="1"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s="1">
        <v>67.2</v>
      </c>
      <c r="F2033" s="2">
        <v>45732</v>
      </c>
      <c r="G2033" s="2">
        <v>45732</v>
      </c>
      <c r="H2033" s="1" t="s">
        <v>23</v>
      </c>
      <c r="I2033" s="1" t="s">
        <v>18</v>
      </c>
      <c r="J2033" s="1">
        <v>3</v>
      </c>
      <c r="K2033" s="1" t="s">
        <v>19</v>
      </c>
      <c r="L2033" s="1" t="s">
        <v>110</v>
      </c>
      <c r="M2033" s="1">
        <f>orders[[#This Row],[Ship Date]]-orders[[#This Row],[Order Date]]</f>
        <v>0</v>
      </c>
      <c r="N2033" s="1">
        <f>WEEKNUM(orders[[#This Row],[Order Date]])</f>
        <v>12</v>
      </c>
      <c r="O2033" s="1"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s="1">
        <v>429.8</v>
      </c>
      <c r="F2034" s="2">
        <v>45732</v>
      </c>
      <c r="G2034" s="2">
        <v>45733</v>
      </c>
      <c r="H2034" s="1" t="s">
        <v>23</v>
      </c>
      <c r="I2034" s="1" t="s">
        <v>70</v>
      </c>
      <c r="J2034" s="1">
        <v>4</v>
      </c>
      <c r="K2034" s="1" t="s">
        <v>19</v>
      </c>
      <c r="L2034" s="1" t="s">
        <v>110</v>
      </c>
      <c r="M2034" s="1">
        <f>orders[[#This Row],[Ship Date]]-orders[[#This Row],[Order Date]]</f>
        <v>1</v>
      </c>
      <c r="N2034" s="1">
        <f>WEEKNUM(orders[[#This Row],[Order Date]])</f>
        <v>12</v>
      </c>
      <c r="O2034" s="1"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s="1">
        <v>35</v>
      </c>
      <c r="F2035" s="2">
        <v>45732</v>
      </c>
      <c r="G2035" s="2">
        <v>45735</v>
      </c>
      <c r="H2035" s="1" t="s">
        <v>27</v>
      </c>
      <c r="I2035" s="1" t="s">
        <v>18</v>
      </c>
      <c r="J2035" s="1">
        <v>4</v>
      </c>
      <c r="K2035" s="1" t="s">
        <v>19</v>
      </c>
      <c r="L2035" s="1" t="s">
        <v>115</v>
      </c>
      <c r="M2035" s="1">
        <f>orders[[#This Row],[Ship Date]]-orders[[#This Row],[Order Date]]</f>
        <v>3</v>
      </c>
      <c r="N2035" s="1">
        <f>WEEKNUM(orders[[#This Row],[Order Date]])</f>
        <v>12</v>
      </c>
      <c r="O2035" s="1"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s="1">
        <v>65</v>
      </c>
      <c r="F2036" s="2">
        <v>45732</v>
      </c>
      <c r="G2036" s="2">
        <v>45735</v>
      </c>
      <c r="H2036" s="1" t="s">
        <v>27</v>
      </c>
      <c r="I2036" s="1" t="s">
        <v>35</v>
      </c>
      <c r="J2036" s="1">
        <v>4</v>
      </c>
      <c r="K2036" s="1" t="s">
        <v>19</v>
      </c>
      <c r="L2036" s="1" t="s">
        <v>115</v>
      </c>
      <c r="M2036" s="1">
        <f>orders[[#This Row],[Ship Date]]-orders[[#This Row],[Order Date]]</f>
        <v>3</v>
      </c>
      <c r="N2036" s="1">
        <f>WEEKNUM(orders[[#This Row],[Order Date]])</f>
        <v>12</v>
      </c>
      <c r="O2036" s="1"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s="1">
        <v>34.6</v>
      </c>
      <c r="F2037" s="2">
        <v>45732</v>
      </c>
      <c r="G2037" s="2">
        <v>45733</v>
      </c>
      <c r="H2037" s="1" t="s">
        <v>27</v>
      </c>
      <c r="I2037" s="1" t="s">
        <v>70</v>
      </c>
      <c r="J2037" s="1">
        <v>4</v>
      </c>
      <c r="K2037" s="1" t="s">
        <v>19</v>
      </c>
      <c r="L2037" s="1" t="s">
        <v>115</v>
      </c>
      <c r="M2037" s="1">
        <f>orders[[#This Row],[Ship Date]]-orders[[#This Row],[Order Date]]</f>
        <v>1</v>
      </c>
      <c r="N2037" s="1">
        <f>WEEKNUM(orders[[#This Row],[Order Date]])</f>
        <v>12</v>
      </c>
      <c r="O2037" s="1"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s="1">
        <v>75.900000000000006</v>
      </c>
      <c r="F2038" s="2">
        <v>45732</v>
      </c>
      <c r="G2038" s="2">
        <v>45732</v>
      </c>
      <c r="H2038" s="1" t="s">
        <v>23</v>
      </c>
      <c r="I2038" s="1" t="s">
        <v>35</v>
      </c>
      <c r="J2038" s="1">
        <v>5</v>
      </c>
      <c r="K2038" s="1" t="s">
        <v>19</v>
      </c>
      <c r="L2038" s="1" t="s">
        <v>115</v>
      </c>
      <c r="M2038" s="1">
        <f>orders[[#This Row],[Ship Date]]-orders[[#This Row],[Order Date]]</f>
        <v>0</v>
      </c>
      <c r="N2038" s="1">
        <f>WEEKNUM(orders[[#This Row],[Order Date]])</f>
        <v>12</v>
      </c>
      <c r="O2038" s="1"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s="1">
        <v>126.30000000000001</v>
      </c>
      <c r="F2039" s="2">
        <v>45732</v>
      </c>
      <c r="G2039" s="2">
        <v>45735</v>
      </c>
      <c r="H2039" s="1" t="s">
        <v>23</v>
      </c>
      <c r="I2039" s="1" t="s">
        <v>35</v>
      </c>
      <c r="J2039" s="1">
        <v>3</v>
      </c>
      <c r="K2039" s="1" t="s">
        <v>19</v>
      </c>
      <c r="L2039" s="1" t="s">
        <v>115</v>
      </c>
      <c r="M2039" s="1">
        <f>orders[[#This Row],[Ship Date]]-orders[[#This Row],[Order Date]]</f>
        <v>3</v>
      </c>
      <c r="N2039" s="1">
        <f>WEEKNUM(orders[[#This Row],[Order Date]])</f>
        <v>12</v>
      </c>
      <c r="O2039" s="1"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s="1">
        <v>195.89999999999998</v>
      </c>
      <c r="F2040" s="2">
        <v>45732</v>
      </c>
      <c r="G2040" s="2">
        <v>45739</v>
      </c>
      <c r="H2040" s="1" t="s">
        <v>23</v>
      </c>
      <c r="I2040" s="1" t="s">
        <v>18</v>
      </c>
      <c r="J2040" s="1">
        <v>4</v>
      </c>
      <c r="K2040" s="1" t="s">
        <v>19</v>
      </c>
      <c r="L2040" s="1" t="s">
        <v>24</v>
      </c>
      <c r="M2040" s="1">
        <f>orders[[#This Row],[Ship Date]]-orders[[#This Row],[Order Date]]</f>
        <v>7</v>
      </c>
      <c r="N2040" s="1">
        <f>WEEKNUM(orders[[#This Row],[Order Date]])</f>
        <v>12</v>
      </c>
      <c r="O2040" s="1"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s="1">
        <v>20.6</v>
      </c>
      <c r="F2041" s="2">
        <v>45732</v>
      </c>
      <c r="G2041" s="2">
        <v>45735</v>
      </c>
      <c r="H2041" s="1" t="s">
        <v>23</v>
      </c>
      <c r="I2041" s="1" t="s">
        <v>51</v>
      </c>
      <c r="J2041" s="1">
        <v>4</v>
      </c>
      <c r="K2041" s="1" t="s">
        <v>19</v>
      </c>
      <c r="L2041" s="1" t="s">
        <v>437</v>
      </c>
      <c r="M2041" s="1">
        <f>orders[[#This Row],[Ship Date]]-orders[[#This Row],[Order Date]]</f>
        <v>3</v>
      </c>
      <c r="N2041" s="1">
        <f>WEEKNUM(orders[[#This Row],[Order Date]])</f>
        <v>12</v>
      </c>
      <c r="O2041" s="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s="1">
        <v>115.5</v>
      </c>
      <c r="F2042" s="2">
        <v>45732</v>
      </c>
      <c r="G2042" s="2">
        <v>45733</v>
      </c>
      <c r="H2042" s="1" t="s">
        <v>23</v>
      </c>
      <c r="I2042" s="1" t="s">
        <v>35</v>
      </c>
      <c r="J2042" s="1">
        <v>3</v>
      </c>
      <c r="K2042" s="1" t="s">
        <v>19</v>
      </c>
      <c r="L2042" s="1" t="s">
        <v>28</v>
      </c>
      <c r="M2042" s="1">
        <f>orders[[#This Row],[Ship Date]]-orders[[#This Row],[Order Date]]</f>
        <v>1</v>
      </c>
      <c r="N2042" s="1">
        <f>WEEKNUM(orders[[#This Row],[Order Date]])</f>
        <v>12</v>
      </c>
      <c r="O2042" s="1"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s="1">
        <v>362</v>
      </c>
      <c r="F2043" s="2">
        <v>45732</v>
      </c>
      <c r="G2043" s="2">
        <v>45734</v>
      </c>
      <c r="H2043" s="1" t="s">
        <v>23</v>
      </c>
      <c r="I2043" s="1" t="s">
        <v>18</v>
      </c>
      <c r="J2043" s="1">
        <v>5</v>
      </c>
      <c r="K2043" s="1" t="s">
        <v>19</v>
      </c>
      <c r="L2043" s="1" t="s">
        <v>28</v>
      </c>
      <c r="M2043" s="1">
        <f>orders[[#This Row],[Ship Date]]-orders[[#This Row],[Order Date]]</f>
        <v>2</v>
      </c>
      <c r="N2043" s="1">
        <f>WEEKNUM(orders[[#This Row],[Order Date]])</f>
        <v>12</v>
      </c>
      <c r="O2043" s="1"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s="1">
        <v>53.2</v>
      </c>
      <c r="F2044" s="2">
        <v>45732</v>
      </c>
      <c r="G2044" s="2">
        <v>45733</v>
      </c>
      <c r="H2044" s="1" t="s">
        <v>27</v>
      </c>
      <c r="I2044" s="1" t="s">
        <v>18</v>
      </c>
      <c r="J2044" s="1">
        <v>3</v>
      </c>
      <c r="K2044" s="1" t="s">
        <v>19</v>
      </c>
      <c r="L2044" s="1" t="s">
        <v>147</v>
      </c>
      <c r="M2044" s="1">
        <f>orders[[#This Row],[Ship Date]]-orders[[#This Row],[Order Date]]</f>
        <v>1</v>
      </c>
      <c r="N2044" s="1">
        <f>WEEKNUM(orders[[#This Row],[Order Date]])</f>
        <v>12</v>
      </c>
      <c r="O2044" s="1"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s="1">
        <v>2464</v>
      </c>
      <c r="F2045" s="2">
        <v>45732</v>
      </c>
      <c r="G2045" s="2">
        <v>45733</v>
      </c>
      <c r="H2045" s="1" t="s">
        <v>27</v>
      </c>
      <c r="I2045" s="1" t="s">
        <v>18</v>
      </c>
      <c r="J2045" s="1">
        <v>3</v>
      </c>
      <c r="K2045" s="1" t="s">
        <v>19</v>
      </c>
      <c r="L2045" s="1" t="s">
        <v>33</v>
      </c>
      <c r="M2045" s="1">
        <f>orders[[#This Row],[Ship Date]]-orders[[#This Row],[Order Date]]</f>
        <v>1</v>
      </c>
      <c r="N2045" s="1">
        <f>WEEKNUM(orders[[#This Row],[Order Date]])</f>
        <v>12</v>
      </c>
      <c r="O2045" s="1"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s="1">
        <v>52.4</v>
      </c>
      <c r="F2046" s="2">
        <v>45732</v>
      </c>
      <c r="G2046" s="2">
        <v>45733</v>
      </c>
      <c r="H2046" s="1" t="s">
        <v>23</v>
      </c>
      <c r="I2046" s="1" t="s">
        <v>35</v>
      </c>
      <c r="J2046" s="1">
        <v>4</v>
      </c>
      <c r="K2046" s="1" t="s">
        <v>19</v>
      </c>
      <c r="L2046" s="1" t="s">
        <v>33</v>
      </c>
      <c r="M2046" s="1">
        <f>orders[[#This Row],[Ship Date]]-orders[[#This Row],[Order Date]]</f>
        <v>1</v>
      </c>
      <c r="N2046" s="1">
        <f>WEEKNUM(orders[[#This Row],[Order Date]])</f>
        <v>12</v>
      </c>
      <c r="O2046" s="1"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s="1">
        <v>144.60000000000002</v>
      </c>
      <c r="F2047" s="2">
        <v>45732</v>
      </c>
      <c r="G2047" s="2">
        <v>45733</v>
      </c>
      <c r="H2047" s="1" t="s">
        <v>27</v>
      </c>
      <c r="I2047" s="1" t="s">
        <v>35</v>
      </c>
      <c r="J2047" s="1">
        <v>5</v>
      </c>
      <c r="K2047" s="1" t="s">
        <v>19</v>
      </c>
      <c r="L2047" s="1" t="s">
        <v>33</v>
      </c>
      <c r="M2047" s="1">
        <f>orders[[#This Row],[Ship Date]]-orders[[#This Row],[Order Date]]</f>
        <v>1</v>
      </c>
      <c r="N2047" s="1">
        <f>WEEKNUM(orders[[#This Row],[Order Date]])</f>
        <v>12</v>
      </c>
      <c r="O2047" s="1"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s="1">
        <v>51.6</v>
      </c>
      <c r="F2048" s="2">
        <v>45732</v>
      </c>
      <c r="G2048" s="2">
        <v>45736</v>
      </c>
      <c r="H2048" s="1" t="s">
        <v>27</v>
      </c>
      <c r="I2048" s="1" t="s">
        <v>40</v>
      </c>
      <c r="J2048" s="1">
        <v>3</v>
      </c>
      <c r="K2048" s="1" t="s">
        <v>19</v>
      </c>
      <c r="L2048" s="1" t="s">
        <v>33</v>
      </c>
      <c r="M2048" s="1">
        <f>orders[[#This Row],[Ship Date]]-orders[[#This Row],[Order Date]]</f>
        <v>4</v>
      </c>
      <c r="N2048" s="1">
        <f>WEEKNUM(orders[[#This Row],[Order Date]])</f>
        <v>12</v>
      </c>
      <c r="O2048" s="1"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s="1">
        <v>134.80000000000001</v>
      </c>
      <c r="F2049" s="2">
        <v>45733</v>
      </c>
      <c r="G2049" s="2">
        <v>45734</v>
      </c>
      <c r="H2049" s="1" t="s">
        <v>23</v>
      </c>
      <c r="I2049" s="1" t="s">
        <v>18</v>
      </c>
      <c r="J2049" s="1">
        <v>4</v>
      </c>
      <c r="K2049" s="1" t="s">
        <v>19</v>
      </c>
      <c r="L2049" s="1" t="s">
        <v>33</v>
      </c>
      <c r="M2049" s="1">
        <f>orders[[#This Row],[Ship Date]]-orders[[#This Row],[Order Date]]</f>
        <v>1</v>
      </c>
      <c r="N2049" s="1">
        <f>WEEKNUM(orders[[#This Row],[Order Date]])</f>
        <v>12</v>
      </c>
      <c r="O2049" s="1"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s="1">
        <v>363</v>
      </c>
      <c r="F2050" s="2">
        <v>45733</v>
      </c>
      <c r="G2050" s="2">
        <v>45735</v>
      </c>
      <c r="H2050" s="1" t="s">
        <v>27</v>
      </c>
      <c r="I2050" s="1" t="s">
        <v>70</v>
      </c>
      <c r="J2050" s="1">
        <v>3</v>
      </c>
      <c r="K2050" s="1" t="s">
        <v>19</v>
      </c>
      <c r="L2050" s="1" t="s">
        <v>33</v>
      </c>
      <c r="M2050" s="1">
        <f>orders[[#This Row],[Ship Date]]-orders[[#This Row],[Order Date]]</f>
        <v>2</v>
      </c>
      <c r="N2050" s="1">
        <f>WEEKNUM(orders[[#This Row],[Order Date]])</f>
        <v>12</v>
      </c>
      <c r="O2050" s="1"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s="1">
        <v>23.4</v>
      </c>
      <c r="F2051" s="2">
        <v>45733</v>
      </c>
      <c r="G2051" s="2">
        <v>45738</v>
      </c>
      <c r="H2051" s="1" t="s">
        <v>27</v>
      </c>
      <c r="I2051" s="1" t="s">
        <v>35</v>
      </c>
      <c r="J2051" s="1">
        <v>5</v>
      </c>
      <c r="K2051" s="1" t="s">
        <v>19</v>
      </c>
      <c r="L2051" s="1" t="s">
        <v>33</v>
      </c>
      <c r="M2051" s="1">
        <f>orders[[#This Row],[Ship Date]]-orders[[#This Row],[Order Date]]</f>
        <v>5</v>
      </c>
      <c r="N2051" s="1">
        <f>WEEKNUM(orders[[#This Row],[Order Date]])</f>
        <v>12</v>
      </c>
      <c r="O2051" s="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s="1">
        <v>452.8</v>
      </c>
      <c r="F2052" s="2">
        <v>45733</v>
      </c>
      <c r="G2052" s="2">
        <v>45735</v>
      </c>
      <c r="H2052" s="1" t="s">
        <v>27</v>
      </c>
      <c r="I2052" s="1" t="s">
        <v>35</v>
      </c>
      <c r="J2052" s="1">
        <v>4</v>
      </c>
      <c r="K2052" s="1" t="s">
        <v>19</v>
      </c>
      <c r="L2052" s="1" t="s">
        <v>33</v>
      </c>
      <c r="M2052" s="1">
        <f>orders[[#This Row],[Ship Date]]-orders[[#This Row],[Order Date]]</f>
        <v>2</v>
      </c>
      <c r="N2052" s="1">
        <f>WEEKNUM(orders[[#This Row],[Order Date]])</f>
        <v>12</v>
      </c>
      <c r="O2052" s="1"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s="1">
        <v>53.6</v>
      </c>
      <c r="F2053" s="2">
        <v>45733</v>
      </c>
      <c r="G2053" s="2">
        <v>45734</v>
      </c>
      <c r="H2053" s="1" t="s">
        <v>23</v>
      </c>
      <c r="I2053" s="1" t="s">
        <v>18</v>
      </c>
      <c r="J2053" s="1">
        <v>4</v>
      </c>
      <c r="K2053" s="1" t="s">
        <v>19</v>
      </c>
      <c r="L2053" s="1" t="s">
        <v>49</v>
      </c>
      <c r="M2053" s="1">
        <f>orders[[#This Row],[Ship Date]]-orders[[#This Row],[Order Date]]</f>
        <v>1</v>
      </c>
      <c r="N2053" s="1">
        <f>WEEKNUM(orders[[#This Row],[Order Date]])</f>
        <v>12</v>
      </c>
      <c r="O2053" s="1"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s="1">
        <v>33.900000000000006</v>
      </c>
      <c r="F2054" s="2">
        <v>45733</v>
      </c>
      <c r="G2054" s="2">
        <v>45735</v>
      </c>
      <c r="H2054" s="1" t="s">
        <v>23</v>
      </c>
      <c r="I2054" s="1" t="s">
        <v>40</v>
      </c>
      <c r="J2054" s="1">
        <v>4</v>
      </c>
      <c r="K2054" s="1" t="s">
        <v>19</v>
      </c>
      <c r="L2054" s="1" t="s">
        <v>188</v>
      </c>
      <c r="M2054" s="1">
        <f>orders[[#This Row],[Ship Date]]-orders[[#This Row],[Order Date]]</f>
        <v>2</v>
      </c>
      <c r="N2054" s="1">
        <f>WEEKNUM(orders[[#This Row],[Order Date]])</f>
        <v>12</v>
      </c>
      <c r="O2054" s="1"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s="1">
        <v>180.3</v>
      </c>
      <c r="F2055" s="2">
        <v>45733</v>
      </c>
      <c r="G2055" s="2">
        <v>45736</v>
      </c>
      <c r="H2055" s="1" t="s">
        <v>27</v>
      </c>
      <c r="I2055" s="1" t="s">
        <v>18</v>
      </c>
      <c r="J2055" s="1">
        <v>4</v>
      </c>
      <c r="K2055" s="1" t="s">
        <v>19</v>
      </c>
      <c r="L2055" s="1" t="s">
        <v>59</v>
      </c>
      <c r="M2055" s="1">
        <f>orders[[#This Row],[Ship Date]]-orders[[#This Row],[Order Date]]</f>
        <v>3</v>
      </c>
      <c r="N2055" s="1">
        <f>WEEKNUM(orders[[#This Row],[Order Date]])</f>
        <v>12</v>
      </c>
      <c r="O2055" s="1"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s="1">
        <v>304.7</v>
      </c>
      <c r="F2056" s="2">
        <v>45733</v>
      </c>
      <c r="G2056" s="2">
        <v>45738</v>
      </c>
      <c r="H2056" s="1" t="s">
        <v>27</v>
      </c>
      <c r="I2056" s="1" t="s">
        <v>18</v>
      </c>
      <c r="J2056" s="1">
        <v>4</v>
      </c>
      <c r="K2056" s="1" t="s">
        <v>19</v>
      </c>
      <c r="L2056" s="1" t="s">
        <v>62</v>
      </c>
      <c r="M2056" s="1">
        <f>orders[[#This Row],[Ship Date]]-orders[[#This Row],[Order Date]]</f>
        <v>5</v>
      </c>
      <c r="N2056" s="1">
        <f>WEEKNUM(orders[[#This Row],[Order Date]])</f>
        <v>12</v>
      </c>
      <c r="O2056" s="1"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s="1">
        <v>71.400000000000006</v>
      </c>
      <c r="F2057" s="2">
        <v>45733</v>
      </c>
      <c r="G2057" s="2">
        <v>45736</v>
      </c>
      <c r="H2057" s="1" t="s">
        <v>23</v>
      </c>
      <c r="I2057" s="1" t="s">
        <v>18</v>
      </c>
      <c r="J2057" s="1">
        <v>5</v>
      </c>
      <c r="K2057" s="1" t="s">
        <v>19</v>
      </c>
      <c r="L2057" s="1" t="s">
        <v>62</v>
      </c>
      <c r="M2057" s="1">
        <f>orders[[#This Row],[Ship Date]]-orders[[#This Row],[Order Date]]</f>
        <v>3</v>
      </c>
      <c r="N2057" s="1">
        <f>WEEKNUM(orders[[#This Row],[Order Date]])</f>
        <v>12</v>
      </c>
      <c r="O2057" s="1"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s="1">
        <v>133.4</v>
      </c>
      <c r="F2058" s="2">
        <v>45733</v>
      </c>
      <c r="G2058" s="2">
        <v>45734</v>
      </c>
      <c r="H2058" s="1" t="s">
        <v>27</v>
      </c>
      <c r="I2058" s="1" t="s">
        <v>18</v>
      </c>
      <c r="J2058" s="1">
        <v>5</v>
      </c>
      <c r="K2058" s="1" t="s">
        <v>19</v>
      </c>
      <c r="L2058" s="1" t="s">
        <v>62</v>
      </c>
      <c r="M2058" s="1">
        <f>orders[[#This Row],[Ship Date]]-orders[[#This Row],[Order Date]]</f>
        <v>1</v>
      </c>
      <c r="N2058" s="1">
        <f>WEEKNUM(orders[[#This Row],[Order Date]])</f>
        <v>12</v>
      </c>
      <c r="O2058" s="1"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s="1">
        <v>195.5</v>
      </c>
      <c r="F2059" s="2">
        <v>45733</v>
      </c>
      <c r="G2059" s="2">
        <v>45734</v>
      </c>
      <c r="H2059" s="1" t="s">
        <v>27</v>
      </c>
      <c r="I2059" s="1" t="s">
        <v>18</v>
      </c>
      <c r="J2059" s="1">
        <v>4</v>
      </c>
      <c r="K2059" s="1" t="s">
        <v>19</v>
      </c>
      <c r="L2059" s="1" t="s">
        <v>62</v>
      </c>
      <c r="M2059" s="1">
        <f>orders[[#This Row],[Ship Date]]-orders[[#This Row],[Order Date]]</f>
        <v>1</v>
      </c>
      <c r="N2059" s="1">
        <f>WEEKNUM(orders[[#This Row],[Order Date]])</f>
        <v>12</v>
      </c>
      <c r="O2059" s="1"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s="1">
        <v>99.6</v>
      </c>
      <c r="F2060" s="2">
        <v>45733</v>
      </c>
      <c r="G2060" s="2">
        <v>45738</v>
      </c>
      <c r="H2060" s="1" t="s">
        <v>23</v>
      </c>
      <c r="I2060" s="1" t="s">
        <v>35</v>
      </c>
      <c r="J2060" s="1">
        <v>5</v>
      </c>
      <c r="K2060" s="1" t="s">
        <v>19</v>
      </c>
      <c r="L2060" s="1" t="s">
        <v>62</v>
      </c>
      <c r="M2060" s="1">
        <f>orders[[#This Row],[Ship Date]]-orders[[#This Row],[Order Date]]</f>
        <v>5</v>
      </c>
      <c r="N2060" s="1">
        <f>WEEKNUM(orders[[#This Row],[Order Date]])</f>
        <v>12</v>
      </c>
      <c r="O2060" s="1"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s="1">
        <v>146</v>
      </c>
      <c r="F2061" s="2">
        <v>45733</v>
      </c>
      <c r="G2061" s="2">
        <v>45734</v>
      </c>
      <c r="H2061" s="1" t="s">
        <v>23</v>
      </c>
      <c r="I2061" s="1" t="s">
        <v>18</v>
      </c>
      <c r="J2061" s="1">
        <v>5</v>
      </c>
      <c r="K2061" s="1" t="s">
        <v>19</v>
      </c>
      <c r="L2061" s="1" t="s">
        <v>103</v>
      </c>
      <c r="M2061" s="1">
        <f>orders[[#This Row],[Ship Date]]-orders[[#This Row],[Order Date]]</f>
        <v>1</v>
      </c>
      <c r="N2061" s="1">
        <f>WEEKNUM(orders[[#This Row],[Order Date]])</f>
        <v>12</v>
      </c>
      <c r="O2061" s="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s="1">
        <v>396.2</v>
      </c>
      <c r="F2062" s="2">
        <v>45733</v>
      </c>
      <c r="G2062" s="2">
        <v>45735</v>
      </c>
      <c r="H2062" s="1" t="s">
        <v>27</v>
      </c>
      <c r="I2062" s="1" t="s">
        <v>35</v>
      </c>
      <c r="J2062" s="1">
        <v>4</v>
      </c>
      <c r="K2062" s="1" t="s">
        <v>19</v>
      </c>
      <c r="L2062" s="1" t="s">
        <v>77</v>
      </c>
      <c r="M2062" s="1">
        <f>orders[[#This Row],[Ship Date]]-orders[[#This Row],[Order Date]]</f>
        <v>2</v>
      </c>
      <c r="N2062" s="1">
        <f>WEEKNUM(orders[[#This Row],[Order Date]])</f>
        <v>12</v>
      </c>
      <c r="O2062" s="1"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s="1">
        <v>113.39999999999999</v>
      </c>
      <c r="F2063" s="2">
        <v>45733</v>
      </c>
      <c r="G2063" s="2">
        <v>45734</v>
      </c>
      <c r="H2063" s="1" t="s">
        <v>27</v>
      </c>
      <c r="I2063" s="1" t="s">
        <v>18</v>
      </c>
      <c r="J2063" s="1">
        <v>3</v>
      </c>
      <c r="K2063" s="1" t="s">
        <v>19</v>
      </c>
      <c r="L2063" s="1" t="s">
        <v>77</v>
      </c>
      <c r="M2063" s="1">
        <f>orders[[#This Row],[Ship Date]]-orders[[#This Row],[Order Date]]</f>
        <v>1</v>
      </c>
      <c r="N2063" s="1">
        <f>WEEKNUM(orders[[#This Row],[Order Date]])</f>
        <v>12</v>
      </c>
      <c r="O2063" s="1"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s="1">
        <v>196.70000000000002</v>
      </c>
      <c r="F2064" s="2">
        <v>45733</v>
      </c>
      <c r="G2064" s="2">
        <v>45739</v>
      </c>
      <c r="H2064" s="1" t="s">
        <v>27</v>
      </c>
      <c r="I2064" s="1" t="s">
        <v>40</v>
      </c>
      <c r="J2064" s="1">
        <v>4</v>
      </c>
      <c r="K2064" s="1" t="s">
        <v>19</v>
      </c>
      <c r="L2064" s="1" t="s">
        <v>77</v>
      </c>
      <c r="M2064" s="1">
        <f>orders[[#This Row],[Ship Date]]-orders[[#This Row],[Order Date]]</f>
        <v>6</v>
      </c>
      <c r="N2064" s="1">
        <f>WEEKNUM(orders[[#This Row],[Order Date]])</f>
        <v>12</v>
      </c>
      <c r="O2064" s="1"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s="1">
        <v>179.10000000000002</v>
      </c>
      <c r="F2065" s="2">
        <v>45733</v>
      </c>
      <c r="G2065" s="2">
        <v>45735</v>
      </c>
      <c r="H2065" s="1" t="s">
        <v>27</v>
      </c>
      <c r="I2065" s="1" t="s">
        <v>40</v>
      </c>
      <c r="J2065" s="1">
        <v>4</v>
      </c>
      <c r="K2065" s="1" t="s">
        <v>19</v>
      </c>
      <c r="L2065" s="1" t="s">
        <v>77</v>
      </c>
      <c r="M2065" s="1">
        <f>orders[[#This Row],[Ship Date]]-orders[[#This Row],[Order Date]]</f>
        <v>2</v>
      </c>
      <c r="N2065" s="1">
        <f>WEEKNUM(orders[[#This Row],[Order Date]])</f>
        <v>12</v>
      </c>
      <c r="O2065" s="1"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s="1">
        <v>71.900000000000006</v>
      </c>
      <c r="F2066" s="2">
        <v>45733</v>
      </c>
      <c r="G2066" s="2">
        <v>45734</v>
      </c>
      <c r="H2066" s="1" t="s">
        <v>23</v>
      </c>
      <c r="I2066" s="1" t="s">
        <v>35</v>
      </c>
      <c r="J2066" s="1">
        <v>3</v>
      </c>
      <c r="K2066" s="1" t="s">
        <v>19</v>
      </c>
      <c r="L2066" s="1" t="s">
        <v>77</v>
      </c>
      <c r="M2066" s="1">
        <f>orders[[#This Row],[Ship Date]]-orders[[#This Row],[Order Date]]</f>
        <v>1</v>
      </c>
      <c r="N2066" s="1">
        <f>WEEKNUM(orders[[#This Row],[Order Date]])</f>
        <v>12</v>
      </c>
      <c r="O2066" s="1"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s="1">
        <v>113.8</v>
      </c>
      <c r="F2067" s="2">
        <v>45733</v>
      </c>
      <c r="G2067" s="2">
        <v>45734</v>
      </c>
      <c r="H2067" s="1" t="s">
        <v>23</v>
      </c>
      <c r="I2067" s="1" t="s">
        <v>40</v>
      </c>
      <c r="J2067" s="1">
        <v>4</v>
      </c>
      <c r="K2067" s="1" t="s">
        <v>19</v>
      </c>
      <c r="L2067" s="1" t="s">
        <v>82</v>
      </c>
      <c r="M2067" s="1">
        <f>orders[[#This Row],[Ship Date]]-orders[[#This Row],[Order Date]]</f>
        <v>1</v>
      </c>
      <c r="N2067" s="1">
        <f>WEEKNUM(orders[[#This Row],[Order Date]])</f>
        <v>12</v>
      </c>
      <c r="O2067" s="1"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s="1">
        <v>31.6</v>
      </c>
      <c r="F2068" s="2">
        <v>45733</v>
      </c>
      <c r="G2068" s="2">
        <v>45736</v>
      </c>
      <c r="H2068" s="1" t="s">
        <v>27</v>
      </c>
      <c r="I2068" s="1" t="s">
        <v>40</v>
      </c>
      <c r="J2068" s="1">
        <v>3</v>
      </c>
      <c r="K2068" s="1" t="s">
        <v>19</v>
      </c>
      <c r="L2068" s="1" t="s">
        <v>24</v>
      </c>
      <c r="M2068" s="1">
        <f>orders[[#This Row],[Ship Date]]-orders[[#This Row],[Order Date]]</f>
        <v>3</v>
      </c>
      <c r="N2068" s="1">
        <f>WEEKNUM(orders[[#This Row],[Order Date]])</f>
        <v>12</v>
      </c>
      <c r="O2068" s="1"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s="1">
        <v>246.8</v>
      </c>
      <c r="F2069" s="2">
        <v>45733</v>
      </c>
      <c r="G2069" s="2">
        <v>45735</v>
      </c>
      <c r="H2069" s="1" t="s">
        <v>27</v>
      </c>
      <c r="I2069" s="1" t="s">
        <v>40</v>
      </c>
      <c r="J2069" s="1">
        <v>4</v>
      </c>
      <c r="K2069" s="1" t="s">
        <v>19</v>
      </c>
      <c r="L2069" s="1" t="s">
        <v>147</v>
      </c>
      <c r="M2069" s="1">
        <f>orders[[#This Row],[Ship Date]]-orders[[#This Row],[Order Date]]</f>
        <v>2</v>
      </c>
      <c r="N2069" s="1">
        <f>WEEKNUM(orders[[#This Row],[Order Date]])</f>
        <v>12</v>
      </c>
      <c r="O2069" s="1"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s="1">
        <v>1052</v>
      </c>
      <c r="F2070" s="2">
        <v>45733</v>
      </c>
      <c r="G2070" s="2">
        <v>45735</v>
      </c>
      <c r="H2070" s="1" t="s">
        <v>23</v>
      </c>
      <c r="I2070" s="1" t="s">
        <v>35</v>
      </c>
      <c r="J2070" s="1">
        <v>2</v>
      </c>
      <c r="K2070" s="1" t="s">
        <v>19</v>
      </c>
      <c r="L2070" s="1" t="s">
        <v>33</v>
      </c>
      <c r="M2070" s="1">
        <f>orders[[#This Row],[Ship Date]]-orders[[#This Row],[Order Date]]</f>
        <v>2</v>
      </c>
      <c r="N2070" s="1">
        <f>WEEKNUM(orders[[#This Row],[Order Date]])</f>
        <v>12</v>
      </c>
      <c r="O2070" s="1"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s="1">
        <v>34</v>
      </c>
      <c r="F2071" s="2">
        <v>45733</v>
      </c>
      <c r="G2071" s="2">
        <v>45735</v>
      </c>
      <c r="H2071" s="1" t="s">
        <v>27</v>
      </c>
      <c r="I2071" s="1" t="s">
        <v>40</v>
      </c>
      <c r="J2071" s="1">
        <v>4</v>
      </c>
      <c r="K2071" s="1" t="s">
        <v>19</v>
      </c>
      <c r="L2071" s="1" t="s">
        <v>33</v>
      </c>
      <c r="M2071" s="1">
        <f>orders[[#This Row],[Ship Date]]-orders[[#This Row],[Order Date]]</f>
        <v>2</v>
      </c>
      <c r="N2071" s="1">
        <f>WEEKNUM(orders[[#This Row],[Order Date]])</f>
        <v>12</v>
      </c>
      <c r="O2071" s="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s="1">
        <v>252.29999999999998</v>
      </c>
      <c r="F2072" s="2">
        <v>45733</v>
      </c>
      <c r="G2072" s="2">
        <v>45734</v>
      </c>
      <c r="H2072" s="1" t="s">
        <v>23</v>
      </c>
      <c r="I2072" s="1" t="s">
        <v>40</v>
      </c>
      <c r="J2072" s="1">
        <v>4</v>
      </c>
      <c r="K2072" s="1" t="s">
        <v>19</v>
      </c>
      <c r="L2072" s="1" t="s">
        <v>33</v>
      </c>
      <c r="M2072" s="1">
        <f>orders[[#This Row],[Ship Date]]-orders[[#This Row],[Order Date]]</f>
        <v>1</v>
      </c>
      <c r="N2072" s="1">
        <f>WEEKNUM(orders[[#This Row],[Order Date]])</f>
        <v>12</v>
      </c>
      <c r="O2072" s="1"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s="1">
        <v>238</v>
      </c>
      <c r="F2073" s="2">
        <v>45733</v>
      </c>
      <c r="G2073" s="2">
        <v>45738</v>
      </c>
      <c r="H2073" s="1" t="s">
        <v>23</v>
      </c>
      <c r="I2073" s="1" t="s">
        <v>18</v>
      </c>
      <c r="J2073" s="1">
        <v>5</v>
      </c>
      <c r="K2073" s="1" t="s">
        <v>19</v>
      </c>
      <c r="L2073" s="1" t="s">
        <v>33</v>
      </c>
      <c r="M2073" s="1">
        <f>orders[[#This Row],[Ship Date]]-orders[[#This Row],[Order Date]]</f>
        <v>5</v>
      </c>
      <c r="N2073" s="1">
        <f>WEEKNUM(orders[[#This Row],[Order Date]])</f>
        <v>12</v>
      </c>
      <c r="O2073" s="1"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s="1">
        <v>115</v>
      </c>
      <c r="F2074" s="2">
        <v>45733</v>
      </c>
      <c r="G2074" s="2">
        <v>45735</v>
      </c>
      <c r="H2074" s="1" t="s">
        <v>23</v>
      </c>
      <c r="I2074" s="1" t="s">
        <v>35</v>
      </c>
      <c r="J2074" s="1">
        <v>5</v>
      </c>
      <c r="K2074" s="1" t="s">
        <v>19</v>
      </c>
      <c r="L2074" s="1" t="s">
        <v>33</v>
      </c>
      <c r="M2074" s="1">
        <f>orders[[#This Row],[Ship Date]]-orders[[#This Row],[Order Date]]</f>
        <v>2</v>
      </c>
      <c r="N2074" s="1">
        <f>WEEKNUM(orders[[#This Row],[Order Date]])</f>
        <v>12</v>
      </c>
      <c r="O2074" s="1"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s="1">
        <v>34.299999999999997</v>
      </c>
      <c r="F2075" s="2">
        <v>45733</v>
      </c>
      <c r="G2075" s="2">
        <v>45734</v>
      </c>
      <c r="H2075" s="1" t="s">
        <v>27</v>
      </c>
      <c r="I2075" s="1" t="s">
        <v>70</v>
      </c>
      <c r="J2075" s="1">
        <v>5</v>
      </c>
      <c r="K2075" s="1" t="s">
        <v>19</v>
      </c>
      <c r="L2075" s="1" t="s">
        <v>33</v>
      </c>
      <c r="M2075" s="1">
        <f>orders[[#This Row],[Ship Date]]-orders[[#This Row],[Order Date]]</f>
        <v>1</v>
      </c>
      <c r="N2075" s="1">
        <f>WEEKNUM(orders[[#This Row],[Order Date]])</f>
        <v>12</v>
      </c>
      <c r="O2075" s="1"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s="1">
        <v>55.6</v>
      </c>
      <c r="F2076" s="2">
        <v>45734</v>
      </c>
      <c r="G2076" s="2">
        <v>45736</v>
      </c>
      <c r="H2076" s="1" t="s">
        <v>27</v>
      </c>
      <c r="I2076" s="1" t="s">
        <v>18</v>
      </c>
      <c r="J2076" s="1">
        <v>4</v>
      </c>
      <c r="K2076" s="1" t="s">
        <v>19</v>
      </c>
      <c r="L2076" s="1" t="s">
        <v>33</v>
      </c>
      <c r="M2076" s="1">
        <f>orders[[#This Row],[Ship Date]]-orders[[#This Row],[Order Date]]</f>
        <v>2</v>
      </c>
      <c r="N2076" s="1">
        <f>WEEKNUM(orders[[#This Row],[Order Date]])</f>
        <v>12</v>
      </c>
      <c r="O2076" s="1"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s="1">
        <v>170</v>
      </c>
      <c r="F2077" s="2">
        <v>45734</v>
      </c>
      <c r="G2077" s="2">
        <v>45734</v>
      </c>
      <c r="H2077" s="1" t="s">
        <v>23</v>
      </c>
      <c r="I2077" s="1" t="s">
        <v>40</v>
      </c>
      <c r="J2077" s="1">
        <v>5</v>
      </c>
      <c r="K2077" s="1" t="s">
        <v>19</v>
      </c>
      <c r="L2077" s="1" t="s">
        <v>33</v>
      </c>
      <c r="M2077" s="1">
        <f>orders[[#This Row],[Ship Date]]-orders[[#This Row],[Order Date]]</f>
        <v>0</v>
      </c>
      <c r="N2077" s="1">
        <f>WEEKNUM(orders[[#This Row],[Order Date]])</f>
        <v>12</v>
      </c>
      <c r="O2077" s="1"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s="1">
        <v>190</v>
      </c>
      <c r="F2078" s="2">
        <v>45734</v>
      </c>
      <c r="G2078" s="2">
        <v>45736</v>
      </c>
      <c r="H2078" s="1" t="s">
        <v>27</v>
      </c>
      <c r="I2078" s="1" t="s">
        <v>18</v>
      </c>
      <c r="J2078" s="1">
        <v>4</v>
      </c>
      <c r="K2078" s="1" t="s">
        <v>19</v>
      </c>
      <c r="L2078" s="1" t="s">
        <v>33</v>
      </c>
      <c r="M2078" s="1">
        <f>orders[[#This Row],[Ship Date]]-orders[[#This Row],[Order Date]]</f>
        <v>2</v>
      </c>
      <c r="N2078" s="1">
        <f>WEEKNUM(orders[[#This Row],[Order Date]])</f>
        <v>12</v>
      </c>
      <c r="O2078" s="1"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s="1">
        <v>64</v>
      </c>
      <c r="F2079" s="2">
        <v>45734</v>
      </c>
      <c r="G2079" s="2">
        <v>45736</v>
      </c>
      <c r="H2079" s="1" t="s">
        <v>23</v>
      </c>
      <c r="I2079" s="1" t="s">
        <v>18</v>
      </c>
      <c r="J2079" s="1">
        <v>3</v>
      </c>
      <c r="K2079" s="1" t="s">
        <v>19</v>
      </c>
      <c r="L2079" s="1" t="s">
        <v>33</v>
      </c>
      <c r="M2079" s="1">
        <f>orders[[#This Row],[Ship Date]]-orders[[#This Row],[Order Date]]</f>
        <v>2</v>
      </c>
      <c r="N2079" s="1">
        <f>WEEKNUM(orders[[#This Row],[Order Date]])</f>
        <v>12</v>
      </c>
      <c r="O2079" s="1"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s="1">
        <v>130.4</v>
      </c>
      <c r="F2080" s="2">
        <v>45734</v>
      </c>
      <c r="G2080" s="2">
        <v>45735</v>
      </c>
      <c r="H2080" s="1" t="s">
        <v>27</v>
      </c>
      <c r="I2080" s="1" t="s">
        <v>35</v>
      </c>
      <c r="J2080" s="1">
        <v>4</v>
      </c>
      <c r="K2080" s="1" t="s">
        <v>19</v>
      </c>
      <c r="L2080" s="1" t="s">
        <v>33</v>
      </c>
      <c r="M2080" s="1">
        <f>orders[[#This Row],[Ship Date]]-orders[[#This Row],[Order Date]]</f>
        <v>1</v>
      </c>
      <c r="N2080" s="1">
        <f>WEEKNUM(orders[[#This Row],[Order Date]])</f>
        <v>12</v>
      </c>
      <c r="O2080" s="1"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s="1">
        <v>88</v>
      </c>
      <c r="F2081" s="2">
        <v>45734</v>
      </c>
      <c r="G2081" s="2">
        <v>45735</v>
      </c>
      <c r="H2081" s="1" t="s">
        <v>23</v>
      </c>
      <c r="I2081" s="1" t="s">
        <v>35</v>
      </c>
      <c r="J2081" s="1">
        <v>5</v>
      </c>
      <c r="K2081" s="1" t="s">
        <v>19</v>
      </c>
      <c r="L2081" s="1" t="s">
        <v>33</v>
      </c>
      <c r="M2081" s="1">
        <f>orders[[#This Row],[Ship Date]]-orders[[#This Row],[Order Date]]</f>
        <v>1</v>
      </c>
      <c r="N2081" s="1">
        <f>WEEKNUM(orders[[#This Row],[Order Date]])</f>
        <v>12</v>
      </c>
      <c r="O2081" s="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s="1">
        <v>208.20000000000002</v>
      </c>
      <c r="F2082" s="2">
        <v>45734</v>
      </c>
      <c r="G2082" s="2">
        <v>45737</v>
      </c>
      <c r="H2082" s="1" t="s">
        <v>23</v>
      </c>
      <c r="I2082" s="1" t="s">
        <v>35</v>
      </c>
      <c r="J2082" s="1">
        <v>5</v>
      </c>
      <c r="K2082" s="1" t="s">
        <v>19</v>
      </c>
      <c r="L2082" s="1" t="s">
        <v>33</v>
      </c>
      <c r="M2082" s="1">
        <f>orders[[#This Row],[Ship Date]]-orders[[#This Row],[Order Date]]</f>
        <v>3</v>
      </c>
      <c r="N2082" s="1">
        <f>WEEKNUM(orders[[#This Row],[Order Date]])</f>
        <v>12</v>
      </c>
      <c r="O2082" s="1"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s="1">
        <v>189</v>
      </c>
      <c r="F2083" s="2">
        <v>45734</v>
      </c>
      <c r="G2083" s="2">
        <v>45736</v>
      </c>
      <c r="H2083" s="1" t="s">
        <v>27</v>
      </c>
      <c r="I2083" s="1" t="s">
        <v>18</v>
      </c>
      <c r="J2083" s="1">
        <v>5</v>
      </c>
      <c r="K2083" s="1" t="s">
        <v>19</v>
      </c>
      <c r="L2083" s="1" t="s">
        <v>33</v>
      </c>
      <c r="M2083" s="1">
        <f>orders[[#This Row],[Ship Date]]-orders[[#This Row],[Order Date]]</f>
        <v>2</v>
      </c>
      <c r="N2083" s="1">
        <f>WEEKNUM(orders[[#This Row],[Order Date]])</f>
        <v>12</v>
      </c>
      <c r="O2083" s="1"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s="1">
        <v>45.8</v>
      </c>
      <c r="F2084" s="2">
        <v>45734</v>
      </c>
      <c r="G2084" s="2">
        <v>45738</v>
      </c>
      <c r="H2084" s="1" t="s">
        <v>89</v>
      </c>
      <c r="I2084" s="1" t="s">
        <v>18</v>
      </c>
      <c r="J2084" s="1">
        <v>4</v>
      </c>
      <c r="K2084" s="1" t="s">
        <v>19</v>
      </c>
      <c r="L2084" s="1" t="s">
        <v>33</v>
      </c>
      <c r="M2084" s="1">
        <f>orders[[#This Row],[Ship Date]]-orders[[#This Row],[Order Date]]</f>
        <v>4</v>
      </c>
      <c r="N2084" s="1">
        <f>WEEKNUM(orders[[#This Row],[Order Date]])</f>
        <v>12</v>
      </c>
      <c r="O2084" s="1"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s="1">
        <v>51.2</v>
      </c>
      <c r="F2085" s="2">
        <v>45734</v>
      </c>
      <c r="G2085" s="2">
        <v>45741</v>
      </c>
      <c r="H2085" s="1" t="s">
        <v>27</v>
      </c>
      <c r="I2085" s="1" t="s">
        <v>35</v>
      </c>
      <c r="J2085" s="1">
        <v>3</v>
      </c>
      <c r="K2085" s="1" t="s">
        <v>19</v>
      </c>
      <c r="L2085" s="1" t="s">
        <v>52</v>
      </c>
      <c r="M2085" s="1">
        <f>orders[[#This Row],[Ship Date]]-orders[[#This Row],[Order Date]]</f>
        <v>7</v>
      </c>
      <c r="N2085" s="1">
        <f>WEEKNUM(orders[[#This Row],[Order Date]])</f>
        <v>12</v>
      </c>
      <c r="O2085" s="1"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s="1">
        <v>345.9</v>
      </c>
      <c r="F2086" s="2">
        <v>45734</v>
      </c>
      <c r="G2086" s="2">
        <v>45735</v>
      </c>
      <c r="H2086" s="1" t="s">
        <v>27</v>
      </c>
      <c r="I2086" s="1" t="s">
        <v>40</v>
      </c>
      <c r="J2086" s="1">
        <v>5</v>
      </c>
      <c r="K2086" s="1" t="s">
        <v>19</v>
      </c>
      <c r="L2086" s="1" t="s">
        <v>55</v>
      </c>
      <c r="M2086" s="1">
        <f>orders[[#This Row],[Ship Date]]-orders[[#This Row],[Order Date]]</f>
        <v>1</v>
      </c>
      <c r="N2086" s="1">
        <f>WEEKNUM(orders[[#This Row],[Order Date]])</f>
        <v>12</v>
      </c>
      <c r="O2086" s="1"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s="1">
        <v>170</v>
      </c>
      <c r="F2087" s="2">
        <v>45734</v>
      </c>
      <c r="G2087" s="2">
        <v>45736</v>
      </c>
      <c r="H2087" s="1" t="s">
        <v>27</v>
      </c>
      <c r="I2087" s="1" t="s">
        <v>35</v>
      </c>
      <c r="J2087" s="1">
        <v>4</v>
      </c>
      <c r="K2087" s="1" t="s">
        <v>19</v>
      </c>
      <c r="L2087" s="1" t="s">
        <v>59</v>
      </c>
      <c r="M2087" s="1">
        <f>orders[[#This Row],[Ship Date]]-orders[[#This Row],[Order Date]]</f>
        <v>2</v>
      </c>
      <c r="N2087" s="1">
        <f>WEEKNUM(orders[[#This Row],[Order Date]])</f>
        <v>12</v>
      </c>
      <c r="O2087" s="1"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s="1">
        <v>169.8</v>
      </c>
      <c r="F2088" s="2">
        <v>45734</v>
      </c>
      <c r="G2088" s="2">
        <v>45735</v>
      </c>
      <c r="H2088" s="1" t="s">
        <v>27</v>
      </c>
      <c r="I2088" s="1" t="s">
        <v>35</v>
      </c>
      <c r="J2088" s="1">
        <v>5</v>
      </c>
      <c r="K2088" s="1" t="s">
        <v>19</v>
      </c>
      <c r="L2088" s="1" t="s">
        <v>59</v>
      </c>
      <c r="M2088" s="1">
        <f>orders[[#This Row],[Ship Date]]-orders[[#This Row],[Order Date]]</f>
        <v>1</v>
      </c>
      <c r="N2088" s="1">
        <f>WEEKNUM(orders[[#This Row],[Order Date]])</f>
        <v>12</v>
      </c>
      <c r="O2088" s="1"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s="1">
        <v>1250.0999999999999</v>
      </c>
      <c r="F2089" s="2">
        <v>45734</v>
      </c>
      <c r="G2089" s="2">
        <v>45737</v>
      </c>
      <c r="H2089" s="1" t="s">
        <v>23</v>
      </c>
      <c r="I2089" s="1" t="s">
        <v>18</v>
      </c>
      <c r="J2089" s="1">
        <v>4</v>
      </c>
      <c r="K2089" s="1" t="s">
        <v>19</v>
      </c>
      <c r="L2089" s="1" t="s">
        <v>59</v>
      </c>
      <c r="M2089" s="1">
        <f>orders[[#This Row],[Ship Date]]-orders[[#This Row],[Order Date]]</f>
        <v>3</v>
      </c>
      <c r="N2089" s="1">
        <f>WEEKNUM(orders[[#This Row],[Order Date]])</f>
        <v>12</v>
      </c>
      <c r="O2089" s="1"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s="1">
        <v>92</v>
      </c>
      <c r="F2090" s="2">
        <v>45734</v>
      </c>
      <c r="G2090" s="2">
        <v>45738</v>
      </c>
      <c r="H2090" s="1" t="s">
        <v>23</v>
      </c>
      <c r="I2090" s="1" t="s">
        <v>51</v>
      </c>
      <c r="J2090" s="1">
        <v>5</v>
      </c>
      <c r="K2090" s="1" t="s">
        <v>19</v>
      </c>
      <c r="L2090" s="1" t="s">
        <v>59</v>
      </c>
      <c r="M2090" s="1">
        <f>orders[[#This Row],[Ship Date]]-orders[[#This Row],[Order Date]]</f>
        <v>4</v>
      </c>
      <c r="N2090" s="1">
        <f>WEEKNUM(orders[[#This Row],[Order Date]])</f>
        <v>12</v>
      </c>
      <c r="O2090" s="1"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s="1">
        <v>252.60000000000002</v>
      </c>
      <c r="F2091" s="2">
        <v>45734</v>
      </c>
      <c r="G2091" s="2">
        <v>45736</v>
      </c>
      <c r="H2091" s="1" t="s">
        <v>23</v>
      </c>
      <c r="I2091" s="1" t="s">
        <v>70</v>
      </c>
      <c r="J2091" s="1">
        <v>4</v>
      </c>
      <c r="K2091" s="1" t="s">
        <v>19</v>
      </c>
      <c r="L2091" s="1" t="s">
        <v>62</v>
      </c>
      <c r="M2091" s="1">
        <f>orders[[#This Row],[Ship Date]]-orders[[#This Row],[Order Date]]</f>
        <v>2</v>
      </c>
      <c r="N2091" s="1">
        <f>WEEKNUM(orders[[#This Row],[Order Date]])</f>
        <v>12</v>
      </c>
      <c r="O2091" s="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s="1">
        <v>401.8</v>
      </c>
      <c r="F2092" s="2">
        <v>45734</v>
      </c>
      <c r="G2092" s="2">
        <v>45738</v>
      </c>
      <c r="H2092" s="1" t="s">
        <v>27</v>
      </c>
      <c r="I2092" s="1" t="s">
        <v>35</v>
      </c>
      <c r="J2092" s="1">
        <v>2</v>
      </c>
      <c r="K2092" s="1" t="s">
        <v>19</v>
      </c>
      <c r="L2092" s="1" t="s">
        <v>62</v>
      </c>
      <c r="M2092" s="1">
        <f>orders[[#This Row],[Ship Date]]-orders[[#This Row],[Order Date]]</f>
        <v>4</v>
      </c>
      <c r="N2092" s="1">
        <f>WEEKNUM(orders[[#This Row],[Order Date]])</f>
        <v>12</v>
      </c>
      <c r="O2092" s="1"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s="1">
        <v>79.199999999999989</v>
      </c>
      <c r="F2093" s="2">
        <v>45734</v>
      </c>
      <c r="G2093" s="2">
        <v>45738</v>
      </c>
      <c r="H2093" s="1" t="s">
        <v>23</v>
      </c>
      <c r="I2093" s="1" t="s">
        <v>40</v>
      </c>
      <c r="J2093" s="1">
        <v>4</v>
      </c>
      <c r="K2093" s="1" t="s">
        <v>19</v>
      </c>
      <c r="L2093" s="1" t="s">
        <v>62</v>
      </c>
      <c r="M2093" s="1">
        <f>orders[[#This Row],[Ship Date]]-orders[[#This Row],[Order Date]]</f>
        <v>4</v>
      </c>
      <c r="N2093" s="1">
        <f>WEEKNUM(orders[[#This Row],[Order Date]])</f>
        <v>12</v>
      </c>
      <c r="O2093" s="1"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s="1">
        <v>156.89999999999998</v>
      </c>
      <c r="F2094" s="2">
        <v>45734</v>
      </c>
      <c r="G2094" s="2">
        <v>45735</v>
      </c>
      <c r="H2094" s="1" t="s">
        <v>23</v>
      </c>
      <c r="I2094" s="1" t="s">
        <v>35</v>
      </c>
      <c r="J2094" s="1">
        <v>4</v>
      </c>
      <c r="K2094" s="1" t="s">
        <v>19</v>
      </c>
      <c r="L2094" s="1" t="s">
        <v>62</v>
      </c>
      <c r="M2094" s="1">
        <f>orders[[#This Row],[Ship Date]]-orders[[#This Row],[Order Date]]</f>
        <v>1</v>
      </c>
      <c r="N2094" s="1">
        <f>WEEKNUM(orders[[#This Row],[Order Date]])</f>
        <v>12</v>
      </c>
      <c r="O2094" s="1"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s="1">
        <v>31.4</v>
      </c>
      <c r="F2095" s="2">
        <v>45734</v>
      </c>
      <c r="G2095" s="2">
        <v>45737</v>
      </c>
      <c r="H2095" s="1" t="s">
        <v>23</v>
      </c>
      <c r="I2095" s="1" t="s">
        <v>35</v>
      </c>
      <c r="J2095" s="1">
        <v>5</v>
      </c>
      <c r="K2095" s="1" t="s">
        <v>19</v>
      </c>
      <c r="L2095" s="1" t="s">
        <v>62</v>
      </c>
      <c r="M2095" s="1">
        <f>orders[[#This Row],[Ship Date]]-orders[[#This Row],[Order Date]]</f>
        <v>3</v>
      </c>
      <c r="N2095" s="1">
        <f>WEEKNUM(orders[[#This Row],[Order Date]])</f>
        <v>12</v>
      </c>
      <c r="O2095" s="1"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s="1">
        <v>105</v>
      </c>
      <c r="F2096" s="2">
        <v>45734</v>
      </c>
      <c r="G2096" s="2">
        <v>45737</v>
      </c>
      <c r="H2096" s="1" t="s">
        <v>27</v>
      </c>
      <c r="I2096" s="1" t="s">
        <v>35</v>
      </c>
      <c r="J2096" s="1">
        <v>5</v>
      </c>
      <c r="K2096" s="1" t="s">
        <v>19</v>
      </c>
      <c r="L2096" s="1" t="s">
        <v>72</v>
      </c>
      <c r="M2096" s="1">
        <f>orders[[#This Row],[Ship Date]]-orders[[#This Row],[Order Date]]</f>
        <v>3</v>
      </c>
      <c r="N2096" s="1">
        <f>WEEKNUM(orders[[#This Row],[Order Date]])</f>
        <v>12</v>
      </c>
      <c r="O2096" s="1"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s="1">
        <v>79.800000000000011</v>
      </c>
      <c r="F2097" s="2">
        <v>45734</v>
      </c>
      <c r="G2097" s="2">
        <v>45734</v>
      </c>
      <c r="H2097" s="1" t="s">
        <v>23</v>
      </c>
      <c r="I2097" s="1" t="s">
        <v>35</v>
      </c>
      <c r="J2097" s="1">
        <v>5</v>
      </c>
      <c r="K2097" s="1" t="s">
        <v>19</v>
      </c>
      <c r="L2097" s="1" t="s">
        <v>77</v>
      </c>
      <c r="M2097" s="1">
        <f>orders[[#This Row],[Ship Date]]-orders[[#This Row],[Order Date]]</f>
        <v>0</v>
      </c>
      <c r="N2097" s="1">
        <f>WEEKNUM(orders[[#This Row],[Order Date]])</f>
        <v>12</v>
      </c>
      <c r="O2097" s="1"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s="1">
        <v>383.2</v>
      </c>
      <c r="F2098" s="2">
        <v>45735</v>
      </c>
      <c r="G2098" s="2">
        <v>45736</v>
      </c>
      <c r="H2098" s="1" t="s">
        <v>27</v>
      </c>
      <c r="I2098" s="1" t="s">
        <v>51</v>
      </c>
      <c r="J2098" s="1">
        <v>5</v>
      </c>
      <c r="K2098" s="1" t="s">
        <v>19</v>
      </c>
      <c r="L2098" s="1" t="s">
        <v>113</v>
      </c>
      <c r="M2098" s="1">
        <f>orders[[#This Row],[Ship Date]]-orders[[#This Row],[Order Date]]</f>
        <v>1</v>
      </c>
      <c r="N2098" s="1">
        <f>WEEKNUM(orders[[#This Row],[Order Date]])</f>
        <v>12</v>
      </c>
      <c r="O2098" s="1"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s="1">
        <v>80.099999999999994</v>
      </c>
      <c r="F2099" s="2">
        <v>45735</v>
      </c>
      <c r="G2099" s="2">
        <v>45736</v>
      </c>
      <c r="H2099" s="1" t="s">
        <v>23</v>
      </c>
      <c r="I2099" s="1" t="s">
        <v>40</v>
      </c>
      <c r="J2099" s="1">
        <v>4</v>
      </c>
      <c r="K2099" s="1" t="s">
        <v>19</v>
      </c>
      <c r="L2099" s="1" t="s">
        <v>115</v>
      </c>
      <c r="M2099" s="1">
        <f>orders[[#This Row],[Ship Date]]-orders[[#This Row],[Order Date]]</f>
        <v>1</v>
      </c>
      <c r="N2099" s="1">
        <f>WEEKNUM(orders[[#This Row],[Order Date]])</f>
        <v>12</v>
      </c>
      <c r="O2099" s="1"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s="1">
        <v>252</v>
      </c>
      <c r="F2100" s="2">
        <v>45735</v>
      </c>
      <c r="G2100" s="2">
        <v>45736</v>
      </c>
      <c r="H2100" s="1" t="s">
        <v>23</v>
      </c>
      <c r="I2100" s="1" t="s">
        <v>35</v>
      </c>
      <c r="J2100" s="1">
        <v>5</v>
      </c>
      <c r="K2100" s="1" t="s">
        <v>19</v>
      </c>
      <c r="L2100" s="1" t="s">
        <v>115</v>
      </c>
      <c r="M2100" s="1">
        <f>orders[[#This Row],[Ship Date]]-orders[[#This Row],[Order Date]]</f>
        <v>1</v>
      </c>
      <c r="N2100" s="1">
        <f>WEEKNUM(orders[[#This Row],[Order Date]])</f>
        <v>12</v>
      </c>
      <c r="O2100" s="1"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s="1">
        <v>303.09999999999997</v>
      </c>
      <c r="F2101" s="2">
        <v>45735</v>
      </c>
      <c r="G2101" s="2">
        <v>45736</v>
      </c>
      <c r="H2101" s="1" t="s">
        <v>23</v>
      </c>
      <c r="I2101" s="1" t="s">
        <v>40</v>
      </c>
      <c r="J2101" s="1">
        <v>4</v>
      </c>
      <c r="K2101" s="1" t="s">
        <v>19</v>
      </c>
      <c r="L2101" s="1" t="s">
        <v>115</v>
      </c>
      <c r="M2101" s="1">
        <f>orders[[#This Row],[Ship Date]]-orders[[#This Row],[Order Date]]</f>
        <v>1</v>
      </c>
      <c r="N2101" s="1">
        <f>WEEKNUM(orders[[#This Row],[Order Date]])</f>
        <v>12</v>
      </c>
      <c r="O2101" s="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s="1">
        <v>230</v>
      </c>
      <c r="F2102" s="2">
        <v>45735</v>
      </c>
      <c r="G2102" s="2">
        <v>45736</v>
      </c>
      <c r="H2102" s="1" t="s">
        <v>27</v>
      </c>
      <c r="I2102" s="1" t="s">
        <v>35</v>
      </c>
      <c r="J2102" s="1">
        <v>5</v>
      </c>
      <c r="K2102" s="1" t="s">
        <v>19</v>
      </c>
      <c r="L2102" s="1" t="s">
        <v>24</v>
      </c>
      <c r="M2102" s="1">
        <f>orders[[#This Row],[Ship Date]]-orders[[#This Row],[Order Date]]</f>
        <v>1</v>
      </c>
      <c r="N2102" s="1">
        <f>WEEKNUM(orders[[#This Row],[Order Date]])</f>
        <v>12</v>
      </c>
      <c r="O2102" s="1"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s="1">
        <v>322.40000000000003</v>
      </c>
      <c r="F2103" s="2">
        <v>45735</v>
      </c>
      <c r="G2103" s="2">
        <v>45736</v>
      </c>
      <c r="H2103" s="1" t="s">
        <v>23</v>
      </c>
      <c r="I2103" s="1" t="s">
        <v>18</v>
      </c>
      <c r="J2103" s="1">
        <v>4</v>
      </c>
      <c r="K2103" s="1" t="s">
        <v>19</v>
      </c>
      <c r="L2103" s="1" t="s">
        <v>2204</v>
      </c>
      <c r="M2103" s="1">
        <f>orders[[#This Row],[Ship Date]]-orders[[#This Row],[Order Date]]</f>
        <v>1</v>
      </c>
      <c r="N2103" s="1">
        <f>WEEKNUM(orders[[#This Row],[Order Date]])</f>
        <v>12</v>
      </c>
      <c r="O2103" s="1"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s="1">
        <v>771.30000000000007</v>
      </c>
      <c r="F2104" s="2">
        <v>45735</v>
      </c>
      <c r="G2104" s="2">
        <v>45736</v>
      </c>
      <c r="H2104" s="1" t="s">
        <v>27</v>
      </c>
      <c r="I2104" s="1" t="s">
        <v>18</v>
      </c>
      <c r="J2104" s="1">
        <v>4</v>
      </c>
      <c r="K2104" s="1" t="s">
        <v>19</v>
      </c>
      <c r="L2104" s="1" t="s">
        <v>437</v>
      </c>
      <c r="M2104" s="1">
        <f>orders[[#This Row],[Ship Date]]-orders[[#This Row],[Order Date]]</f>
        <v>1</v>
      </c>
      <c r="N2104" s="1">
        <f>WEEKNUM(orders[[#This Row],[Order Date]])</f>
        <v>12</v>
      </c>
      <c r="O2104" s="1"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s="1">
        <v>47.1</v>
      </c>
      <c r="F2105" s="2">
        <v>45735</v>
      </c>
      <c r="G2105" s="2">
        <v>45737</v>
      </c>
      <c r="H2105" s="1" t="s">
        <v>27</v>
      </c>
      <c r="I2105" s="1" t="s">
        <v>18</v>
      </c>
      <c r="J2105" s="1">
        <v>4</v>
      </c>
      <c r="K2105" s="1" t="s">
        <v>19</v>
      </c>
      <c r="L2105" s="1" t="s">
        <v>28</v>
      </c>
      <c r="M2105" s="1">
        <f>orders[[#This Row],[Ship Date]]-orders[[#This Row],[Order Date]]</f>
        <v>2</v>
      </c>
      <c r="N2105" s="1">
        <f>WEEKNUM(orders[[#This Row],[Order Date]])</f>
        <v>12</v>
      </c>
      <c r="O2105" s="1"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s="1">
        <v>832</v>
      </c>
      <c r="F2106" s="2">
        <v>45735</v>
      </c>
      <c r="G2106" s="2">
        <v>45739</v>
      </c>
      <c r="H2106" s="1" t="s">
        <v>27</v>
      </c>
      <c r="I2106" s="1" t="s">
        <v>18</v>
      </c>
      <c r="J2106" s="1">
        <v>4</v>
      </c>
      <c r="K2106" s="1" t="s">
        <v>19</v>
      </c>
      <c r="L2106" s="1" t="s">
        <v>331</v>
      </c>
      <c r="M2106" s="1">
        <f>orders[[#This Row],[Ship Date]]-orders[[#This Row],[Order Date]]</f>
        <v>4</v>
      </c>
      <c r="N2106" s="1">
        <f>WEEKNUM(orders[[#This Row],[Order Date]])</f>
        <v>12</v>
      </c>
      <c r="O2106" s="1"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s="1">
        <v>471</v>
      </c>
      <c r="F2107" s="2">
        <v>45735</v>
      </c>
      <c r="G2107" s="2">
        <v>45737</v>
      </c>
      <c r="H2107" s="1" t="s">
        <v>27</v>
      </c>
      <c r="I2107" s="1" t="s">
        <v>18</v>
      </c>
      <c r="J2107" s="1">
        <v>5</v>
      </c>
      <c r="K2107" s="1" t="s">
        <v>19</v>
      </c>
      <c r="L2107" s="1" t="s">
        <v>147</v>
      </c>
      <c r="M2107" s="1">
        <f>orders[[#This Row],[Ship Date]]-orders[[#This Row],[Order Date]]</f>
        <v>2</v>
      </c>
      <c r="N2107" s="1">
        <f>WEEKNUM(orders[[#This Row],[Order Date]])</f>
        <v>12</v>
      </c>
      <c r="O2107" s="1"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s="1">
        <v>134.80000000000001</v>
      </c>
      <c r="F2108" s="2">
        <v>45735</v>
      </c>
      <c r="G2108" s="2">
        <v>45736</v>
      </c>
      <c r="H2108" s="1" t="s">
        <v>23</v>
      </c>
      <c r="I2108" s="1" t="s">
        <v>40</v>
      </c>
      <c r="J2108" s="1">
        <v>5</v>
      </c>
      <c r="K2108" s="1" t="s">
        <v>19</v>
      </c>
      <c r="L2108" s="1" t="s">
        <v>147</v>
      </c>
      <c r="M2108" s="1">
        <f>orders[[#This Row],[Ship Date]]-orders[[#This Row],[Order Date]]</f>
        <v>1</v>
      </c>
      <c r="N2108" s="1">
        <f>WEEKNUM(orders[[#This Row],[Order Date]])</f>
        <v>12</v>
      </c>
      <c r="O2108" s="1"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s="1">
        <v>182.39999999999998</v>
      </c>
      <c r="F2109" s="2">
        <v>45735</v>
      </c>
      <c r="G2109" s="2">
        <v>45739</v>
      </c>
      <c r="H2109" s="1" t="s">
        <v>27</v>
      </c>
      <c r="I2109" s="1" t="s">
        <v>35</v>
      </c>
      <c r="J2109" s="1">
        <v>3</v>
      </c>
      <c r="K2109" s="1" t="s">
        <v>19</v>
      </c>
      <c r="L2109" s="1" t="s">
        <v>33</v>
      </c>
      <c r="M2109" s="1">
        <f>orders[[#This Row],[Ship Date]]-orders[[#This Row],[Order Date]]</f>
        <v>4</v>
      </c>
      <c r="N2109" s="1">
        <f>WEEKNUM(orders[[#This Row],[Order Date]])</f>
        <v>12</v>
      </c>
      <c r="O2109" s="1"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s="1">
        <v>57.6</v>
      </c>
      <c r="F2110" s="2">
        <v>45735</v>
      </c>
      <c r="G2110" s="2">
        <v>45736</v>
      </c>
      <c r="H2110" s="1" t="s">
        <v>23</v>
      </c>
      <c r="I2110" s="1" t="s">
        <v>35</v>
      </c>
      <c r="J2110" s="1">
        <v>2</v>
      </c>
      <c r="K2110" s="1" t="s">
        <v>19</v>
      </c>
      <c r="L2110" s="1" t="s">
        <v>33</v>
      </c>
      <c r="M2110" s="1">
        <f>orders[[#This Row],[Ship Date]]-orders[[#This Row],[Order Date]]</f>
        <v>1</v>
      </c>
      <c r="N2110" s="1">
        <f>WEEKNUM(orders[[#This Row],[Order Date]])</f>
        <v>12</v>
      </c>
      <c r="O2110" s="1"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s="1">
        <v>32</v>
      </c>
      <c r="F2111" s="2">
        <v>45735</v>
      </c>
      <c r="G2111" s="2">
        <v>45737</v>
      </c>
      <c r="H2111" s="1" t="s">
        <v>23</v>
      </c>
      <c r="I2111" s="1" t="s">
        <v>18</v>
      </c>
      <c r="J2111" s="1">
        <v>4</v>
      </c>
      <c r="K2111" s="1" t="s">
        <v>19</v>
      </c>
      <c r="L2111" s="1" t="s">
        <v>33</v>
      </c>
      <c r="M2111" s="1">
        <f>orders[[#This Row],[Ship Date]]-orders[[#This Row],[Order Date]]</f>
        <v>2</v>
      </c>
      <c r="N2111" s="1">
        <f>WEEKNUM(orders[[#This Row],[Order Date]])</f>
        <v>12</v>
      </c>
      <c r="O2111" s="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s="1">
        <v>94</v>
      </c>
      <c r="F2112" s="2">
        <v>45735</v>
      </c>
      <c r="G2112" s="2">
        <v>45736</v>
      </c>
      <c r="H2112" s="1" t="s">
        <v>27</v>
      </c>
      <c r="I2112" s="1" t="s">
        <v>18</v>
      </c>
      <c r="J2112" s="1">
        <v>5</v>
      </c>
      <c r="K2112" s="1" t="s">
        <v>19</v>
      </c>
      <c r="L2112" s="1" t="s">
        <v>33</v>
      </c>
      <c r="M2112" s="1">
        <f>orders[[#This Row],[Ship Date]]-orders[[#This Row],[Order Date]]</f>
        <v>1</v>
      </c>
      <c r="N2112" s="1">
        <f>WEEKNUM(orders[[#This Row],[Order Date]])</f>
        <v>12</v>
      </c>
      <c r="O2112" s="1"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s="1">
        <v>134.39999999999998</v>
      </c>
      <c r="F2113" s="2">
        <v>45735</v>
      </c>
      <c r="G2113" s="2">
        <v>45736</v>
      </c>
      <c r="H2113" s="1" t="s">
        <v>89</v>
      </c>
      <c r="I2113" s="1" t="s">
        <v>70</v>
      </c>
      <c r="J2113" s="1">
        <v>4</v>
      </c>
      <c r="K2113" s="1" t="s">
        <v>19</v>
      </c>
      <c r="L2113" s="1" t="s">
        <v>33</v>
      </c>
      <c r="M2113" s="1">
        <f>orders[[#This Row],[Ship Date]]-orders[[#This Row],[Order Date]]</f>
        <v>1</v>
      </c>
      <c r="N2113" s="1">
        <f>WEEKNUM(orders[[#This Row],[Order Date]])</f>
        <v>12</v>
      </c>
      <c r="O2113" s="1"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s="1">
        <v>93.6</v>
      </c>
      <c r="F2114" s="2">
        <v>45735</v>
      </c>
      <c r="G2114" s="2">
        <v>45736</v>
      </c>
      <c r="H2114" s="1" t="s">
        <v>23</v>
      </c>
      <c r="I2114" s="1" t="s">
        <v>40</v>
      </c>
      <c r="J2114" s="1">
        <v>5</v>
      </c>
      <c r="K2114" s="1" t="s">
        <v>19</v>
      </c>
      <c r="L2114" s="1" t="s">
        <v>33</v>
      </c>
      <c r="M2114" s="1">
        <f>orders[[#This Row],[Ship Date]]-orders[[#This Row],[Order Date]]</f>
        <v>1</v>
      </c>
      <c r="N2114" s="1">
        <f>WEEKNUM(orders[[#This Row],[Order Date]])</f>
        <v>12</v>
      </c>
      <c r="O2114" s="1"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s="1">
        <v>77.599999999999994</v>
      </c>
      <c r="F2115" s="2">
        <v>45735</v>
      </c>
      <c r="G2115" s="2">
        <v>45738</v>
      </c>
      <c r="H2115" s="1" t="s">
        <v>27</v>
      </c>
      <c r="I2115" s="1" t="s">
        <v>40</v>
      </c>
      <c r="J2115" s="1">
        <v>4</v>
      </c>
      <c r="K2115" s="1" t="s">
        <v>19</v>
      </c>
      <c r="L2115" s="1" t="s">
        <v>33</v>
      </c>
      <c r="M2115" s="1">
        <f>orders[[#This Row],[Ship Date]]-orders[[#This Row],[Order Date]]</f>
        <v>3</v>
      </c>
      <c r="N2115" s="1">
        <f>WEEKNUM(orders[[#This Row],[Order Date]])</f>
        <v>12</v>
      </c>
      <c r="O2115" s="1"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s="1">
        <v>1216.6000000000001</v>
      </c>
      <c r="F2116" s="2">
        <v>45735</v>
      </c>
      <c r="G2116" s="2">
        <v>45740</v>
      </c>
      <c r="H2116" s="1" t="s">
        <v>27</v>
      </c>
      <c r="I2116" s="1" t="s">
        <v>35</v>
      </c>
      <c r="J2116" s="1">
        <v>4</v>
      </c>
      <c r="K2116" s="1" t="s">
        <v>19</v>
      </c>
      <c r="L2116" s="1" t="s">
        <v>33</v>
      </c>
      <c r="M2116" s="1">
        <f>orders[[#This Row],[Ship Date]]-orders[[#This Row],[Order Date]]</f>
        <v>5</v>
      </c>
      <c r="N2116" s="1">
        <f>WEEKNUM(orders[[#This Row],[Order Date]])</f>
        <v>12</v>
      </c>
      <c r="O2116" s="1"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s="1">
        <v>18.3</v>
      </c>
      <c r="F2117" s="2">
        <v>45735</v>
      </c>
      <c r="G2117" s="2">
        <v>45736</v>
      </c>
      <c r="H2117" s="1" t="s">
        <v>27</v>
      </c>
      <c r="I2117" s="1" t="s">
        <v>18</v>
      </c>
      <c r="J2117" s="1">
        <v>4</v>
      </c>
      <c r="K2117" s="1" t="s">
        <v>19</v>
      </c>
      <c r="L2117" s="1" t="s">
        <v>33</v>
      </c>
      <c r="M2117" s="1">
        <f>orders[[#This Row],[Ship Date]]-orders[[#This Row],[Order Date]]</f>
        <v>1</v>
      </c>
      <c r="N2117" s="1">
        <f>WEEKNUM(orders[[#This Row],[Order Date]])</f>
        <v>12</v>
      </c>
      <c r="O2117" s="1"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s="1">
        <v>47.5</v>
      </c>
      <c r="F2118" s="2">
        <v>45735</v>
      </c>
      <c r="G2118" s="2">
        <v>45739</v>
      </c>
      <c r="H2118" s="1" t="s">
        <v>23</v>
      </c>
      <c r="I2118" s="1" t="s">
        <v>70</v>
      </c>
      <c r="J2118" s="1">
        <v>5</v>
      </c>
      <c r="K2118" s="1" t="s">
        <v>19</v>
      </c>
      <c r="L2118" s="1" t="s">
        <v>33</v>
      </c>
      <c r="M2118" s="1">
        <f>orders[[#This Row],[Ship Date]]-orders[[#This Row],[Order Date]]</f>
        <v>4</v>
      </c>
      <c r="N2118" s="1">
        <f>WEEKNUM(orders[[#This Row],[Order Date]])</f>
        <v>12</v>
      </c>
      <c r="O2118" s="1"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s="1">
        <v>157.19999999999999</v>
      </c>
      <c r="F2119" s="2">
        <v>45735</v>
      </c>
      <c r="G2119" s="2">
        <v>45736</v>
      </c>
      <c r="H2119" s="1" t="s">
        <v>23</v>
      </c>
      <c r="I2119" s="1" t="s">
        <v>40</v>
      </c>
      <c r="J2119" s="1">
        <v>5</v>
      </c>
      <c r="K2119" s="1" t="s">
        <v>19</v>
      </c>
      <c r="L2119" s="1" t="s">
        <v>33</v>
      </c>
      <c r="M2119" s="1">
        <f>orders[[#This Row],[Ship Date]]-orders[[#This Row],[Order Date]]</f>
        <v>1</v>
      </c>
      <c r="N2119" s="1">
        <f>WEEKNUM(orders[[#This Row],[Order Date]])</f>
        <v>12</v>
      </c>
      <c r="O2119" s="1"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s="1">
        <v>349.2</v>
      </c>
      <c r="F2120" s="2">
        <v>45735</v>
      </c>
      <c r="G2120" s="2">
        <v>45736</v>
      </c>
      <c r="H2120" s="1" t="s">
        <v>23</v>
      </c>
      <c r="I2120" s="1" t="s">
        <v>18</v>
      </c>
      <c r="J2120" s="1">
        <v>4</v>
      </c>
      <c r="K2120" s="1" t="s">
        <v>19</v>
      </c>
      <c r="L2120" s="1" t="s">
        <v>33</v>
      </c>
      <c r="M2120" s="1">
        <f>orders[[#This Row],[Ship Date]]-orders[[#This Row],[Order Date]]</f>
        <v>1</v>
      </c>
      <c r="N2120" s="1">
        <f>WEEKNUM(orders[[#This Row],[Order Date]])</f>
        <v>12</v>
      </c>
      <c r="O2120" s="1"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s="1">
        <v>126.4</v>
      </c>
      <c r="F2121" s="2">
        <v>45735</v>
      </c>
      <c r="G2121" s="2">
        <v>45735</v>
      </c>
      <c r="H2121" s="1" t="s">
        <v>23</v>
      </c>
      <c r="I2121" s="1" t="s">
        <v>70</v>
      </c>
      <c r="J2121" s="1">
        <v>3</v>
      </c>
      <c r="K2121" s="1" t="s">
        <v>19</v>
      </c>
      <c r="L2121" s="1" t="s">
        <v>33</v>
      </c>
      <c r="M2121" s="1">
        <f>orders[[#This Row],[Ship Date]]-orders[[#This Row],[Order Date]]</f>
        <v>0</v>
      </c>
      <c r="N2121" s="1">
        <f>WEEKNUM(orders[[#This Row],[Order Date]])</f>
        <v>12</v>
      </c>
      <c r="O2121" s="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s="1">
        <v>168.5</v>
      </c>
      <c r="F2122" s="2">
        <v>45735</v>
      </c>
      <c r="G2122" s="2">
        <v>45736</v>
      </c>
      <c r="H2122" s="1" t="s">
        <v>27</v>
      </c>
      <c r="I2122" s="1" t="s">
        <v>18</v>
      </c>
      <c r="J2122" s="1">
        <v>4</v>
      </c>
      <c r="K2122" s="1" t="s">
        <v>19</v>
      </c>
      <c r="L2122" s="1" t="s">
        <v>33</v>
      </c>
      <c r="M2122" s="1">
        <f>orders[[#This Row],[Ship Date]]-orders[[#This Row],[Order Date]]</f>
        <v>1</v>
      </c>
      <c r="N2122" s="1">
        <f>WEEKNUM(orders[[#This Row],[Order Date]])</f>
        <v>12</v>
      </c>
      <c r="O2122" s="1"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s="1">
        <v>322.20000000000005</v>
      </c>
      <c r="F2123" s="2">
        <v>45735</v>
      </c>
      <c r="G2123" s="2">
        <v>45748</v>
      </c>
      <c r="H2123" s="1" t="s">
        <v>27</v>
      </c>
      <c r="I2123" s="1" t="s">
        <v>35</v>
      </c>
      <c r="J2123" s="1">
        <v>5</v>
      </c>
      <c r="K2123" s="1" t="s">
        <v>19</v>
      </c>
      <c r="L2123" s="1" t="s">
        <v>33</v>
      </c>
      <c r="M2123" s="1">
        <f>orders[[#This Row],[Ship Date]]-orders[[#This Row],[Order Date]]</f>
        <v>13</v>
      </c>
      <c r="N2123" s="1">
        <f>WEEKNUM(orders[[#This Row],[Order Date]])</f>
        <v>12</v>
      </c>
      <c r="O2123" s="1"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s="1">
        <v>88.8</v>
      </c>
      <c r="F2124" s="2">
        <v>45735</v>
      </c>
      <c r="G2124" s="2">
        <v>45736</v>
      </c>
      <c r="H2124" s="1" t="s">
        <v>17</v>
      </c>
      <c r="I2124" s="1" t="s">
        <v>35</v>
      </c>
      <c r="J2124" s="1">
        <v>5</v>
      </c>
      <c r="K2124" s="1" t="s">
        <v>19</v>
      </c>
      <c r="L2124" s="1" t="s">
        <v>186</v>
      </c>
      <c r="M2124" s="1">
        <f>orders[[#This Row],[Ship Date]]-orders[[#This Row],[Order Date]]</f>
        <v>1</v>
      </c>
      <c r="N2124" s="1">
        <f>WEEKNUM(orders[[#This Row],[Order Date]])</f>
        <v>12</v>
      </c>
      <c r="O2124" s="1"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s="1">
        <v>158.39999999999998</v>
      </c>
      <c r="F2125" s="2">
        <v>45735</v>
      </c>
      <c r="G2125" s="2">
        <v>45736</v>
      </c>
      <c r="H2125" s="1" t="s">
        <v>23</v>
      </c>
      <c r="I2125" s="1" t="s">
        <v>51</v>
      </c>
      <c r="J2125" s="1">
        <v>5</v>
      </c>
      <c r="K2125" s="1" t="s">
        <v>19</v>
      </c>
      <c r="L2125" s="1" t="s">
        <v>186</v>
      </c>
      <c r="M2125" s="1">
        <f>orders[[#This Row],[Ship Date]]-orders[[#This Row],[Order Date]]</f>
        <v>1</v>
      </c>
      <c r="N2125" s="1">
        <f>WEEKNUM(orders[[#This Row],[Order Date]])</f>
        <v>12</v>
      </c>
      <c r="O2125" s="1"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s="1">
        <v>124.5</v>
      </c>
      <c r="F2126" s="2">
        <v>45735</v>
      </c>
      <c r="G2126" s="2">
        <v>45738</v>
      </c>
      <c r="H2126" s="1" t="s">
        <v>27</v>
      </c>
      <c r="I2126" s="1" t="s">
        <v>18</v>
      </c>
      <c r="J2126" s="1">
        <v>4</v>
      </c>
      <c r="K2126" s="1" t="s">
        <v>19</v>
      </c>
      <c r="L2126" s="1" t="s">
        <v>188</v>
      </c>
      <c r="M2126" s="1">
        <f>orders[[#This Row],[Ship Date]]-orders[[#This Row],[Order Date]]</f>
        <v>3</v>
      </c>
      <c r="N2126" s="1">
        <f>WEEKNUM(orders[[#This Row],[Order Date]])</f>
        <v>12</v>
      </c>
      <c r="O2126" s="1"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s="1">
        <v>828</v>
      </c>
      <c r="F2127" s="2">
        <v>45735</v>
      </c>
      <c r="G2127" s="2">
        <v>45738</v>
      </c>
      <c r="H2127" s="1" t="s">
        <v>27</v>
      </c>
      <c r="I2127" s="1" t="s">
        <v>18</v>
      </c>
      <c r="J2127" s="1">
        <v>5</v>
      </c>
      <c r="K2127" s="1" t="s">
        <v>19</v>
      </c>
      <c r="L2127" s="1" t="s">
        <v>158</v>
      </c>
      <c r="M2127" s="1">
        <f>orders[[#This Row],[Ship Date]]-orders[[#This Row],[Order Date]]</f>
        <v>3</v>
      </c>
      <c r="N2127" s="1">
        <f>WEEKNUM(orders[[#This Row],[Order Date]])</f>
        <v>12</v>
      </c>
      <c r="O2127" s="1"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s="1">
        <v>525</v>
      </c>
      <c r="F2128" s="2">
        <v>45735</v>
      </c>
      <c r="G2128" s="2">
        <v>45735</v>
      </c>
      <c r="H2128" s="1" t="s">
        <v>27</v>
      </c>
      <c r="I2128" s="1" t="s">
        <v>35</v>
      </c>
      <c r="J2128" s="1">
        <v>5</v>
      </c>
      <c r="K2128" s="1" t="s">
        <v>19</v>
      </c>
      <c r="L2128" s="1" t="s">
        <v>55</v>
      </c>
      <c r="M2128" s="1">
        <f>orders[[#This Row],[Ship Date]]-orders[[#This Row],[Order Date]]</f>
        <v>0</v>
      </c>
      <c r="N2128" s="1">
        <f>WEEKNUM(orders[[#This Row],[Order Date]])</f>
        <v>12</v>
      </c>
      <c r="O2128" s="1"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s="1">
        <v>355.2</v>
      </c>
      <c r="F2129" s="2">
        <v>45735</v>
      </c>
      <c r="G2129" s="2">
        <v>45741</v>
      </c>
      <c r="H2129" s="1" t="s">
        <v>27</v>
      </c>
      <c r="I2129" s="1" t="s">
        <v>51</v>
      </c>
      <c r="J2129" s="1">
        <v>5</v>
      </c>
      <c r="K2129" s="1" t="s">
        <v>19</v>
      </c>
      <c r="L2129" s="1" t="s">
        <v>59</v>
      </c>
      <c r="M2129" s="1">
        <f>orders[[#This Row],[Ship Date]]-orders[[#This Row],[Order Date]]</f>
        <v>6</v>
      </c>
      <c r="N2129" s="1">
        <f>WEEKNUM(orders[[#This Row],[Order Date]])</f>
        <v>12</v>
      </c>
      <c r="O2129" s="1"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s="1">
        <v>78.599999999999994</v>
      </c>
      <c r="F2130" s="2">
        <v>45735</v>
      </c>
      <c r="G2130" s="2">
        <v>45736</v>
      </c>
      <c r="H2130" s="1" t="s">
        <v>23</v>
      </c>
      <c r="I2130" s="1" t="s">
        <v>18</v>
      </c>
      <c r="J2130" s="1">
        <v>4</v>
      </c>
      <c r="K2130" s="1" t="s">
        <v>19</v>
      </c>
      <c r="L2130" s="1" t="s">
        <v>62</v>
      </c>
      <c r="M2130" s="1">
        <f>orders[[#This Row],[Ship Date]]-orders[[#This Row],[Order Date]]</f>
        <v>1</v>
      </c>
      <c r="N2130" s="1">
        <f>WEEKNUM(orders[[#This Row],[Order Date]])</f>
        <v>12</v>
      </c>
      <c r="O2130" s="1"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s="1">
        <v>225.40000000000003</v>
      </c>
      <c r="F2131" s="2">
        <v>45735</v>
      </c>
      <c r="G2131" s="2">
        <v>45736</v>
      </c>
      <c r="H2131" s="1" t="s">
        <v>27</v>
      </c>
      <c r="I2131" s="1" t="s">
        <v>35</v>
      </c>
      <c r="J2131" s="1">
        <v>5</v>
      </c>
      <c r="K2131" s="1" t="s">
        <v>19</v>
      </c>
      <c r="L2131" s="1" t="s">
        <v>62</v>
      </c>
      <c r="M2131" s="1">
        <f>orders[[#This Row],[Ship Date]]-orders[[#This Row],[Order Date]]</f>
        <v>1</v>
      </c>
      <c r="N2131" s="1">
        <f>WEEKNUM(orders[[#This Row],[Order Date]])</f>
        <v>12</v>
      </c>
      <c r="O2131" s="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s="1">
        <v>17.399999999999999</v>
      </c>
      <c r="F2132" s="2">
        <v>45735</v>
      </c>
      <c r="G2132" s="2">
        <v>45739</v>
      </c>
      <c r="H2132" s="1" t="s">
        <v>17</v>
      </c>
      <c r="I2132" s="1" t="s">
        <v>40</v>
      </c>
      <c r="J2132" s="1">
        <v>3</v>
      </c>
      <c r="K2132" s="1" t="s">
        <v>19</v>
      </c>
      <c r="L2132" s="1" t="s">
        <v>62</v>
      </c>
      <c r="M2132" s="1">
        <f>orders[[#This Row],[Ship Date]]-orders[[#This Row],[Order Date]]</f>
        <v>4</v>
      </c>
      <c r="N2132" s="1">
        <f>WEEKNUM(orders[[#This Row],[Order Date]])</f>
        <v>12</v>
      </c>
      <c r="O2132" s="1"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s="1">
        <v>433.79999999999995</v>
      </c>
      <c r="F2133" s="2">
        <v>45735</v>
      </c>
      <c r="G2133" s="2">
        <v>45738</v>
      </c>
      <c r="H2133" s="1" t="s">
        <v>27</v>
      </c>
      <c r="I2133" s="1" t="s">
        <v>18</v>
      </c>
      <c r="J2133" s="1">
        <v>4</v>
      </c>
      <c r="K2133" s="1" t="s">
        <v>19</v>
      </c>
      <c r="L2133" s="1" t="s">
        <v>62</v>
      </c>
      <c r="M2133" s="1">
        <f>orders[[#This Row],[Ship Date]]-orders[[#This Row],[Order Date]]</f>
        <v>3</v>
      </c>
      <c r="N2133" s="1">
        <f>WEEKNUM(orders[[#This Row],[Order Date]])</f>
        <v>12</v>
      </c>
      <c r="O2133" s="1"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s="1">
        <v>267.3</v>
      </c>
      <c r="F2134" s="2">
        <v>45735</v>
      </c>
      <c r="G2134" s="2">
        <v>45736</v>
      </c>
      <c r="H2134" s="1" t="s">
        <v>23</v>
      </c>
      <c r="I2134" s="1" t="s">
        <v>18</v>
      </c>
      <c r="J2134" s="1">
        <v>4</v>
      </c>
      <c r="K2134" s="1" t="s">
        <v>19</v>
      </c>
      <c r="L2134" s="1" t="s">
        <v>62</v>
      </c>
      <c r="M2134" s="1">
        <f>orders[[#This Row],[Ship Date]]-orders[[#This Row],[Order Date]]</f>
        <v>1</v>
      </c>
      <c r="N2134" s="1">
        <f>WEEKNUM(orders[[#This Row],[Order Date]])</f>
        <v>12</v>
      </c>
      <c r="O2134" s="1"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s="1">
        <v>147.30000000000001</v>
      </c>
      <c r="F2135" s="2">
        <v>45735</v>
      </c>
      <c r="G2135" s="2">
        <v>45741</v>
      </c>
      <c r="H2135" s="1" t="s">
        <v>23</v>
      </c>
      <c r="I2135" s="1" t="s">
        <v>40</v>
      </c>
      <c r="J2135" s="1">
        <v>2</v>
      </c>
      <c r="K2135" s="1" t="s">
        <v>19</v>
      </c>
      <c r="L2135" s="1" t="s">
        <v>62</v>
      </c>
      <c r="M2135" s="1">
        <f>orders[[#This Row],[Ship Date]]-orders[[#This Row],[Order Date]]</f>
        <v>6</v>
      </c>
      <c r="N2135" s="1">
        <f>WEEKNUM(orders[[#This Row],[Order Date]])</f>
        <v>12</v>
      </c>
      <c r="O2135" s="1"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s="1">
        <v>2347</v>
      </c>
      <c r="F2136" s="2">
        <v>45735</v>
      </c>
      <c r="G2136" s="2">
        <v>45736</v>
      </c>
      <c r="H2136" s="1" t="s">
        <v>23</v>
      </c>
      <c r="I2136" s="1" t="s">
        <v>51</v>
      </c>
      <c r="J2136" s="1">
        <v>3</v>
      </c>
      <c r="K2136" s="1" t="s">
        <v>19</v>
      </c>
      <c r="L2136" s="1" t="s">
        <v>62</v>
      </c>
      <c r="M2136" s="1">
        <f>orders[[#This Row],[Ship Date]]-orders[[#This Row],[Order Date]]</f>
        <v>1</v>
      </c>
      <c r="N2136" s="1">
        <f>WEEKNUM(orders[[#This Row],[Order Date]])</f>
        <v>12</v>
      </c>
      <c r="O2136" s="1"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s="1">
        <v>380.5</v>
      </c>
      <c r="F2137" s="2">
        <v>45735</v>
      </c>
      <c r="G2137" s="2">
        <v>45737</v>
      </c>
      <c r="H2137" s="1" t="s">
        <v>23</v>
      </c>
      <c r="I2137" s="1" t="s">
        <v>35</v>
      </c>
      <c r="J2137" s="1">
        <v>3</v>
      </c>
      <c r="K2137" s="1" t="s">
        <v>19</v>
      </c>
      <c r="L2137" s="1" t="s">
        <v>103</v>
      </c>
      <c r="M2137" s="1">
        <f>orders[[#This Row],[Ship Date]]-orders[[#This Row],[Order Date]]</f>
        <v>2</v>
      </c>
      <c r="N2137" s="1">
        <f>WEEKNUM(orders[[#This Row],[Order Date]])</f>
        <v>12</v>
      </c>
      <c r="O2137" s="1"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s="1">
        <v>281.70000000000005</v>
      </c>
      <c r="F2138" s="2">
        <v>45735</v>
      </c>
      <c r="G2138" s="2">
        <v>45736</v>
      </c>
      <c r="H2138" s="1" t="s">
        <v>23</v>
      </c>
      <c r="I2138" s="1" t="s">
        <v>35</v>
      </c>
      <c r="J2138" s="1">
        <v>2</v>
      </c>
      <c r="K2138" s="1" t="s">
        <v>19</v>
      </c>
      <c r="L2138" s="1" t="s">
        <v>77</v>
      </c>
      <c r="M2138" s="1">
        <f>orders[[#This Row],[Ship Date]]-orders[[#This Row],[Order Date]]</f>
        <v>1</v>
      </c>
      <c r="N2138" s="1">
        <f>WEEKNUM(orders[[#This Row],[Order Date]])</f>
        <v>12</v>
      </c>
      <c r="O2138" s="1"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s="1">
        <v>748</v>
      </c>
      <c r="F2139" s="2">
        <v>45736</v>
      </c>
      <c r="G2139" s="2">
        <v>45739</v>
      </c>
      <c r="H2139" s="1" t="s">
        <v>23</v>
      </c>
      <c r="I2139" s="1" t="s">
        <v>18</v>
      </c>
      <c r="J2139" s="1">
        <v>4</v>
      </c>
      <c r="K2139" s="1" t="s">
        <v>19</v>
      </c>
      <c r="L2139" s="1" t="s">
        <v>77</v>
      </c>
      <c r="M2139" s="1">
        <f>orders[[#This Row],[Ship Date]]-orders[[#This Row],[Order Date]]</f>
        <v>3</v>
      </c>
      <c r="N2139" s="1">
        <f>WEEKNUM(orders[[#This Row],[Order Date]])</f>
        <v>12</v>
      </c>
      <c r="O2139" s="1"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s="1">
        <v>36</v>
      </c>
      <c r="F2140" s="2">
        <v>45736</v>
      </c>
      <c r="G2140" s="2">
        <v>45737</v>
      </c>
      <c r="H2140" s="1" t="s">
        <v>27</v>
      </c>
      <c r="I2140" s="1" t="s">
        <v>35</v>
      </c>
      <c r="J2140" s="1">
        <v>5</v>
      </c>
      <c r="K2140" s="1" t="s">
        <v>19</v>
      </c>
      <c r="L2140" s="1" t="s">
        <v>1116</v>
      </c>
      <c r="M2140" s="1">
        <f>orders[[#This Row],[Ship Date]]-orders[[#This Row],[Order Date]]</f>
        <v>1</v>
      </c>
      <c r="N2140" s="1">
        <f>WEEKNUM(orders[[#This Row],[Order Date]])</f>
        <v>12</v>
      </c>
      <c r="O2140" s="1"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s="1">
        <v>24.4</v>
      </c>
      <c r="F2141" s="2">
        <v>45736</v>
      </c>
      <c r="G2141" s="2">
        <v>45737</v>
      </c>
      <c r="H2141" s="1" t="s">
        <v>27</v>
      </c>
      <c r="I2141" s="1" t="s">
        <v>70</v>
      </c>
      <c r="J2141" s="1">
        <v>5</v>
      </c>
      <c r="K2141" s="1" t="s">
        <v>19</v>
      </c>
      <c r="L2141" s="1" t="s">
        <v>115</v>
      </c>
      <c r="M2141" s="1">
        <f>orders[[#This Row],[Ship Date]]-orders[[#This Row],[Order Date]]</f>
        <v>1</v>
      </c>
      <c r="N2141" s="1">
        <f>WEEKNUM(orders[[#This Row],[Order Date]])</f>
        <v>12</v>
      </c>
      <c r="O2141" s="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s="1">
        <v>77.599999999999994</v>
      </c>
      <c r="F2142" s="2">
        <v>45736</v>
      </c>
      <c r="G2142" s="2">
        <v>45737</v>
      </c>
      <c r="H2142" s="1" t="s">
        <v>23</v>
      </c>
      <c r="I2142" s="1" t="s">
        <v>70</v>
      </c>
      <c r="J2142" s="1">
        <v>3</v>
      </c>
      <c r="K2142" s="1" t="s">
        <v>19</v>
      </c>
      <c r="L2142" s="1" t="s">
        <v>33</v>
      </c>
      <c r="M2142" s="1">
        <f>orders[[#This Row],[Ship Date]]-orders[[#This Row],[Order Date]]</f>
        <v>1</v>
      </c>
      <c r="N2142" s="1">
        <f>WEEKNUM(orders[[#This Row],[Order Date]])</f>
        <v>12</v>
      </c>
      <c r="O2142" s="1"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s="1">
        <v>59.7</v>
      </c>
      <c r="F2143" s="2">
        <v>45736</v>
      </c>
      <c r="G2143" s="2">
        <v>45739</v>
      </c>
      <c r="H2143" s="1" t="s">
        <v>23</v>
      </c>
      <c r="I2143" s="1" t="s">
        <v>51</v>
      </c>
      <c r="J2143" s="1">
        <v>4</v>
      </c>
      <c r="K2143" s="1" t="s">
        <v>19</v>
      </c>
      <c r="L2143" s="1" t="s">
        <v>33</v>
      </c>
      <c r="M2143" s="1">
        <f>orders[[#This Row],[Ship Date]]-orders[[#This Row],[Order Date]]</f>
        <v>3</v>
      </c>
      <c r="N2143" s="1">
        <f>WEEKNUM(orders[[#This Row],[Order Date]])</f>
        <v>12</v>
      </c>
      <c r="O2143" s="1"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s="1">
        <v>31.2</v>
      </c>
      <c r="F2144" s="2">
        <v>45736</v>
      </c>
      <c r="G2144" s="2">
        <v>45737</v>
      </c>
      <c r="H2144" s="1" t="s">
        <v>23</v>
      </c>
      <c r="I2144" s="1" t="s">
        <v>35</v>
      </c>
      <c r="J2144" s="1">
        <v>5</v>
      </c>
      <c r="K2144" s="1" t="s">
        <v>19</v>
      </c>
      <c r="L2144" s="1" t="s">
        <v>33</v>
      </c>
      <c r="M2144" s="1">
        <f>orders[[#This Row],[Ship Date]]-orders[[#This Row],[Order Date]]</f>
        <v>1</v>
      </c>
      <c r="N2144" s="1">
        <f>WEEKNUM(orders[[#This Row],[Order Date]])</f>
        <v>12</v>
      </c>
      <c r="O2144" s="1"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s="1">
        <v>16.8</v>
      </c>
      <c r="F2145" s="2">
        <v>45736</v>
      </c>
      <c r="G2145" s="2">
        <v>45737</v>
      </c>
      <c r="H2145" s="1" t="s">
        <v>27</v>
      </c>
      <c r="I2145" s="1" t="s">
        <v>40</v>
      </c>
      <c r="J2145" s="1">
        <v>3</v>
      </c>
      <c r="K2145" s="1" t="s">
        <v>19</v>
      </c>
      <c r="L2145" s="1" t="s">
        <v>33</v>
      </c>
      <c r="M2145" s="1">
        <f>orders[[#This Row],[Ship Date]]-orders[[#This Row],[Order Date]]</f>
        <v>1</v>
      </c>
      <c r="N2145" s="1">
        <f>WEEKNUM(orders[[#This Row],[Order Date]])</f>
        <v>12</v>
      </c>
      <c r="O2145" s="1"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s="1">
        <v>46</v>
      </c>
      <c r="F2146" s="2">
        <v>45736</v>
      </c>
      <c r="G2146" s="2">
        <v>45737</v>
      </c>
      <c r="H2146" s="1" t="s">
        <v>23</v>
      </c>
      <c r="I2146" s="1" t="s">
        <v>18</v>
      </c>
      <c r="J2146" s="1">
        <v>4</v>
      </c>
      <c r="K2146" s="1" t="s">
        <v>19</v>
      </c>
      <c r="L2146" s="1" t="s">
        <v>33</v>
      </c>
      <c r="M2146" s="1">
        <f>orders[[#This Row],[Ship Date]]-orders[[#This Row],[Order Date]]</f>
        <v>1</v>
      </c>
      <c r="N2146" s="1">
        <f>WEEKNUM(orders[[#This Row],[Order Date]])</f>
        <v>12</v>
      </c>
      <c r="O2146" s="1"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s="1">
        <v>337.6</v>
      </c>
      <c r="F2147" s="2">
        <v>45736</v>
      </c>
      <c r="G2147" s="2">
        <v>45739</v>
      </c>
      <c r="H2147" s="1" t="s">
        <v>27</v>
      </c>
      <c r="I2147" s="1" t="s">
        <v>51</v>
      </c>
      <c r="J2147" s="1">
        <v>5</v>
      </c>
      <c r="K2147" s="1" t="s">
        <v>19</v>
      </c>
      <c r="L2147" s="1" t="s">
        <v>33</v>
      </c>
      <c r="M2147" s="1">
        <f>orders[[#This Row],[Ship Date]]-orders[[#This Row],[Order Date]]</f>
        <v>3</v>
      </c>
      <c r="N2147" s="1">
        <f>WEEKNUM(orders[[#This Row],[Order Date]])</f>
        <v>12</v>
      </c>
      <c r="O2147" s="1"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s="1">
        <v>214.5</v>
      </c>
      <c r="F2148" s="2">
        <v>45736</v>
      </c>
      <c r="G2148" s="2">
        <v>45750</v>
      </c>
      <c r="H2148" s="1" t="s">
        <v>27</v>
      </c>
      <c r="I2148" s="1" t="s">
        <v>18</v>
      </c>
      <c r="J2148" s="1">
        <v>4</v>
      </c>
      <c r="K2148" s="1" t="s">
        <v>19</v>
      </c>
      <c r="L2148" s="1" t="s">
        <v>33</v>
      </c>
      <c r="M2148" s="1">
        <f>orders[[#This Row],[Ship Date]]-orders[[#This Row],[Order Date]]</f>
        <v>14</v>
      </c>
      <c r="N2148" s="1">
        <f>WEEKNUM(orders[[#This Row],[Order Date]])</f>
        <v>12</v>
      </c>
      <c r="O2148" s="1"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s="1">
        <v>153.19999999999999</v>
      </c>
      <c r="F2149" s="2">
        <v>45736</v>
      </c>
      <c r="G2149" s="2">
        <v>45736</v>
      </c>
      <c r="H2149" s="1" t="s">
        <v>23</v>
      </c>
      <c r="I2149" s="1" t="s">
        <v>18</v>
      </c>
      <c r="J2149" s="1">
        <v>5</v>
      </c>
      <c r="K2149" s="1" t="s">
        <v>19</v>
      </c>
      <c r="L2149" s="1" t="s">
        <v>33</v>
      </c>
      <c r="M2149" s="1">
        <f>orders[[#This Row],[Ship Date]]-orders[[#This Row],[Order Date]]</f>
        <v>0</v>
      </c>
      <c r="N2149" s="1">
        <f>WEEKNUM(orders[[#This Row],[Order Date]])</f>
        <v>12</v>
      </c>
      <c r="O2149" s="1"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s="1">
        <v>174.6</v>
      </c>
      <c r="F2150" s="2">
        <v>45736</v>
      </c>
      <c r="G2150" s="2">
        <v>45744</v>
      </c>
      <c r="H2150" s="1" t="s">
        <v>27</v>
      </c>
      <c r="I2150" s="1" t="s">
        <v>51</v>
      </c>
      <c r="J2150" s="1">
        <v>5</v>
      </c>
      <c r="K2150" s="1" t="s">
        <v>19</v>
      </c>
      <c r="L2150" s="1" t="s">
        <v>33</v>
      </c>
      <c r="M2150" s="1">
        <f>orders[[#This Row],[Ship Date]]-orders[[#This Row],[Order Date]]</f>
        <v>8</v>
      </c>
      <c r="N2150" s="1">
        <f>WEEKNUM(orders[[#This Row],[Order Date]])</f>
        <v>12</v>
      </c>
      <c r="O2150" s="1"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s="1">
        <v>63</v>
      </c>
      <c r="F2151" s="2">
        <v>45736</v>
      </c>
      <c r="G2151" s="2">
        <v>45739</v>
      </c>
      <c r="H2151" s="1" t="s">
        <v>23</v>
      </c>
      <c r="I2151" s="1" t="s">
        <v>51</v>
      </c>
      <c r="J2151" s="1">
        <v>4</v>
      </c>
      <c r="K2151" s="1" t="s">
        <v>19</v>
      </c>
      <c r="L2151" s="1" t="s">
        <v>33</v>
      </c>
      <c r="M2151" s="1">
        <f>orders[[#This Row],[Ship Date]]-orders[[#This Row],[Order Date]]</f>
        <v>3</v>
      </c>
      <c r="N2151" s="1">
        <f>WEEKNUM(orders[[#This Row],[Order Date]])</f>
        <v>12</v>
      </c>
      <c r="O2151" s="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s="1">
        <v>83.4</v>
      </c>
      <c r="F2152" s="2">
        <v>45736</v>
      </c>
      <c r="G2152" s="2">
        <v>45737</v>
      </c>
      <c r="H2152" s="1" t="s">
        <v>27</v>
      </c>
      <c r="I2152" s="1" t="s">
        <v>70</v>
      </c>
      <c r="J2152" s="1">
        <v>3</v>
      </c>
      <c r="K2152" s="1" t="s">
        <v>19</v>
      </c>
      <c r="L2152" s="1" t="s">
        <v>545</v>
      </c>
      <c r="M2152" s="1">
        <f>orders[[#This Row],[Ship Date]]-orders[[#This Row],[Order Date]]</f>
        <v>1</v>
      </c>
      <c r="N2152" s="1">
        <f>WEEKNUM(orders[[#This Row],[Order Date]])</f>
        <v>12</v>
      </c>
      <c r="O2152" s="1"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s="1">
        <v>152.19999999999999</v>
      </c>
      <c r="F2153" s="2">
        <v>45736</v>
      </c>
      <c r="G2153" s="2">
        <v>45736</v>
      </c>
      <c r="H2153" s="1" t="s">
        <v>27</v>
      </c>
      <c r="I2153" s="1" t="s">
        <v>70</v>
      </c>
      <c r="J2153" s="1">
        <v>5</v>
      </c>
      <c r="K2153" s="1" t="s">
        <v>19</v>
      </c>
      <c r="L2153" s="1" t="s">
        <v>98</v>
      </c>
      <c r="M2153" s="1">
        <f>orders[[#This Row],[Ship Date]]-orders[[#This Row],[Order Date]]</f>
        <v>0</v>
      </c>
      <c r="N2153" s="1">
        <f>WEEKNUM(orders[[#This Row],[Order Date]])</f>
        <v>12</v>
      </c>
      <c r="O2153" s="1"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s="1">
        <v>57</v>
      </c>
      <c r="F2154" s="2">
        <v>45736</v>
      </c>
      <c r="G2154" s="2">
        <v>45737</v>
      </c>
      <c r="H2154" s="1" t="s">
        <v>27</v>
      </c>
      <c r="I2154" s="1" t="s">
        <v>18</v>
      </c>
      <c r="J2154" s="1">
        <v>5</v>
      </c>
      <c r="K2154" s="1" t="s">
        <v>19</v>
      </c>
      <c r="L2154" s="1" t="s">
        <v>49</v>
      </c>
      <c r="M2154" s="1">
        <f>orders[[#This Row],[Ship Date]]-orders[[#This Row],[Order Date]]</f>
        <v>1</v>
      </c>
      <c r="N2154" s="1">
        <f>WEEKNUM(orders[[#This Row],[Order Date]])</f>
        <v>12</v>
      </c>
      <c r="O2154" s="1"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s="1">
        <v>128.4</v>
      </c>
      <c r="F2155" s="2">
        <v>45736</v>
      </c>
      <c r="G2155" s="2">
        <v>45737</v>
      </c>
      <c r="H2155" s="1" t="s">
        <v>27</v>
      </c>
      <c r="I2155" s="1" t="s">
        <v>35</v>
      </c>
      <c r="J2155" s="1">
        <v>5</v>
      </c>
      <c r="K2155" s="1" t="s">
        <v>19</v>
      </c>
      <c r="L2155" s="1" t="s">
        <v>188</v>
      </c>
      <c r="M2155" s="1">
        <f>orders[[#This Row],[Ship Date]]-orders[[#This Row],[Order Date]]</f>
        <v>1</v>
      </c>
      <c r="N2155" s="1">
        <f>WEEKNUM(orders[[#This Row],[Order Date]])</f>
        <v>12</v>
      </c>
      <c r="O2155" s="1"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s="1">
        <v>117</v>
      </c>
      <c r="F2156" s="2">
        <v>45736</v>
      </c>
      <c r="G2156" s="2">
        <v>45739</v>
      </c>
      <c r="H2156" s="1" t="s">
        <v>23</v>
      </c>
      <c r="I2156" s="1" t="s">
        <v>35</v>
      </c>
      <c r="J2156" s="1">
        <v>5</v>
      </c>
      <c r="K2156" s="1" t="s">
        <v>19</v>
      </c>
      <c r="L2156" s="1" t="s">
        <v>188</v>
      </c>
      <c r="M2156" s="1">
        <f>orders[[#This Row],[Ship Date]]-orders[[#This Row],[Order Date]]</f>
        <v>3</v>
      </c>
      <c r="N2156" s="1">
        <f>WEEKNUM(orders[[#This Row],[Order Date]])</f>
        <v>12</v>
      </c>
      <c r="O2156" s="1"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s="1">
        <v>78.5</v>
      </c>
      <c r="F2157" s="2">
        <v>45736</v>
      </c>
      <c r="G2157" s="2">
        <v>45737</v>
      </c>
      <c r="H2157" s="1" t="s">
        <v>23</v>
      </c>
      <c r="I2157" s="1" t="s">
        <v>35</v>
      </c>
      <c r="J2157" s="1">
        <v>4</v>
      </c>
      <c r="K2157" s="1" t="s">
        <v>19</v>
      </c>
      <c r="L2157" s="1" t="s">
        <v>55</v>
      </c>
      <c r="M2157" s="1">
        <f>orders[[#This Row],[Ship Date]]-orders[[#This Row],[Order Date]]</f>
        <v>1</v>
      </c>
      <c r="N2157" s="1">
        <f>WEEKNUM(orders[[#This Row],[Order Date]])</f>
        <v>12</v>
      </c>
      <c r="O2157" s="1"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s="1">
        <v>248.5</v>
      </c>
      <c r="F2158" s="2">
        <v>45736</v>
      </c>
      <c r="G2158" s="2">
        <v>45738</v>
      </c>
      <c r="H2158" s="1" t="s">
        <v>27</v>
      </c>
      <c r="I2158" s="1" t="s">
        <v>18</v>
      </c>
      <c r="J2158" s="1">
        <v>4</v>
      </c>
      <c r="K2158" s="1" t="s">
        <v>19</v>
      </c>
      <c r="L2158" s="1" t="s">
        <v>55</v>
      </c>
      <c r="M2158" s="1">
        <f>orders[[#This Row],[Ship Date]]-orders[[#This Row],[Order Date]]</f>
        <v>2</v>
      </c>
      <c r="N2158" s="1">
        <f>WEEKNUM(orders[[#This Row],[Order Date]])</f>
        <v>12</v>
      </c>
      <c r="O2158" s="1"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s="1">
        <v>273.60000000000002</v>
      </c>
      <c r="F2159" s="2">
        <v>45736</v>
      </c>
      <c r="G2159" s="2">
        <v>45737</v>
      </c>
      <c r="H2159" s="1" t="s">
        <v>27</v>
      </c>
      <c r="I2159" s="1" t="s">
        <v>40</v>
      </c>
      <c r="J2159" s="1">
        <v>5</v>
      </c>
      <c r="K2159" s="1" t="s">
        <v>19</v>
      </c>
      <c r="L2159" s="1" t="s">
        <v>59</v>
      </c>
      <c r="M2159" s="1">
        <f>orders[[#This Row],[Ship Date]]-orders[[#This Row],[Order Date]]</f>
        <v>1</v>
      </c>
      <c r="N2159" s="1">
        <f>WEEKNUM(orders[[#This Row],[Order Date]])</f>
        <v>12</v>
      </c>
      <c r="O2159" s="1"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s="1">
        <v>145.80000000000001</v>
      </c>
      <c r="F2160" s="2">
        <v>45736</v>
      </c>
      <c r="G2160" s="2">
        <v>45739</v>
      </c>
      <c r="H2160" s="1" t="s">
        <v>17</v>
      </c>
      <c r="I2160" s="1" t="s">
        <v>18</v>
      </c>
      <c r="J2160" s="1">
        <v>5</v>
      </c>
      <c r="K2160" s="1" t="s">
        <v>19</v>
      </c>
      <c r="L2160" s="1" t="s">
        <v>59</v>
      </c>
      <c r="M2160" s="1">
        <f>orders[[#This Row],[Ship Date]]-orders[[#This Row],[Order Date]]</f>
        <v>3</v>
      </c>
      <c r="N2160" s="1">
        <f>WEEKNUM(orders[[#This Row],[Order Date]])</f>
        <v>12</v>
      </c>
      <c r="O2160" s="1"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s="1">
        <v>393.90000000000003</v>
      </c>
      <c r="F2161" s="2">
        <v>45736</v>
      </c>
      <c r="G2161" s="2">
        <v>45737</v>
      </c>
      <c r="H2161" s="1" t="s">
        <v>23</v>
      </c>
      <c r="I2161" s="1" t="s">
        <v>70</v>
      </c>
      <c r="J2161" s="1">
        <v>4</v>
      </c>
      <c r="K2161" s="1" t="s">
        <v>19</v>
      </c>
      <c r="L2161" s="1" t="s">
        <v>59</v>
      </c>
      <c r="M2161" s="1">
        <f>orders[[#This Row],[Ship Date]]-orders[[#This Row],[Order Date]]</f>
        <v>1</v>
      </c>
      <c r="N2161" s="1">
        <f>WEEKNUM(orders[[#This Row],[Order Date]])</f>
        <v>12</v>
      </c>
      <c r="O2161" s="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s="1">
        <v>636.9</v>
      </c>
      <c r="F2162" s="2">
        <v>45736</v>
      </c>
      <c r="G2162" s="2">
        <v>45737</v>
      </c>
      <c r="H2162" s="1" t="s">
        <v>27</v>
      </c>
      <c r="I2162" s="1" t="s">
        <v>18</v>
      </c>
      <c r="J2162" s="1">
        <v>4</v>
      </c>
      <c r="K2162" s="1" t="s">
        <v>19</v>
      </c>
      <c r="L2162" s="1" t="s">
        <v>62</v>
      </c>
      <c r="M2162" s="1">
        <f>orders[[#This Row],[Ship Date]]-orders[[#This Row],[Order Date]]</f>
        <v>1</v>
      </c>
      <c r="N2162" s="1">
        <f>WEEKNUM(orders[[#This Row],[Order Date]])</f>
        <v>12</v>
      </c>
      <c r="O2162" s="1"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s="1">
        <v>96.7</v>
      </c>
      <c r="F2163" s="2">
        <v>45736</v>
      </c>
      <c r="G2163" s="2">
        <v>45737</v>
      </c>
      <c r="H2163" s="1" t="s">
        <v>23</v>
      </c>
      <c r="I2163" s="1" t="s">
        <v>18</v>
      </c>
      <c r="J2163" s="1">
        <v>4</v>
      </c>
      <c r="K2163" s="1" t="s">
        <v>19</v>
      </c>
      <c r="L2163" s="1" t="s">
        <v>62</v>
      </c>
      <c r="M2163" s="1">
        <f>orders[[#This Row],[Ship Date]]-orders[[#This Row],[Order Date]]</f>
        <v>1</v>
      </c>
      <c r="N2163" s="1">
        <f>WEEKNUM(orders[[#This Row],[Order Date]])</f>
        <v>12</v>
      </c>
      <c r="O2163" s="1"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s="1">
        <v>331.20000000000005</v>
      </c>
      <c r="F2164" s="2">
        <v>45736</v>
      </c>
      <c r="G2164" s="2">
        <v>45738</v>
      </c>
      <c r="H2164" s="1" t="s">
        <v>23</v>
      </c>
      <c r="I2164" s="1" t="s">
        <v>40</v>
      </c>
      <c r="J2164" s="1">
        <v>5</v>
      </c>
      <c r="K2164" s="1" t="s">
        <v>19</v>
      </c>
      <c r="L2164" s="1" t="s">
        <v>62</v>
      </c>
      <c r="M2164" s="1">
        <f>orders[[#This Row],[Ship Date]]-orders[[#This Row],[Order Date]]</f>
        <v>2</v>
      </c>
      <c r="N2164" s="1">
        <f>WEEKNUM(orders[[#This Row],[Order Date]])</f>
        <v>12</v>
      </c>
      <c r="O2164" s="1"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s="1">
        <v>258.8</v>
      </c>
      <c r="F2165" s="2">
        <v>45736</v>
      </c>
      <c r="G2165" s="2">
        <v>45736</v>
      </c>
      <c r="H2165" s="1" t="s">
        <v>23</v>
      </c>
      <c r="I2165" s="1" t="s">
        <v>51</v>
      </c>
      <c r="J2165" s="1">
        <v>5</v>
      </c>
      <c r="K2165" s="1" t="s">
        <v>19</v>
      </c>
      <c r="L2165" s="1" t="s">
        <v>62</v>
      </c>
      <c r="M2165" s="1">
        <f>orders[[#This Row],[Ship Date]]-orders[[#This Row],[Order Date]]</f>
        <v>0</v>
      </c>
      <c r="N2165" s="1">
        <f>WEEKNUM(orders[[#This Row],[Order Date]])</f>
        <v>12</v>
      </c>
      <c r="O2165" s="1"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s="1">
        <v>183</v>
      </c>
      <c r="F2166" s="2">
        <v>45736</v>
      </c>
      <c r="G2166" s="2">
        <v>45737</v>
      </c>
      <c r="H2166" s="1" t="s">
        <v>23</v>
      </c>
      <c r="I2166" s="1" t="s">
        <v>70</v>
      </c>
      <c r="J2166" s="1">
        <v>4</v>
      </c>
      <c r="K2166" s="1" t="s">
        <v>19</v>
      </c>
      <c r="L2166" s="1" t="s">
        <v>62</v>
      </c>
      <c r="M2166" s="1">
        <f>orders[[#This Row],[Ship Date]]-orders[[#This Row],[Order Date]]</f>
        <v>1</v>
      </c>
      <c r="N2166" s="1">
        <f>WEEKNUM(orders[[#This Row],[Order Date]])</f>
        <v>12</v>
      </c>
      <c r="O2166" s="1"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s="1">
        <v>7420</v>
      </c>
      <c r="F2167" s="2">
        <v>45737</v>
      </c>
      <c r="G2167" s="2">
        <v>45739</v>
      </c>
      <c r="H2167" s="1" t="s">
        <v>23</v>
      </c>
      <c r="I2167" s="1" t="s">
        <v>70</v>
      </c>
      <c r="J2167" s="1">
        <v>5</v>
      </c>
      <c r="K2167" s="1" t="s">
        <v>19</v>
      </c>
      <c r="L2167" s="1" t="s">
        <v>62</v>
      </c>
      <c r="M2167" s="1">
        <f>orders[[#This Row],[Ship Date]]-orders[[#This Row],[Order Date]]</f>
        <v>2</v>
      </c>
      <c r="N2167" s="1">
        <f>WEEKNUM(orders[[#This Row],[Order Date]])</f>
        <v>12</v>
      </c>
      <c r="O2167" s="1"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s="1">
        <v>384</v>
      </c>
      <c r="F2168" s="2">
        <v>45737</v>
      </c>
      <c r="G2168" s="2">
        <v>45743</v>
      </c>
      <c r="H2168" s="1" t="s">
        <v>17</v>
      </c>
      <c r="I2168" s="1" t="s">
        <v>35</v>
      </c>
      <c r="J2168" s="1">
        <v>3</v>
      </c>
      <c r="K2168" s="1" t="s">
        <v>19</v>
      </c>
      <c r="L2168" s="1" t="s">
        <v>108</v>
      </c>
      <c r="M2168" s="1">
        <f>orders[[#This Row],[Ship Date]]-orders[[#This Row],[Order Date]]</f>
        <v>6</v>
      </c>
      <c r="N2168" s="1">
        <f>WEEKNUM(orders[[#This Row],[Order Date]])</f>
        <v>12</v>
      </c>
      <c r="O2168" s="1"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s="1">
        <v>160.80000000000001</v>
      </c>
      <c r="F2169" s="2">
        <v>45737</v>
      </c>
      <c r="G2169" s="2">
        <v>45738</v>
      </c>
      <c r="H2169" s="1" t="s">
        <v>27</v>
      </c>
      <c r="I2169" s="1" t="s">
        <v>40</v>
      </c>
      <c r="J2169" s="1">
        <v>4</v>
      </c>
      <c r="K2169" s="1" t="s">
        <v>19</v>
      </c>
      <c r="L2169" s="1" t="s">
        <v>82</v>
      </c>
      <c r="M2169" s="1">
        <f>orders[[#This Row],[Ship Date]]-orders[[#This Row],[Order Date]]</f>
        <v>1</v>
      </c>
      <c r="N2169" s="1">
        <f>WEEKNUM(orders[[#This Row],[Order Date]])</f>
        <v>12</v>
      </c>
      <c r="O2169" s="1"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s="1">
        <v>276.39999999999998</v>
      </c>
      <c r="F2170" s="2">
        <v>45737</v>
      </c>
      <c r="G2170" s="2">
        <v>45738</v>
      </c>
      <c r="H2170" s="1" t="s">
        <v>23</v>
      </c>
      <c r="I2170" s="1" t="s">
        <v>35</v>
      </c>
      <c r="J2170" s="1">
        <v>5</v>
      </c>
      <c r="K2170" s="1" t="s">
        <v>19</v>
      </c>
      <c r="L2170" s="1" t="s">
        <v>115</v>
      </c>
      <c r="M2170" s="1">
        <f>orders[[#This Row],[Ship Date]]-orders[[#This Row],[Order Date]]</f>
        <v>1</v>
      </c>
      <c r="N2170" s="1">
        <f>WEEKNUM(orders[[#This Row],[Order Date]])</f>
        <v>12</v>
      </c>
      <c r="O2170" s="1"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s="1">
        <v>152.80000000000001</v>
      </c>
      <c r="F2171" s="2">
        <v>45737</v>
      </c>
      <c r="G2171" s="2">
        <v>45737</v>
      </c>
      <c r="H2171" s="1" t="s">
        <v>23</v>
      </c>
      <c r="I2171" s="1" t="s">
        <v>51</v>
      </c>
      <c r="J2171" s="1">
        <v>4</v>
      </c>
      <c r="K2171" s="1" t="s">
        <v>19</v>
      </c>
      <c r="L2171" s="1" t="s">
        <v>115</v>
      </c>
      <c r="M2171" s="1">
        <f>orders[[#This Row],[Ship Date]]-orders[[#This Row],[Order Date]]</f>
        <v>0</v>
      </c>
      <c r="N2171" s="1">
        <f>WEEKNUM(orders[[#This Row],[Order Date]])</f>
        <v>12</v>
      </c>
      <c r="O2171" s="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s="1">
        <v>122.6</v>
      </c>
      <c r="F2172" s="2">
        <v>45737</v>
      </c>
      <c r="G2172" s="2">
        <v>45738</v>
      </c>
      <c r="H2172" s="1" t="s">
        <v>27</v>
      </c>
      <c r="I2172" s="1" t="s">
        <v>35</v>
      </c>
      <c r="J2172" s="1">
        <v>3</v>
      </c>
      <c r="K2172" s="1" t="s">
        <v>19</v>
      </c>
      <c r="L2172" s="1" t="s">
        <v>115</v>
      </c>
      <c r="M2172" s="1">
        <f>orders[[#This Row],[Ship Date]]-orders[[#This Row],[Order Date]]</f>
        <v>1</v>
      </c>
      <c r="N2172" s="1">
        <f>WEEKNUM(orders[[#This Row],[Order Date]])</f>
        <v>12</v>
      </c>
      <c r="O2172" s="1"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s="1">
        <v>58</v>
      </c>
      <c r="F2173" s="2">
        <v>45737</v>
      </c>
      <c r="G2173" s="2">
        <v>45738</v>
      </c>
      <c r="H2173" s="1" t="s">
        <v>23</v>
      </c>
      <c r="I2173" s="1" t="s">
        <v>51</v>
      </c>
      <c r="J2173" s="1">
        <v>3</v>
      </c>
      <c r="K2173" s="1" t="s">
        <v>19</v>
      </c>
      <c r="L2173" s="1" t="s">
        <v>24</v>
      </c>
      <c r="M2173" s="1">
        <f>orders[[#This Row],[Ship Date]]-orders[[#This Row],[Order Date]]</f>
        <v>1</v>
      </c>
      <c r="N2173" s="1">
        <f>WEEKNUM(orders[[#This Row],[Order Date]])</f>
        <v>12</v>
      </c>
      <c r="O2173" s="1"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s="1">
        <v>818.4</v>
      </c>
      <c r="F2174" s="2">
        <v>45737</v>
      </c>
      <c r="G2174" s="2">
        <v>45739</v>
      </c>
      <c r="H2174" s="1" t="s">
        <v>23</v>
      </c>
      <c r="I2174" s="1" t="s">
        <v>40</v>
      </c>
      <c r="J2174" s="1">
        <v>4</v>
      </c>
      <c r="K2174" s="1" t="s">
        <v>19</v>
      </c>
      <c r="L2174" s="1" t="s">
        <v>437</v>
      </c>
      <c r="M2174" s="1">
        <f>orders[[#This Row],[Ship Date]]-orders[[#This Row],[Order Date]]</f>
        <v>2</v>
      </c>
      <c r="N2174" s="1">
        <f>WEEKNUM(orders[[#This Row],[Order Date]])</f>
        <v>12</v>
      </c>
      <c r="O2174" s="1"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s="1">
        <v>27.6</v>
      </c>
      <c r="F2175" s="2">
        <v>45737</v>
      </c>
      <c r="G2175" s="2">
        <v>45738</v>
      </c>
      <c r="H2175" s="1" t="s">
        <v>27</v>
      </c>
      <c r="I2175" s="1" t="s">
        <v>70</v>
      </c>
      <c r="J2175" s="1">
        <v>5</v>
      </c>
      <c r="K2175" s="1" t="s">
        <v>19</v>
      </c>
      <c r="L2175" s="1" t="s">
        <v>28</v>
      </c>
      <c r="M2175" s="1">
        <f>orders[[#This Row],[Ship Date]]-orders[[#This Row],[Order Date]]</f>
        <v>1</v>
      </c>
      <c r="N2175" s="1">
        <f>WEEKNUM(orders[[#This Row],[Order Date]])</f>
        <v>12</v>
      </c>
      <c r="O2175" s="1"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s="1">
        <v>99.899999999999991</v>
      </c>
      <c r="F2176" s="2">
        <v>45737</v>
      </c>
      <c r="G2176" s="2">
        <v>45740</v>
      </c>
      <c r="H2176" s="1" t="s">
        <v>27</v>
      </c>
      <c r="I2176" s="1" t="s">
        <v>40</v>
      </c>
      <c r="J2176" s="1">
        <v>4</v>
      </c>
      <c r="K2176" s="1" t="s">
        <v>19</v>
      </c>
      <c r="L2176" s="1" t="s">
        <v>147</v>
      </c>
      <c r="M2176" s="1">
        <f>orders[[#This Row],[Ship Date]]-orders[[#This Row],[Order Date]]</f>
        <v>3</v>
      </c>
      <c r="N2176" s="1">
        <f>WEEKNUM(orders[[#This Row],[Order Date]])</f>
        <v>12</v>
      </c>
      <c r="O2176" s="1"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s="1">
        <v>27.4</v>
      </c>
      <c r="F2177" s="2">
        <v>45737</v>
      </c>
      <c r="G2177" s="2">
        <v>45740</v>
      </c>
      <c r="H2177" s="1" t="s">
        <v>23</v>
      </c>
      <c r="I2177" s="1" t="s">
        <v>18</v>
      </c>
      <c r="J2177" s="1">
        <v>5</v>
      </c>
      <c r="K2177" s="1" t="s">
        <v>19</v>
      </c>
      <c r="L2177" s="1" t="s">
        <v>147</v>
      </c>
      <c r="M2177" s="1">
        <f>orders[[#This Row],[Ship Date]]-orders[[#This Row],[Order Date]]</f>
        <v>3</v>
      </c>
      <c r="N2177" s="1">
        <f>WEEKNUM(orders[[#This Row],[Order Date]])</f>
        <v>12</v>
      </c>
      <c r="O2177" s="1"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s="1">
        <v>51.2</v>
      </c>
      <c r="F2178" s="2">
        <v>45737</v>
      </c>
      <c r="G2178" s="2">
        <v>45738</v>
      </c>
      <c r="H2178" s="1" t="s">
        <v>27</v>
      </c>
      <c r="I2178" s="1" t="s">
        <v>35</v>
      </c>
      <c r="J2178" s="1">
        <v>3</v>
      </c>
      <c r="K2178" s="1" t="s">
        <v>19</v>
      </c>
      <c r="L2178" s="1" t="s">
        <v>33</v>
      </c>
      <c r="M2178" s="1">
        <f>orders[[#This Row],[Ship Date]]-orders[[#This Row],[Order Date]]</f>
        <v>1</v>
      </c>
      <c r="N2178" s="1">
        <f>WEEKNUM(orders[[#This Row],[Order Date]])</f>
        <v>12</v>
      </c>
      <c r="O2178" s="1"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s="1">
        <v>58.4</v>
      </c>
      <c r="F2179" s="2">
        <v>45737</v>
      </c>
      <c r="G2179" s="2">
        <v>45738</v>
      </c>
      <c r="H2179" s="1" t="s">
        <v>27</v>
      </c>
      <c r="I2179" s="1" t="s">
        <v>40</v>
      </c>
      <c r="J2179" s="1">
        <v>5</v>
      </c>
      <c r="K2179" s="1" t="s">
        <v>19</v>
      </c>
      <c r="L2179" s="1" t="s">
        <v>33</v>
      </c>
      <c r="M2179" s="1">
        <f>orders[[#This Row],[Ship Date]]-orders[[#This Row],[Order Date]]</f>
        <v>1</v>
      </c>
      <c r="N2179" s="1">
        <f>WEEKNUM(orders[[#This Row],[Order Date]])</f>
        <v>12</v>
      </c>
      <c r="O2179" s="1"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s="1">
        <v>810</v>
      </c>
      <c r="F2180" s="2">
        <v>45737</v>
      </c>
      <c r="G2180" s="2">
        <v>45738</v>
      </c>
      <c r="H2180" s="1" t="s">
        <v>27</v>
      </c>
      <c r="I2180" s="1" t="s">
        <v>70</v>
      </c>
      <c r="J2180" s="1">
        <v>4</v>
      </c>
      <c r="K2180" s="1" t="s">
        <v>19</v>
      </c>
      <c r="L2180" s="1" t="s">
        <v>33</v>
      </c>
      <c r="M2180" s="1">
        <f>orders[[#This Row],[Ship Date]]-orders[[#This Row],[Order Date]]</f>
        <v>1</v>
      </c>
      <c r="N2180" s="1">
        <f>WEEKNUM(orders[[#This Row],[Order Date]])</f>
        <v>12</v>
      </c>
      <c r="O2180" s="1"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s="1">
        <v>56.8</v>
      </c>
      <c r="F2181" s="2">
        <v>45737</v>
      </c>
      <c r="G2181" s="2">
        <v>45738</v>
      </c>
      <c r="H2181" s="1" t="s">
        <v>23</v>
      </c>
      <c r="I2181" s="1" t="s">
        <v>18</v>
      </c>
      <c r="J2181" s="1">
        <v>5</v>
      </c>
      <c r="K2181" s="1" t="s">
        <v>19</v>
      </c>
      <c r="L2181" s="1" t="s">
        <v>33</v>
      </c>
      <c r="M2181" s="1">
        <f>orders[[#This Row],[Ship Date]]-orders[[#This Row],[Order Date]]</f>
        <v>1</v>
      </c>
      <c r="N2181" s="1">
        <f>WEEKNUM(orders[[#This Row],[Order Date]])</f>
        <v>12</v>
      </c>
      <c r="O2181" s="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s="1">
        <v>136</v>
      </c>
      <c r="F2182" s="2">
        <v>45737</v>
      </c>
      <c r="G2182" s="2">
        <v>45747</v>
      </c>
      <c r="H2182" s="1" t="s">
        <v>23</v>
      </c>
      <c r="I2182" s="1" t="s">
        <v>40</v>
      </c>
      <c r="J2182" s="1">
        <v>3</v>
      </c>
      <c r="K2182" s="1" t="s">
        <v>19</v>
      </c>
      <c r="L2182" s="1" t="s">
        <v>33</v>
      </c>
      <c r="M2182" s="1">
        <f>orders[[#This Row],[Ship Date]]-orders[[#This Row],[Order Date]]</f>
        <v>10</v>
      </c>
      <c r="N2182" s="1">
        <f>WEEKNUM(orders[[#This Row],[Order Date]])</f>
        <v>12</v>
      </c>
      <c r="O2182" s="1"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s="1">
        <v>30.7</v>
      </c>
      <c r="F2183" s="2">
        <v>45737</v>
      </c>
      <c r="G2183" s="2">
        <v>45738</v>
      </c>
      <c r="H2183" s="1" t="s">
        <v>23</v>
      </c>
      <c r="I2183" s="1" t="s">
        <v>18</v>
      </c>
      <c r="J2183" s="1">
        <v>4</v>
      </c>
      <c r="K2183" s="1" t="s">
        <v>19</v>
      </c>
      <c r="L2183" s="1" t="s">
        <v>33</v>
      </c>
      <c r="M2183" s="1">
        <f>orders[[#This Row],[Ship Date]]-orders[[#This Row],[Order Date]]</f>
        <v>1</v>
      </c>
      <c r="N2183" s="1">
        <f>WEEKNUM(orders[[#This Row],[Order Date]])</f>
        <v>12</v>
      </c>
      <c r="O2183" s="1"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s="1">
        <v>670.80000000000007</v>
      </c>
      <c r="F2184" s="2">
        <v>45737</v>
      </c>
      <c r="G2184" s="2">
        <v>45740</v>
      </c>
      <c r="H2184" s="1" t="s">
        <v>89</v>
      </c>
      <c r="I2184" s="1" t="s">
        <v>35</v>
      </c>
      <c r="J2184" s="1">
        <v>5</v>
      </c>
      <c r="K2184" s="1" t="s">
        <v>19</v>
      </c>
      <c r="L2184" s="1" t="s">
        <v>33</v>
      </c>
      <c r="M2184" s="1">
        <f>orders[[#This Row],[Ship Date]]-orders[[#This Row],[Order Date]]</f>
        <v>3</v>
      </c>
      <c r="N2184" s="1">
        <f>WEEKNUM(orders[[#This Row],[Order Date]])</f>
        <v>12</v>
      </c>
      <c r="O2184" s="1"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s="1">
        <v>61.800000000000004</v>
      </c>
      <c r="F2185" s="2">
        <v>45737</v>
      </c>
      <c r="G2185" s="2">
        <v>45741</v>
      </c>
      <c r="H2185" s="1" t="s">
        <v>27</v>
      </c>
      <c r="I2185" s="1" t="s">
        <v>70</v>
      </c>
      <c r="J2185" s="1">
        <v>5</v>
      </c>
      <c r="K2185" s="1" t="s">
        <v>19</v>
      </c>
      <c r="L2185" s="1" t="s">
        <v>33</v>
      </c>
      <c r="M2185" s="1">
        <f>orders[[#This Row],[Ship Date]]-orders[[#This Row],[Order Date]]</f>
        <v>4</v>
      </c>
      <c r="N2185" s="1">
        <f>WEEKNUM(orders[[#This Row],[Order Date]])</f>
        <v>12</v>
      </c>
      <c r="O2185" s="1"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s="1">
        <v>24.8</v>
      </c>
      <c r="F2186" s="2">
        <v>45737</v>
      </c>
      <c r="G2186" s="2">
        <v>45738</v>
      </c>
      <c r="H2186" s="1" t="s">
        <v>23</v>
      </c>
      <c r="I2186" s="1" t="s">
        <v>70</v>
      </c>
      <c r="J2186" s="1">
        <v>4</v>
      </c>
      <c r="K2186" s="1" t="s">
        <v>19</v>
      </c>
      <c r="L2186" s="1" t="s">
        <v>33</v>
      </c>
      <c r="M2186" s="1">
        <f>orders[[#This Row],[Ship Date]]-orders[[#This Row],[Order Date]]</f>
        <v>1</v>
      </c>
      <c r="N2186" s="1">
        <f>WEEKNUM(orders[[#This Row],[Order Date]])</f>
        <v>12</v>
      </c>
      <c r="O2186" s="1"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s="1">
        <v>78.399999999999991</v>
      </c>
      <c r="F2187" s="2">
        <v>45737</v>
      </c>
      <c r="G2187" s="2">
        <v>45740</v>
      </c>
      <c r="H2187" s="1" t="s">
        <v>23</v>
      </c>
      <c r="I2187" s="1" t="s">
        <v>35</v>
      </c>
      <c r="J2187" s="1">
        <v>4</v>
      </c>
      <c r="K2187" s="1" t="s">
        <v>19</v>
      </c>
      <c r="L2187" s="1" t="s">
        <v>33</v>
      </c>
      <c r="M2187" s="1">
        <f>orders[[#This Row],[Ship Date]]-orders[[#This Row],[Order Date]]</f>
        <v>3</v>
      </c>
      <c r="N2187" s="1">
        <f>WEEKNUM(orders[[#This Row],[Order Date]])</f>
        <v>12</v>
      </c>
      <c r="O2187" s="1"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s="1">
        <v>102.4</v>
      </c>
      <c r="F2188" s="2">
        <v>45737</v>
      </c>
      <c r="G2188" s="2">
        <v>45738</v>
      </c>
      <c r="H2188" s="1" t="s">
        <v>27</v>
      </c>
      <c r="I2188" s="1" t="s">
        <v>35</v>
      </c>
      <c r="J2188" s="1">
        <v>5</v>
      </c>
      <c r="K2188" s="1" t="s">
        <v>19</v>
      </c>
      <c r="L2188" s="1" t="s">
        <v>33</v>
      </c>
      <c r="M2188" s="1">
        <f>orders[[#This Row],[Ship Date]]-orders[[#This Row],[Order Date]]</f>
        <v>1</v>
      </c>
      <c r="N2188" s="1">
        <f>WEEKNUM(orders[[#This Row],[Order Date]])</f>
        <v>12</v>
      </c>
      <c r="O2188" s="1"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s="1">
        <v>543</v>
      </c>
      <c r="F2189" s="2">
        <v>45737</v>
      </c>
      <c r="G2189" s="2">
        <v>45738</v>
      </c>
      <c r="H2189" s="1" t="s">
        <v>27</v>
      </c>
      <c r="I2189" s="1" t="s">
        <v>35</v>
      </c>
      <c r="J2189" s="1">
        <v>2</v>
      </c>
      <c r="K2189" s="1" t="s">
        <v>19</v>
      </c>
      <c r="L2189" s="1" t="s">
        <v>33</v>
      </c>
      <c r="M2189" s="1">
        <f>orders[[#This Row],[Ship Date]]-orders[[#This Row],[Order Date]]</f>
        <v>1</v>
      </c>
      <c r="N2189" s="1">
        <f>WEEKNUM(orders[[#This Row],[Order Date]])</f>
        <v>12</v>
      </c>
      <c r="O2189" s="1"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s="1">
        <v>84.8</v>
      </c>
      <c r="F2190" s="2">
        <v>45737</v>
      </c>
      <c r="G2190" s="2">
        <v>45738</v>
      </c>
      <c r="H2190" s="1" t="s">
        <v>23</v>
      </c>
      <c r="I2190" s="1" t="s">
        <v>35</v>
      </c>
      <c r="J2190" s="1">
        <v>5</v>
      </c>
      <c r="K2190" s="1" t="s">
        <v>19</v>
      </c>
      <c r="L2190" s="1" t="s">
        <v>49</v>
      </c>
      <c r="M2190" s="1">
        <f>orders[[#This Row],[Ship Date]]-orders[[#This Row],[Order Date]]</f>
        <v>1</v>
      </c>
      <c r="N2190" s="1">
        <f>WEEKNUM(orders[[#This Row],[Order Date]])</f>
        <v>12</v>
      </c>
      <c r="O2190" s="1"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s="1">
        <v>76.400000000000006</v>
      </c>
      <c r="F2191" s="2">
        <v>45737</v>
      </c>
      <c r="G2191" s="2">
        <v>45738</v>
      </c>
      <c r="H2191" s="1" t="s">
        <v>23</v>
      </c>
      <c r="I2191" s="1" t="s">
        <v>18</v>
      </c>
      <c r="J2191" s="1">
        <v>4</v>
      </c>
      <c r="K2191" s="1" t="s">
        <v>19</v>
      </c>
      <c r="L2191" s="1" t="s">
        <v>52</v>
      </c>
      <c r="M2191" s="1">
        <f>orders[[#This Row],[Ship Date]]-orders[[#This Row],[Order Date]]</f>
        <v>1</v>
      </c>
      <c r="N2191" s="1">
        <f>WEEKNUM(orders[[#This Row],[Order Date]])</f>
        <v>12</v>
      </c>
      <c r="O2191" s="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s="1">
        <v>1091.7</v>
      </c>
      <c r="F2192" s="2">
        <v>45737</v>
      </c>
      <c r="G2192" s="2">
        <v>45742</v>
      </c>
      <c r="H2192" s="1" t="s">
        <v>23</v>
      </c>
      <c r="I2192" s="1" t="s">
        <v>18</v>
      </c>
      <c r="J2192" s="1">
        <v>4</v>
      </c>
      <c r="K2192" s="1" t="s">
        <v>19</v>
      </c>
      <c r="L2192" s="1" t="s">
        <v>55</v>
      </c>
      <c r="M2192" s="1">
        <f>orders[[#This Row],[Ship Date]]-orders[[#This Row],[Order Date]]</f>
        <v>5</v>
      </c>
      <c r="N2192" s="1">
        <f>WEEKNUM(orders[[#This Row],[Order Date]])</f>
        <v>12</v>
      </c>
      <c r="O2192" s="1"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s="1">
        <v>93.8</v>
      </c>
      <c r="F2193" s="2">
        <v>45737</v>
      </c>
      <c r="G2193" s="2">
        <v>45744</v>
      </c>
      <c r="H2193" s="1" t="s">
        <v>23</v>
      </c>
      <c r="I2193" s="1" t="s">
        <v>18</v>
      </c>
      <c r="J2193" s="1">
        <v>4</v>
      </c>
      <c r="K2193" s="1" t="s">
        <v>19</v>
      </c>
      <c r="L2193" s="1" t="s">
        <v>62</v>
      </c>
      <c r="M2193" s="1">
        <f>orders[[#This Row],[Ship Date]]-orders[[#This Row],[Order Date]]</f>
        <v>7</v>
      </c>
      <c r="N2193" s="1">
        <f>WEEKNUM(orders[[#This Row],[Order Date]])</f>
        <v>12</v>
      </c>
      <c r="O2193" s="1"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s="1">
        <v>55.3</v>
      </c>
      <c r="F2194" s="2">
        <v>45737</v>
      </c>
      <c r="G2194" s="2">
        <v>45739</v>
      </c>
      <c r="H2194" s="1" t="s">
        <v>23</v>
      </c>
      <c r="I2194" s="1" t="s">
        <v>18</v>
      </c>
      <c r="J2194" s="1">
        <v>4</v>
      </c>
      <c r="K2194" s="1" t="s">
        <v>19</v>
      </c>
      <c r="L2194" s="1" t="s">
        <v>62</v>
      </c>
      <c r="M2194" s="1">
        <f>orders[[#This Row],[Ship Date]]-orders[[#This Row],[Order Date]]</f>
        <v>2</v>
      </c>
      <c r="N2194" s="1">
        <f>WEEKNUM(orders[[#This Row],[Order Date]])</f>
        <v>12</v>
      </c>
      <c r="O2194" s="1"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s="1">
        <v>211.79999999999998</v>
      </c>
      <c r="F2195" s="2">
        <v>45738</v>
      </c>
      <c r="G2195" s="2">
        <v>45738</v>
      </c>
      <c r="H2195" s="1" t="s">
        <v>27</v>
      </c>
      <c r="I2195" s="1" t="s">
        <v>18</v>
      </c>
      <c r="J2195" s="1">
        <v>3</v>
      </c>
      <c r="K2195" s="1" t="s">
        <v>19</v>
      </c>
      <c r="L2195" s="1" t="s">
        <v>62</v>
      </c>
      <c r="M2195" s="1">
        <f>orders[[#This Row],[Ship Date]]-orders[[#This Row],[Order Date]]</f>
        <v>0</v>
      </c>
      <c r="N2195" s="1">
        <f>WEEKNUM(orders[[#This Row],[Order Date]])</f>
        <v>12</v>
      </c>
      <c r="O2195" s="1"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s="1">
        <v>104.4</v>
      </c>
      <c r="F2196" s="2">
        <v>45738</v>
      </c>
      <c r="G2196" s="2">
        <v>45740</v>
      </c>
      <c r="H2196" s="1" t="s">
        <v>23</v>
      </c>
      <c r="I2196" s="1" t="s">
        <v>18</v>
      </c>
      <c r="J2196" s="1">
        <v>4</v>
      </c>
      <c r="K2196" s="1" t="s">
        <v>19</v>
      </c>
      <c r="L2196" s="1" t="s">
        <v>62</v>
      </c>
      <c r="M2196" s="1">
        <f>orders[[#This Row],[Ship Date]]-orders[[#This Row],[Order Date]]</f>
        <v>2</v>
      </c>
      <c r="N2196" s="1">
        <f>WEEKNUM(orders[[#This Row],[Order Date]])</f>
        <v>12</v>
      </c>
      <c r="O2196" s="1"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s="1">
        <v>379.5</v>
      </c>
      <c r="F2197" s="2">
        <v>45738</v>
      </c>
      <c r="G2197" s="2">
        <v>45742</v>
      </c>
      <c r="H2197" s="1" t="s">
        <v>23</v>
      </c>
      <c r="I2197" s="1" t="s">
        <v>40</v>
      </c>
      <c r="J2197" s="1">
        <v>4</v>
      </c>
      <c r="K2197" s="1" t="s">
        <v>19</v>
      </c>
      <c r="L2197" s="1" t="s">
        <v>103</v>
      </c>
      <c r="M2197" s="1">
        <f>orders[[#This Row],[Ship Date]]-orders[[#This Row],[Order Date]]</f>
        <v>4</v>
      </c>
      <c r="N2197" s="1">
        <f>WEEKNUM(orders[[#This Row],[Order Date]])</f>
        <v>12</v>
      </c>
      <c r="O2197" s="1"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s="1">
        <v>128.4</v>
      </c>
      <c r="F2198" s="2">
        <v>45738</v>
      </c>
      <c r="G2198" s="2">
        <v>45739</v>
      </c>
      <c r="H2198" s="1" t="s">
        <v>27</v>
      </c>
      <c r="I2198" s="1" t="s">
        <v>18</v>
      </c>
      <c r="J2198" s="1">
        <v>3</v>
      </c>
      <c r="K2198" s="1" t="s">
        <v>19</v>
      </c>
      <c r="L2198" s="1" t="s">
        <v>103</v>
      </c>
      <c r="M2198" s="1">
        <f>orders[[#This Row],[Ship Date]]-orders[[#This Row],[Order Date]]</f>
        <v>1</v>
      </c>
      <c r="N2198" s="1">
        <f>WEEKNUM(orders[[#This Row],[Order Date]])</f>
        <v>12</v>
      </c>
      <c r="O2198" s="1"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s="1">
        <v>582.79999999999995</v>
      </c>
      <c r="F2199" s="2">
        <v>45738</v>
      </c>
      <c r="G2199" s="2">
        <v>45739</v>
      </c>
      <c r="H2199" s="1" t="s">
        <v>27</v>
      </c>
      <c r="I2199" s="1" t="s">
        <v>18</v>
      </c>
      <c r="J2199" s="1">
        <v>2</v>
      </c>
      <c r="K2199" s="1" t="s">
        <v>19</v>
      </c>
      <c r="L2199" s="1" t="s">
        <v>103</v>
      </c>
      <c r="M2199" s="1">
        <f>orders[[#This Row],[Ship Date]]-orders[[#This Row],[Order Date]]</f>
        <v>1</v>
      </c>
      <c r="N2199" s="1">
        <f>WEEKNUM(orders[[#This Row],[Order Date]])</f>
        <v>12</v>
      </c>
      <c r="O2199" s="1"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s="1">
        <v>157</v>
      </c>
      <c r="F2200" s="2">
        <v>45738</v>
      </c>
      <c r="G2200" s="2">
        <v>45739</v>
      </c>
      <c r="H2200" s="1" t="s">
        <v>23</v>
      </c>
      <c r="I2200" s="1" t="s">
        <v>40</v>
      </c>
      <c r="J2200" s="1">
        <v>4</v>
      </c>
      <c r="K2200" s="1" t="s">
        <v>19</v>
      </c>
      <c r="L2200" s="1" t="s">
        <v>201</v>
      </c>
      <c r="M2200" s="1">
        <f>orders[[#This Row],[Ship Date]]-orders[[#This Row],[Order Date]]</f>
        <v>1</v>
      </c>
      <c r="N2200" s="1">
        <f>WEEKNUM(orders[[#This Row],[Order Date]])</f>
        <v>12</v>
      </c>
      <c r="O2200" s="1"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s="1">
        <v>34.200000000000003</v>
      </c>
      <c r="F2201" s="2">
        <v>45738</v>
      </c>
      <c r="G2201" s="2">
        <v>45740</v>
      </c>
      <c r="H2201" s="1" t="s">
        <v>23</v>
      </c>
      <c r="I2201" s="1" t="s">
        <v>18</v>
      </c>
      <c r="J2201" s="1">
        <v>4</v>
      </c>
      <c r="K2201" s="1" t="s">
        <v>19</v>
      </c>
      <c r="L2201" s="1" t="s">
        <v>72</v>
      </c>
      <c r="M2201" s="1">
        <f>orders[[#This Row],[Ship Date]]-orders[[#This Row],[Order Date]]</f>
        <v>2</v>
      </c>
      <c r="N2201" s="1">
        <f>WEEKNUM(orders[[#This Row],[Order Date]])</f>
        <v>12</v>
      </c>
      <c r="O2201" s="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s="1">
        <v>26.2</v>
      </c>
      <c r="F2202" s="2">
        <v>45738</v>
      </c>
      <c r="G2202" s="2">
        <v>45739</v>
      </c>
      <c r="H2202" s="1" t="s">
        <v>23</v>
      </c>
      <c r="I2202" s="1" t="s">
        <v>40</v>
      </c>
      <c r="J2202" s="1">
        <v>4</v>
      </c>
      <c r="K2202" s="1" t="s">
        <v>19</v>
      </c>
      <c r="L2202" s="1" t="s">
        <v>72</v>
      </c>
      <c r="M2202" s="1">
        <f>orders[[#This Row],[Ship Date]]-orders[[#This Row],[Order Date]]</f>
        <v>1</v>
      </c>
      <c r="N2202" s="1">
        <f>WEEKNUM(orders[[#This Row],[Order Date]])</f>
        <v>12</v>
      </c>
      <c r="O2202" s="1"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s="1">
        <v>212.8</v>
      </c>
      <c r="F2203" s="2">
        <v>45738</v>
      </c>
      <c r="G2203" s="2">
        <v>45739</v>
      </c>
      <c r="H2203" s="1" t="s">
        <v>23</v>
      </c>
      <c r="I2203" s="1" t="s">
        <v>35</v>
      </c>
      <c r="J2203" s="1">
        <v>3</v>
      </c>
      <c r="K2203" s="1" t="s">
        <v>19</v>
      </c>
      <c r="L2203" s="1" t="s">
        <v>77</v>
      </c>
      <c r="M2203" s="1">
        <f>orders[[#This Row],[Ship Date]]-orders[[#This Row],[Order Date]]</f>
        <v>1</v>
      </c>
      <c r="N2203" s="1">
        <f>WEEKNUM(orders[[#This Row],[Order Date]])</f>
        <v>12</v>
      </c>
      <c r="O2203" s="1"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s="1">
        <v>35.4</v>
      </c>
      <c r="F2204" s="2">
        <v>45738</v>
      </c>
      <c r="G2204" s="2">
        <v>45742</v>
      </c>
      <c r="H2204" s="1" t="s">
        <v>23</v>
      </c>
      <c r="I2204" s="1" t="s">
        <v>35</v>
      </c>
      <c r="J2204" s="1">
        <v>2</v>
      </c>
      <c r="K2204" s="1" t="s">
        <v>19</v>
      </c>
      <c r="L2204" s="1" t="s">
        <v>108</v>
      </c>
      <c r="M2204" s="1">
        <f>orders[[#This Row],[Ship Date]]-orders[[#This Row],[Order Date]]</f>
        <v>4</v>
      </c>
      <c r="N2204" s="1">
        <f>WEEKNUM(orders[[#This Row],[Order Date]])</f>
        <v>12</v>
      </c>
      <c r="O2204" s="1"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s="1">
        <v>42.6</v>
      </c>
      <c r="F2205" s="2">
        <v>45738</v>
      </c>
      <c r="G2205" s="2">
        <v>45739</v>
      </c>
      <c r="H2205" s="1" t="s">
        <v>23</v>
      </c>
      <c r="I2205" s="1" t="s">
        <v>40</v>
      </c>
      <c r="J2205" s="1">
        <v>4</v>
      </c>
      <c r="K2205" s="1" t="s">
        <v>19</v>
      </c>
      <c r="L2205" s="1" t="s">
        <v>113</v>
      </c>
      <c r="M2205" s="1">
        <f>orders[[#This Row],[Ship Date]]-orders[[#This Row],[Order Date]]</f>
        <v>1</v>
      </c>
      <c r="N2205" s="1">
        <f>WEEKNUM(orders[[#This Row],[Order Date]])</f>
        <v>12</v>
      </c>
      <c r="O2205" s="1"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s="1">
        <v>131.6</v>
      </c>
      <c r="F2206" s="2">
        <v>45738</v>
      </c>
      <c r="G2206" s="2">
        <v>45741</v>
      </c>
      <c r="H2206" s="1" t="s">
        <v>27</v>
      </c>
      <c r="I2206" s="1" t="s">
        <v>70</v>
      </c>
      <c r="J2206" s="1">
        <v>5</v>
      </c>
      <c r="K2206" s="1" t="s">
        <v>19</v>
      </c>
      <c r="L2206" s="1" t="s">
        <v>115</v>
      </c>
      <c r="M2206" s="1">
        <f>orders[[#This Row],[Ship Date]]-orders[[#This Row],[Order Date]]</f>
        <v>3</v>
      </c>
      <c r="N2206" s="1">
        <f>WEEKNUM(orders[[#This Row],[Order Date]])</f>
        <v>12</v>
      </c>
      <c r="O2206" s="1"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s="1">
        <v>1282.5</v>
      </c>
      <c r="F2207" s="2">
        <v>45738</v>
      </c>
      <c r="G2207" s="2">
        <v>45740</v>
      </c>
      <c r="H2207" s="1" t="s">
        <v>27</v>
      </c>
      <c r="I2207" s="1" t="s">
        <v>51</v>
      </c>
      <c r="J2207" s="1">
        <v>3</v>
      </c>
      <c r="K2207" s="1" t="s">
        <v>19</v>
      </c>
      <c r="L2207" s="1" t="s">
        <v>115</v>
      </c>
      <c r="M2207" s="1">
        <f>orders[[#This Row],[Ship Date]]-orders[[#This Row],[Order Date]]</f>
        <v>2</v>
      </c>
      <c r="N2207" s="1">
        <f>WEEKNUM(orders[[#This Row],[Order Date]])</f>
        <v>12</v>
      </c>
      <c r="O2207" s="1"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s="1">
        <v>26.8</v>
      </c>
      <c r="F2208" s="2">
        <v>45738</v>
      </c>
      <c r="G2208" s="2">
        <v>45739</v>
      </c>
      <c r="H2208" s="1" t="s">
        <v>27</v>
      </c>
      <c r="I2208" s="1" t="s">
        <v>18</v>
      </c>
      <c r="J2208" s="1">
        <v>3</v>
      </c>
      <c r="K2208" s="1" t="s">
        <v>19</v>
      </c>
      <c r="L2208" s="1" t="s">
        <v>28</v>
      </c>
      <c r="M2208" s="1">
        <f>orders[[#This Row],[Ship Date]]-orders[[#This Row],[Order Date]]</f>
        <v>1</v>
      </c>
      <c r="N2208" s="1">
        <f>WEEKNUM(orders[[#This Row],[Order Date]])</f>
        <v>12</v>
      </c>
      <c r="O2208" s="1"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s="1">
        <v>824.19999999999993</v>
      </c>
      <c r="F2209" s="2">
        <v>45738</v>
      </c>
      <c r="G2209" s="2">
        <v>45738</v>
      </c>
      <c r="H2209" s="1" t="s">
        <v>27</v>
      </c>
      <c r="I2209" s="1" t="s">
        <v>51</v>
      </c>
      <c r="J2209" s="1">
        <v>4</v>
      </c>
      <c r="K2209" s="1" t="s">
        <v>19</v>
      </c>
      <c r="L2209" s="1" t="s">
        <v>28</v>
      </c>
      <c r="M2209" s="1">
        <f>orders[[#This Row],[Ship Date]]-orders[[#This Row],[Order Date]]</f>
        <v>0</v>
      </c>
      <c r="N2209" s="1">
        <f>WEEKNUM(orders[[#This Row],[Order Date]])</f>
        <v>12</v>
      </c>
      <c r="O2209" s="1"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s="1">
        <v>156.6</v>
      </c>
      <c r="F2210" s="2">
        <v>45738</v>
      </c>
      <c r="G2210" s="2">
        <v>45740</v>
      </c>
      <c r="H2210" s="1" t="s">
        <v>27</v>
      </c>
      <c r="I2210" s="1" t="s">
        <v>35</v>
      </c>
      <c r="J2210" s="1">
        <v>3</v>
      </c>
      <c r="K2210" s="1" t="s">
        <v>19</v>
      </c>
      <c r="L2210" s="1" t="s">
        <v>33</v>
      </c>
      <c r="M2210" s="1">
        <f>orders[[#This Row],[Ship Date]]-orders[[#This Row],[Order Date]]</f>
        <v>2</v>
      </c>
      <c r="N2210" s="1">
        <f>WEEKNUM(orders[[#This Row],[Order Date]])</f>
        <v>12</v>
      </c>
      <c r="O2210" s="1"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s="1">
        <v>43.9</v>
      </c>
      <c r="F2211" s="2">
        <v>45738</v>
      </c>
      <c r="G2211" s="2">
        <v>45739</v>
      </c>
      <c r="H2211" s="1" t="s">
        <v>23</v>
      </c>
      <c r="I2211" s="1" t="s">
        <v>18</v>
      </c>
      <c r="J2211" s="1">
        <v>4</v>
      </c>
      <c r="K2211" s="1" t="s">
        <v>19</v>
      </c>
      <c r="L2211" s="1" t="s">
        <v>33</v>
      </c>
      <c r="M2211" s="1">
        <f>orders[[#This Row],[Ship Date]]-orders[[#This Row],[Order Date]]</f>
        <v>1</v>
      </c>
      <c r="N2211" s="1">
        <f>WEEKNUM(orders[[#This Row],[Order Date]])</f>
        <v>12</v>
      </c>
      <c r="O2211" s="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s="1">
        <v>252</v>
      </c>
      <c r="F2212" s="2">
        <v>45738</v>
      </c>
      <c r="G2212" s="2">
        <v>45740</v>
      </c>
      <c r="H2212" s="1" t="s">
        <v>17</v>
      </c>
      <c r="I2212" s="1" t="s">
        <v>51</v>
      </c>
      <c r="J2212" s="1">
        <v>5</v>
      </c>
      <c r="K2212" s="1" t="s">
        <v>19</v>
      </c>
      <c r="L2212" s="1" t="s">
        <v>33</v>
      </c>
      <c r="M2212" s="1">
        <f>orders[[#This Row],[Ship Date]]-orders[[#This Row],[Order Date]]</f>
        <v>2</v>
      </c>
      <c r="N2212" s="1">
        <f>WEEKNUM(orders[[#This Row],[Order Date]])</f>
        <v>12</v>
      </c>
      <c r="O2212" s="1"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s="1">
        <v>34.200000000000003</v>
      </c>
      <c r="F2213" s="2">
        <v>45738</v>
      </c>
      <c r="G2213" s="2">
        <v>45739</v>
      </c>
      <c r="H2213" s="1" t="s">
        <v>23</v>
      </c>
      <c r="I2213" s="1" t="s">
        <v>70</v>
      </c>
      <c r="J2213" s="1">
        <v>4</v>
      </c>
      <c r="K2213" s="1" t="s">
        <v>19</v>
      </c>
      <c r="L2213" s="1" t="s">
        <v>33</v>
      </c>
      <c r="M2213" s="1">
        <f>orders[[#This Row],[Ship Date]]-orders[[#This Row],[Order Date]]</f>
        <v>1</v>
      </c>
      <c r="N2213" s="1">
        <f>WEEKNUM(orders[[#This Row],[Order Date]])</f>
        <v>12</v>
      </c>
      <c r="O2213" s="1"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s="1">
        <v>380</v>
      </c>
      <c r="F2214" s="2">
        <v>45738</v>
      </c>
      <c r="G2214" s="2">
        <v>45746</v>
      </c>
      <c r="H2214" s="1" t="s">
        <v>27</v>
      </c>
      <c r="I2214" s="1" t="s">
        <v>18</v>
      </c>
      <c r="J2214" s="1">
        <v>4</v>
      </c>
      <c r="K2214" s="1" t="s">
        <v>19</v>
      </c>
      <c r="L2214" s="1" t="s">
        <v>33</v>
      </c>
      <c r="M2214" s="1">
        <f>orders[[#This Row],[Ship Date]]-orders[[#This Row],[Order Date]]</f>
        <v>8</v>
      </c>
      <c r="N2214" s="1">
        <f>WEEKNUM(orders[[#This Row],[Order Date]])</f>
        <v>12</v>
      </c>
      <c r="O2214" s="1"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s="1">
        <v>555.5</v>
      </c>
      <c r="F2215" s="2">
        <v>45738</v>
      </c>
      <c r="G2215" s="2">
        <v>45740</v>
      </c>
      <c r="H2215" s="1" t="s">
        <v>23</v>
      </c>
      <c r="I2215" s="1" t="s">
        <v>40</v>
      </c>
      <c r="J2215" s="1">
        <v>4</v>
      </c>
      <c r="K2215" s="1" t="s">
        <v>19</v>
      </c>
      <c r="L2215" s="1" t="s">
        <v>33</v>
      </c>
      <c r="M2215" s="1">
        <f>orders[[#This Row],[Ship Date]]-orders[[#This Row],[Order Date]]</f>
        <v>2</v>
      </c>
      <c r="N2215" s="1">
        <f>WEEKNUM(orders[[#This Row],[Order Date]])</f>
        <v>12</v>
      </c>
      <c r="O2215" s="1"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s="1">
        <v>36.299999999999997</v>
      </c>
      <c r="F2216" s="2">
        <v>45738</v>
      </c>
      <c r="G2216" s="2">
        <v>45741</v>
      </c>
      <c r="H2216" s="1" t="s">
        <v>89</v>
      </c>
      <c r="I2216" s="1" t="s">
        <v>18</v>
      </c>
      <c r="J2216" s="1">
        <v>3</v>
      </c>
      <c r="K2216" s="1" t="s">
        <v>19</v>
      </c>
      <c r="L2216" s="1" t="s">
        <v>62</v>
      </c>
      <c r="M2216" s="1">
        <f>orders[[#This Row],[Ship Date]]-orders[[#This Row],[Order Date]]</f>
        <v>3</v>
      </c>
      <c r="N2216" s="1">
        <f>WEEKNUM(orders[[#This Row],[Order Date]])</f>
        <v>12</v>
      </c>
      <c r="O2216" s="1"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s="1">
        <v>70.8</v>
      </c>
      <c r="F2217" s="2">
        <v>45738</v>
      </c>
      <c r="G2217" s="2">
        <v>45739</v>
      </c>
      <c r="H2217" s="1" t="s">
        <v>27</v>
      </c>
      <c r="I2217" s="1" t="s">
        <v>18</v>
      </c>
      <c r="J2217" s="1">
        <v>4</v>
      </c>
      <c r="K2217" s="1" t="s">
        <v>19</v>
      </c>
      <c r="L2217" s="1" t="s">
        <v>103</v>
      </c>
      <c r="M2217" s="1">
        <f>orders[[#This Row],[Ship Date]]-orders[[#This Row],[Order Date]]</f>
        <v>1</v>
      </c>
      <c r="N2217" s="1">
        <f>WEEKNUM(orders[[#This Row],[Order Date]])</f>
        <v>12</v>
      </c>
      <c r="O2217" s="1"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s="1">
        <v>137.69999999999999</v>
      </c>
      <c r="F2218" s="2">
        <v>45739</v>
      </c>
      <c r="G2218" s="2">
        <v>45740</v>
      </c>
      <c r="H2218" s="1" t="s">
        <v>23</v>
      </c>
      <c r="I2218" s="1" t="s">
        <v>51</v>
      </c>
      <c r="J2218" s="1">
        <v>4</v>
      </c>
      <c r="K2218" s="1" t="s">
        <v>19</v>
      </c>
      <c r="L2218" s="1" t="s">
        <v>72</v>
      </c>
      <c r="M2218" s="1">
        <f>orders[[#This Row],[Ship Date]]-orders[[#This Row],[Order Date]]</f>
        <v>1</v>
      </c>
      <c r="N2218" s="1">
        <f>WEEKNUM(orders[[#This Row],[Order Date]])</f>
        <v>13</v>
      </c>
      <c r="O2218" s="1"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s="1">
        <v>412</v>
      </c>
      <c r="F2219" s="2">
        <v>45739</v>
      </c>
      <c r="G2219" s="2">
        <v>45743</v>
      </c>
      <c r="H2219" s="1" t="s">
        <v>23</v>
      </c>
      <c r="I2219" s="1" t="s">
        <v>18</v>
      </c>
      <c r="J2219" s="1">
        <v>4</v>
      </c>
      <c r="K2219" s="1" t="s">
        <v>19</v>
      </c>
      <c r="L2219" s="1" t="s">
        <v>77</v>
      </c>
      <c r="M2219" s="1">
        <f>orders[[#This Row],[Ship Date]]-orders[[#This Row],[Order Date]]</f>
        <v>4</v>
      </c>
      <c r="N2219" s="1">
        <f>WEEKNUM(orders[[#This Row],[Order Date]])</f>
        <v>13</v>
      </c>
      <c r="O2219" s="1"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s="1">
        <v>90.2</v>
      </c>
      <c r="F2220" s="2">
        <v>45739</v>
      </c>
      <c r="G2220" s="2">
        <v>45740</v>
      </c>
      <c r="H2220" s="1" t="s">
        <v>23</v>
      </c>
      <c r="I2220" s="1" t="s">
        <v>35</v>
      </c>
      <c r="J2220" s="1">
        <v>3</v>
      </c>
      <c r="K2220" s="1" t="s">
        <v>19</v>
      </c>
      <c r="L2220" s="1" t="s">
        <v>115</v>
      </c>
      <c r="M2220" s="1">
        <f>orders[[#This Row],[Ship Date]]-orders[[#This Row],[Order Date]]</f>
        <v>1</v>
      </c>
      <c r="N2220" s="1">
        <f>WEEKNUM(orders[[#This Row],[Order Date]])</f>
        <v>13</v>
      </c>
      <c r="O2220" s="1"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s="1">
        <v>636</v>
      </c>
      <c r="F2221" s="2">
        <v>45739</v>
      </c>
      <c r="G2221" s="2">
        <v>45739</v>
      </c>
      <c r="H2221" s="1" t="s">
        <v>23</v>
      </c>
      <c r="I2221" s="1" t="s">
        <v>40</v>
      </c>
      <c r="J2221" s="1">
        <v>4</v>
      </c>
      <c r="K2221" s="1" t="s">
        <v>19</v>
      </c>
      <c r="L2221" s="1" t="s">
        <v>24</v>
      </c>
      <c r="M2221" s="1">
        <f>orders[[#This Row],[Ship Date]]-orders[[#This Row],[Order Date]]</f>
        <v>0</v>
      </c>
      <c r="N2221" s="1">
        <f>WEEKNUM(orders[[#This Row],[Order Date]])</f>
        <v>13</v>
      </c>
      <c r="O2221" s="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s="1">
        <v>70.5</v>
      </c>
      <c r="F2222" s="2">
        <v>45739</v>
      </c>
      <c r="G2222" s="2">
        <v>45740</v>
      </c>
      <c r="H2222" s="1" t="s">
        <v>23</v>
      </c>
      <c r="I2222" s="1" t="s">
        <v>18</v>
      </c>
      <c r="J2222" s="1">
        <v>4</v>
      </c>
      <c r="K2222" s="1" t="s">
        <v>19</v>
      </c>
      <c r="L2222" s="1" t="s">
        <v>33</v>
      </c>
      <c r="M2222" s="1">
        <f>orders[[#This Row],[Ship Date]]-orders[[#This Row],[Order Date]]</f>
        <v>1</v>
      </c>
      <c r="N2222" s="1">
        <f>WEEKNUM(orders[[#This Row],[Order Date]])</f>
        <v>13</v>
      </c>
      <c r="O2222" s="1"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s="1">
        <v>41.3</v>
      </c>
      <c r="F2223" s="2">
        <v>45739</v>
      </c>
      <c r="G2223" s="2">
        <v>45739</v>
      </c>
      <c r="H2223" s="1" t="s">
        <v>23</v>
      </c>
      <c r="I2223" s="1" t="s">
        <v>70</v>
      </c>
      <c r="J2223" s="1">
        <v>4</v>
      </c>
      <c r="K2223" s="1" t="s">
        <v>19</v>
      </c>
      <c r="L2223" s="1" t="s">
        <v>33</v>
      </c>
      <c r="M2223" s="1">
        <f>orders[[#This Row],[Ship Date]]-orders[[#This Row],[Order Date]]</f>
        <v>0</v>
      </c>
      <c r="N2223" s="1">
        <f>WEEKNUM(orders[[#This Row],[Order Date]])</f>
        <v>13</v>
      </c>
      <c r="O2223" s="1"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s="1">
        <v>35.299999999999997</v>
      </c>
      <c r="F2224" s="2">
        <v>45739</v>
      </c>
      <c r="G2224" s="2">
        <v>45742</v>
      </c>
      <c r="H2224" s="1" t="s">
        <v>27</v>
      </c>
      <c r="I2224" s="1" t="s">
        <v>70</v>
      </c>
      <c r="J2224" s="1">
        <v>5</v>
      </c>
      <c r="K2224" s="1" t="s">
        <v>19</v>
      </c>
      <c r="L2224" s="1" t="s">
        <v>33</v>
      </c>
      <c r="M2224" s="1">
        <f>orders[[#This Row],[Ship Date]]-orders[[#This Row],[Order Date]]</f>
        <v>3</v>
      </c>
      <c r="N2224" s="1">
        <f>WEEKNUM(orders[[#This Row],[Order Date]])</f>
        <v>13</v>
      </c>
      <c r="O2224" s="1"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s="1">
        <v>173.5</v>
      </c>
      <c r="F2225" s="2">
        <v>45739</v>
      </c>
      <c r="G2225" s="2">
        <v>45740</v>
      </c>
      <c r="H2225" s="1" t="s">
        <v>27</v>
      </c>
      <c r="I2225" s="1" t="s">
        <v>18</v>
      </c>
      <c r="J2225" s="1">
        <v>5</v>
      </c>
      <c r="K2225" s="1" t="s">
        <v>19</v>
      </c>
      <c r="L2225" s="1" t="s">
        <v>33</v>
      </c>
      <c r="M2225" s="1">
        <f>orders[[#This Row],[Ship Date]]-orders[[#This Row],[Order Date]]</f>
        <v>1</v>
      </c>
      <c r="N2225" s="1">
        <f>WEEKNUM(orders[[#This Row],[Order Date]])</f>
        <v>13</v>
      </c>
      <c r="O2225" s="1"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s="1">
        <v>78.300000000000011</v>
      </c>
      <c r="F2226" s="2">
        <v>45739</v>
      </c>
      <c r="G2226" s="2">
        <v>45740</v>
      </c>
      <c r="H2226" s="1" t="s">
        <v>27</v>
      </c>
      <c r="I2226" s="1" t="s">
        <v>18</v>
      </c>
      <c r="J2226" s="1">
        <v>4</v>
      </c>
      <c r="K2226" s="1" t="s">
        <v>19</v>
      </c>
      <c r="L2226" s="1" t="s">
        <v>33</v>
      </c>
      <c r="M2226" s="1">
        <f>orders[[#This Row],[Ship Date]]-orders[[#This Row],[Order Date]]</f>
        <v>1</v>
      </c>
      <c r="N2226" s="1">
        <f>WEEKNUM(orders[[#This Row],[Order Date]])</f>
        <v>13</v>
      </c>
      <c r="O2226" s="1"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s="1">
        <v>113</v>
      </c>
      <c r="F2227" s="2">
        <v>45739</v>
      </c>
      <c r="G2227" s="2">
        <v>45739</v>
      </c>
      <c r="H2227" s="1" t="s">
        <v>27</v>
      </c>
      <c r="I2227" s="1" t="s">
        <v>35</v>
      </c>
      <c r="J2227" s="1">
        <v>5</v>
      </c>
      <c r="K2227" s="1" t="s">
        <v>19</v>
      </c>
      <c r="L2227" s="1" t="s">
        <v>33</v>
      </c>
      <c r="M2227" s="1">
        <f>orders[[#This Row],[Ship Date]]-orders[[#This Row],[Order Date]]</f>
        <v>0</v>
      </c>
      <c r="N2227" s="1">
        <f>WEEKNUM(orders[[#This Row],[Order Date]])</f>
        <v>13</v>
      </c>
      <c r="O2227" s="1"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s="1">
        <v>308.8</v>
      </c>
      <c r="F2228" s="2">
        <v>45739</v>
      </c>
      <c r="G2228" s="2">
        <v>45742</v>
      </c>
      <c r="H2228" s="1" t="s">
        <v>23</v>
      </c>
      <c r="I2228" s="1" t="s">
        <v>35</v>
      </c>
      <c r="J2228" s="1">
        <v>3</v>
      </c>
      <c r="K2228" s="1" t="s">
        <v>19</v>
      </c>
      <c r="L2228" s="1" t="s">
        <v>33</v>
      </c>
      <c r="M2228" s="1">
        <f>orders[[#This Row],[Ship Date]]-orders[[#This Row],[Order Date]]</f>
        <v>3</v>
      </c>
      <c r="N2228" s="1">
        <f>WEEKNUM(orders[[#This Row],[Order Date]])</f>
        <v>13</v>
      </c>
      <c r="O2228" s="1"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s="1">
        <v>36.799999999999997</v>
      </c>
      <c r="F2229" s="2">
        <v>45739</v>
      </c>
      <c r="G2229" s="2">
        <v>45740</v>
      </c>
      <c r="H2229" s="1" t="s">
        <v>23</v>
      </c>
      <c r="I2229" s="1" t="s">
        <v>18</v>
      </c>
      <c r="J2229" s="1">
        <v>4</v>
      </c>
      <c r="K2229" s="1" t="s">
        <v>19</v>
      </c>
      <c r="L2229" s="1" t="s">
        <v>33</v>
      </c>
      <c r="M2229" s="1">
        <f>orders[[#This Row],[Ship Date]]-orders[[#This Row],[Order Date]]</f>
        <v>1</v>
      </c>
      <c r="N2229" s="1">
        <f>WEEKNUM(orders[[#This Row],[Order Date]])</f>
        <v>13</v>
      </c>
      <c r="O2229" s="1"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s="1">
        <v>25</v>
      </c>
      <c r="F2230" s="2">
        <v>45739</v>
      </c>
      <c r="G2230" s="2">
        <v>45742</v>
      </c>
      <c r="H2230" s="1" t="s">
        <v>27</v>
      </c>
      <c r="I2230" s="1" t="s">
        <v>18</v>
      </c>
      <c r="J2230" s="1">
        <v>4</v>
      </c>
      <c r="K2230" s="1" t="s">
        <v>19</v>
      </c>
      <c r="L2230" s="1" t="s">
        <v>33</v>
      </c>
      <c r="M2230" s="1">
        <f>orders[[#This Row],[Ship Date]]-orders[[#This Row],[Order Date]]</f>
        <v>3</v>
      </c>
      <c r="N2230" s="1">
        <f>WEEKNUM(orders[[#This Row],[Order Date]])</f>
        <v>13</v>
      </c>
      <c r="O2230" s="1"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s="1">
        <v>633.59999999999991</v>
      </c>
      <c r="F2231" s="2">
        <v>45739</v>
      </c>
      <c r="G2231" s="2">
        <v>45739</v>
      </c>
      <c r="H2231" s="1" t="s">
        <v>27</v>
      </c>
      <c r="I2231" s="1" t="s">
        <v>18</v>
      </c>
      <c r="J2231" s="1">
        <v>4</v>
      </c>
      <c r="K2231" s="1" t="s">
        <v>19</v>
      </c>
      <c r="L2231" s="1" t="s">
        <v>33</v>
      </c>
      <c r="M2231" s="1">
        <f>orders[[#This Row],[Ship Date]]-orders[[#This Row],[Order Date]]</f>
        <v>0</v>
      </c>
      <c r="N2231" s="1">
        <f>WEEKNUM(orders[[#This Row],[Order Date]])</f>
        <v>13</v>
      </c>
      <c r="O2231" s="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s="1">
        <v>476.8</v>
      </c>
      <c r="F2232" s="2">
        <v>45739</v>
      </c>
      <c r="G2232" s="2">
        <v>45739</v>
      </c>
      <c r="H2232" s="1" t="s">
        <v>27</v>
      </c>
      <c r="I2232" s="1" t="s">
        <v>18</v>
      </c>
      <c r="J2232" s="1">
        <v>5</v>
      </c>
      <c r="K2232" s="1" t="s">
        <v>19</v>
      </c>
      <c r="L2232" s="1" t="s">
        <v>158</v>
      </c>
      <c r="M2232" s="1">
        <f>orders[[#This Row],[Ship Date]]-orders[[#This Row],[Order Date]]</f>
        <v>0</v>
      </c>
      <c r="N2232" s="1">
        <f>WEEKNUM(orders[[#This Row],[Order Date]])</f>
        <v>13</v>
      </c>
      <c r="O2232" s="1"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s="1">
        <v>226.20000000000002</v>
      </c>
      <c r="F2233" s="2">
        <v>45739</v>
      </c>
      <c r="G2233" s="2">
        <v>45744</v>
      </c>
      <c r="H2233" s="1" t="s">
        <v>23</v>
      </c>
      <c r="I2233" s="1" t="s">
        <v>18</v>
      </c>
      <c r="J2233" s="1">
        <v>3</v>
      </c>
      <c r="K2233" s="1" t="s">
        <v>19</v>
      </c>
      <c r="L2233" s="1" t="s">
        <v>59</v>
      </c>
      <c r="M2233" s="1">
        <f>orders[[#This Row],[Ship Date]]-orders[[#This Row],[Order Date]]</f>
        <v>5</v>
      </c>
      <c r="N2233" s="1">
        <f>WEEKNUM(orders[[#This Row],[Order Date]])</f>
        <v>13</v>
      </c>
      <c r="O2233" s="1"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s="1">
        <v>104.4</v>
      </c>
      <c r="F2234" s="2">
        <v>45739</v>
      </c>
      <c r="G2234" s="2">
        <v>45740</v>
      </c>
      <c r="H2234" s="1" t="s">
        <v>27</v>
      </c>
      <c r="I2234" s="1" t="s">
        <v>18</v>
      </c>
      <c r="J2234" s="1">
        <v>4</v>
      </c>
      <c r="K2234" s="1" t="s">
        <v>19</v>
      </c>
      <c r="L2234" s="1" t="s">
        <v>62</v>
      </c>
      <c r="M2234" s="1">
        <f>orders[[#This Row],[Ship Date]]-orders[[#This Row],[Order Date]]</f>
        <v>1</v>
      </c>
      <c r="N2234" s="1">
        <f>WEEKNUM(orders[[#This Row],[Order Date]])</f>
        <v>13</v>
      </c>
      <c r="O2234" s="1"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s="1">
        <v>2082</v>
      </c>
      <c r="F2235" s="2">
        <v>45739</v>
      </c>
      <c r="G2235" s="2">
        <v>45740</v>
      </c>
      <c r="H2235" s="1" t="s">
        <v>23</v>
      </c>
      <c r="I2235" s="1" t="s">
        <v>18</v>
      </c>
      <c r="J2235" s="1">
        <v>5</v>
      </c>
      <c r="K2235" s="1" t="s">
        <v>19</v>
      </c>
      <c r="L2235" s="1" t="s">
        <v>62</v>
      </c>
      <c r="M2235" s="1">
        <f>orders[[#This Row],[Ship Date]]-orders[[#This Row],[Order Date]]</f>
        <v>1</v>
      </c>
      <c r="N2235" s="1">
        <f>WEEKNUM(orders[[#This Row],[Order Date]])</f>
        <v>13</v>
      </c>
      <c r="O2235" s="1"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s="1">
        <v>90</v>
      </c>
      <c r="F2236" s="2">
        <v>45739</v>
      </c>
      <c r="G2236" s="2">
        <v>45742</v>
      </c>
      <c r="H2236" s="1" t="s">
        <v>27</v>
      </c>
      <c r="I2236" s="1" t="s">
        <v>18</v>
      </c>
      <c r="J2236" s="1">
        <v>4</v>
      </c>
      <c r="K2236" s="1" t="s">
        <v>19</v>
      </c>
      <c r="L2236" s="1" t="s">
        <v>74</v>
      </c>
      <c r="M2236" s="1">
        <f>orders[[#This Row],[Ship Date]]-orders[[#This Row],[Order Date]]</f>
        <v>3</v>
      </c>
      <c r="N2236" s="1">
        <f>WEEKNUM(orders[[#This Row],[Order Date]])</f>
        <v>13</v>
      </c>
      <c r="O2236" s="1"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s="1">
        <v>40.6</v>
      </c>
      <c r="F2237" s="2">
        <v>45740</v>
      </c>
      <c r="G2237" s="2">
        <v>45742</v>
      </c>
      <c r="H2237" s="1" t="s">
        <v>17</v>
      </c>
      <c r="I2237" s="1" t="s">
        <v>35</v>
      </c>
      <c r="J2237" s="1">
        <v>4</v>
      </c>
      <c r="K2237" s="1" t="s">
        <v>19</v>
      </c>
      <c r="L2237" s="1" t="s">
        <v>77</v>
      </c>
      <c r="M2237" s="1">
        <f>orders[[#This Row],[Ship Date]]-orders[[#This Row],[Order Date]]</f>
        <v>2</v>
      </c>
      <c r="N2237" s="1">
        <f>WEEKNUM(orders[[#This Row],[Order Date]])</f>
        <v>13</v>
      </c>
      <c r="O2237" s="1"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s="1">
        <v>283.20000000000005</v>
      </c>
      <c r="F2238" s="2">
        <v>45740</v>
      </c>
      <c r="G2238" s="2">
        <v>45741</v>
      </c>
      <c r="H2238" s="1" t="s">
        <v>27</v>
      </c>
      <c r="I2238" s="1" t="s">
        <v>18</v>
      </c>
      <c r="J2238" s="1">
        <v>5</v>
      </c>
      <c r="K2238" s="1" t="s">
        <v>19</v>
      </c>
      <c r="L2238" s="1" t="s">
        <v>77</v>
      </c>
      <c r="M2238" s="1">
        <f>orders[[#This Row],[Ship Date]]-orders[[#This Row],[Order Date]]</f>
        <v>1</v>
      </c>
      <c r="N2238" s="1">
        <f>WEEKNUM(orders[[#This Row],[Order Date]])</f>
        <v>13</v>
      </c>
      <c r="O2238" s="1"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s="1">
        <v>49</v>
      </c>
      <c r="F2239" s="2">
        <v>45740</v>
      </c>
      <c r="G2239" s="2">
        <v>45742</v>
      </c>
      <c r="H2239" s="1" t="s">
        <v>27</v>
      </c>
      <c r="I2239" s="1" t="s">
        <v>18</v>
      </c>
      <c r="J2239" s="1">
        <v>5</v>
      </c>
      <c r="K2239" s="1" t="s">
        <v>19</v>
      </c>
      <c r="L2239" s="1" t="s">
        <v>113</v>
      </c>
      <c r="M2239" s="1">
        <f>orders[[#This Row],[Ship Date]]-orders[[#This Row],[Order Date]]</f>
        <v>2</v>
      </c>
      <c r="N2239" s="1">
        <f>WEEKNUM(orders[[#This Row],[Order Date]])</f>
        <v>13</v>
      </c>
      <c r="O2239" s="1"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s="1">
        <v>54.4</v>
      </c>
      <c r="F2240" s="2">
        <v>45740</v>
      </c>
      <c r="G2240" s="2">
        <v>45742</v>
      </c>
      <c r="H2240" s="1" t="s">
        <v>23</v>
      </c>
      <c r="I2240" s="1" t="s">
        <v>18</v>
      </c>
      <c r="J2240" s="1">
        <v>5</v>
      </c>
      <c r="K2240" s="1" t="s">
        <v>19</v>
      </c>
      <c r="L2240" s="1" t="s">
        <v>24</v>
      </c>
      <c r="M2240" s="1">
        <f>orders[[#This Row],[Ship Date]]-orders[[#This Row],[Order Date]]</f>
        <v>2</v>
      </c>
      <c r="N2240" s="1">
        <f>WEEKNUM(orders[[#This Row],[Order Date]])</f>
        <v>13</v>
      </c>
      <c r="O2240" s="1"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s="1">
        <v>435.59999999999997</v>
      </c>
      <c r="F2241" s="2">
        <v>45740</v>
      </c>
      <c r="G2241" s="2">
        <v>45741</v>
      </c>
      <c r="H2241" s="1" t="s">
        <v>27</v>
      </c>
      <c r="I2241" s="1" t="s">
        <v>18</v>
      </c>
      <c r="J2241" s="1">
        <v>5</v>
      </c>
      <c r="K2241" s="1" t="s">
        <v>19</v>
      </c>
      <c r="L2241" s="1" t="s">
        <v>28</v>
      </c>
      <c r="M2241" s="1">
        <f>orders[[#This Row],[Ship Date]]-orders[[#This Row],[Order Date]]</f>
        <v>1</v>
      </c>
      <c r="N2241" s="1">
        <f>WEEKNUM(orders[[#This Row],[Order Date]])</f>
        <v>13</v>
      </c>
      <c r="O2241" s="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s="1">
        <v>249.6</v>
      </c>
      <c r="F2242" s="2">
        <v>45740</v>
      </c>
      <c r="G2242" s="2">
        <v>45741</v>
      </c>
      <c r="H2242" s="1" t="s">
        <v>27</v>
      </c>
      <c r="I2242" s="1" t="s">
        <v>18</v>
      </c>
      <c r="J2242" s="1">
        <v>4</v>
      </c>
      <c r="K2242" s="1" t="s">
        <v>19</v>
      </c>
      <c r="L2242" s="1" t="s">
        <v>33</v>
      </c>
      <c r="M2242" s="1">
        <f>orders[[#This Row],[Ship Date]]-orders[[#This Row],[Order Date]]</f>
        <v>1</v>
      </c>
      <c r="N2242" s="1">
        <f>WEEKNUM(orders[[#This Row],[Order Date]])</f>
        <v>13</v>
      </c>
      <c r="O2242" s="1"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s="1">
        <v>57.300000000000004</v>
      </c>
      <c r="F2243" s="2">
        <v>45740</v>
      </c>
      <c r="G2243" s="2">
        <v>45742</v>
      </c>
      <c r="H2243" s="1" t="s">
        <v>23</v>
      </c>
      <c r="I2243" s="1" t="s">
        <v>18</v>
      </c>
      <c r="J2243" s="1">
        <v>3</v>
      </c>
      <c r="K2243" s="1" t="s">
        <v>19</v>
      </c>
      <c r="L2243" s="1" t="s">
        <v>33</v>
      </c>
      <c r="M2243" s="1">
        <f>orders[[#This Row],[Ship Date]]-orders[[#This Row],[Order Date]]</f>
        <v>2</v>
      </c>
      <c r="N2243" s="1">
        <f>WEEKNUM(orders[[#This Row],[Order Date]])</f>
        <v>13</v>
      </c>
      <c r="O2243" s="1"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s="1">
        <v>29.6</v>
      </c>
      <c r="F2244" s="2">
        <v>45740</v>
      </c>
      <c r="G2244" s="2">
        <v>45744</v>
      </c>
      <c r="H2244" s="1" t="s">
        <v>23</v>
      </c>
      <c r="I2244" s="1" t="s">
        <v>18</v>
      </c>
      <c r="J2244" s="1">
        <v>2</v>
      </c>
      <c r="K2244" s="1" t="s">
        <v>19</v>
      </c>
      <c r="L2244" s="1" t="s">
        <v>33</v>
      </c>
      <c r="M2244" s="1">
        <f>orders[[#This Row],[Ship Date]]-orders[[#This Row],[Order Date]]</f>
        <v>4</v>
      </c>
      <c r="N2244" s="1">
        <f>WEEKNUM(orders[[#This Row],[Order Date]])</f>
        <v>13</v>
      </c>
      <c r="O2244" s="1"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s="1">
        <v>37.799999999999997</v>
      </c>
      <c r="F2245" s="2">
        <v>45740</v>
      </c>
      <c r="G2245" s="2">
        <v>45742</v>
      </c>
      <c r="H2245" s="1" t="s">
        <v>27</v>
      </c>
      <c r="I2245" s="1" t="s">
        <v>70</v>
      </c>
      <c r="J2245" s="1">
        <v>5</v>
      </c>
      <c r="K2245" s="1" t="s">
        <v>19</v>
      </c>
      <c r="L2245" s="1" t="s">
        <v>33</v>
      </c>
      <c r="M2245" s="1">
        <f>orders[[#This Row],[Ship Date]]-orders[[#This Row],[Order Date]]</f>
        <v>2</v>
      </c>
      <c r="N2245" s="1">
        <f>WEEKNUM(orders[[#This Row],[Order Date]])</f>
        <v>13</v>
      </c>
      <c r="O2245" s="1"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s="1">
        <v>207</v>
      </c>
      <c r="F2246" s="2">
        <v>45740</v>
      </c>
      <c r="G2246" s="2">
        <v>45741</v>
      </c>
      <c r="H2246" s="1" t="s">
        <v>23</v>
      </c>
      <c r="I2246" s="1" t="s">
        <v>51</v>
      </c>
      <c r="J2246" s="1">
        <v>4</v>
      </c>
      <c r="K2246" s="1" t="s">
        <v>19</v>
      </c>
      <c r="L2246" s="1" t="s">
        <v>33</v>
      </c>
      <c r="M2246" s="1">
        <f>orders[[#This Row],[Ship Date]]-orders[[#This Row],[Order Date]]</f>
        <v>1</v>
      </c>
      <c r="N2246" s="1">
        <f>WEEKNUM(orders[[#This Row],[Order Date]])</f>
        <v>13</v>
      </c>
      <c r="O2246" s="1"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s="1">
        <v>118.4</v>
      </c>
      <c r="F2247" s="2">
        <v>45740</v>
      </c>
      <c r="G2247" s="2">
        <v>45741</v>
      </c>
      <c r="H2247" s="1" t="s">
        <v>27</v>
      </c>
      <c r="I2247" s="1" t="s">
        <v>18</v>
      </c>
      <c r="J2247" s="1">
        <v>5</v>
      </c>
      <c r="K2247" s="1" t="s">
        <v>19</v>
      </c>
      <c r="L2247" s="1" t="s">
        <v>33</v>
      </c>
      <c r="M2247" s="1">
        <f>orders[[#This Row],[Ship Date]]-orders[[#This Row],[Order Date]]</f>
        <v>1</v>
      </c>
      <c r="N2247" s="1">
        <f>WEEKNUM(orders[[#This Row],[Order Date]])</f>
        <v>13</v>
      </c>
      <c r="O2247" s="1"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s="1">
        <v>250.6</v>
      </c>
      <c r="F2248" s="2">
        <v>45740</v>
      </c>
      <c r="G2248" s="2">
        <v>45743</v>
      </c>
      <c r="H2248" s="1" t="s">
        <v>27</v>
      </c>
      <c r="I2248" s="1" t="s">
        <v>18</v>
      </c>
      <c r="J2248" s="1">
        <v>5</v>
      </c>
      <c r="K2248" s="1" t="s">
        <v>19</v>
      </c>
      <c r="L2248" s="1" t="s">
        <v>33</v>
      </c>
      <c r="M2248" s="1">
        <f>orders[[#This Row],[Ship Date]]-orders[[#This Row],[Order Date]]</f>
        <v>3</v>
      </c>
      <c r="N2248" s="1">
        <f>WEEKNUM(orders[[#This Row],[Order Date]])</f>
        <v>13</v>
      </c>
      <c r="O2248" s="1"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s="1">
        <v>171.6</v>
      </c>
      <c r="F2249" s="2">
        <v>45740</v>
      </c>
      <c r="G2249" s="2">
        <v>45741</v>
      </c>
      <c r="H2249" s="1" t="s">
        <v>27</v>
      </c>
      <c r="I2249" s="1" t="s">
        <v>35</v>
      </c>
      <c r="J2249" s="1">
        <v>2</v>
      </c>
      <c r="K2249" s="1" t="s">
        <v>19</v>
      </c>
      <c r="L2249" s="1" t="s">
        <v>33</v>
      </c>
      <c r="M2249" s="1">
        <f>orders[[#This Row],[Ship Date]]-orders[[#This Row],[Order Date]]</f>
        <v>1</v>
      </c>
      <c r="N2249" s="1">
        <f>WEEKNUM(orders[[#This Row],[Order Date]])</f>
        <v>13</v>
      </c>
      <c r="O2249" s="1"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s="1">
        <v>44.2</v>
      </c>
      <c r="F2250" s="2">
        <v>45740</v>
      </c>
      <c r="G2250" s="2">
        <v>45743</v>
      </c>
      <c r="H2250" s="1" t="s">
        <v>23</v>
      </c>
      <c r="I2250" s="1" t="s">
        <v>35</v>
      </c>
      <c r="J2250" s="1">
        <v>4</v>
      </c>
      <c r="K2250" s="1" t="s">
        <v>19</v>
      </c>
      <c r="L2250" s="1" t="s">
        <v>33</v>
      </c>
      <c r="M2250" s="1">
        <f>orders[[#This Row],[Ship Date]]-orders[[#This Row],[Order Date]]</f>
        <v>3</v>
      </c>
      <c r="N2250" s="1">
        <f>WEEKNUM(orders[[#This Row],[Order Date]])</f>
        <v>13</v>
      </c>
      <c r="O2250" s="1"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s="1">
        <v>296.39999999999998</v>
      </c>
      <c r="F2251" s="2">
        <v>45740</v>
      </c>
      <c r="G2251" s="2">
        <v>45742</v>
      </c>
      <c r="H2251" s="1" t="s">
        <v>27</v>
      </c>
      <c r="I2251" s="1" t="s">
        <v>18</v>
      </c>
      <c r="J2251" s="1">
        <v>4</v>
      </c>
      <c r="K2251" s="1" t="s">
        <v>19</v>
      </c>
      <c r="L2251" s="1" t="s">
        <v>33</v>
      </c>
      <c r="M2251" s="1">
        <f>orders[[#This Row],[Ship Date]]-orders[[#This Row],[Order Date]]</f>
        <v>2</v>
      </c>
      <c r="N2251" s="1">
        <f>WEEKNUM(orders[[#This Row],[Order Date]])</f>
        <v>13</v>
      </c>
      <c r="O2251" s="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s="1">
        <v>33.799999999999997</v>
      </c>
      <c r="F2252" s="2">
        <v>45740</v>
      </c>
      <c r="G2252" s="2">
        <v>45741</v>
      </c>
      <c r="H2252" s="1" t="s">
        <v>27</v>
      </c>
      <c r="I2252" s="1" t="s">
        <v>40</v>
      </c>
      <c r="J2252" s="1">
        <v>5</v>
      </c>
      <c r="K2252" s="1" t="s">
        <v>19</v>
      </c>
      <c r="L2252" s="1" t="s">
        <v>186</v>
      </c>
      <c r="M2252" s="1">
        <f>orders[[#This Row],[Ship Date]]-orders[[#This Row],[Order Date]]</f>
        <v>1</v>
      </c>
      <c r="N2252" s="1">
        <f>WEEKNUM(orders[[#This Row],[Order Date]])</f>
        <v>13</v>
      </c>
      <c r="O2252" s="1"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s="1">
        <v>78.2</v>
      </c>
      <c r="F2253" s="2">
        <v>45740</v>
      </c>
      <c r="G2253" s="2">
        <v>45741</v>
      </c>
      <c r="H2253" s="1" t="s">
        <v>23</v>
      </c>
      <c r="I2253" s="1" t="s">
        <v>18</v>
      </c>
      <c r="J2253" s="1">
        <v>3</v>
      </c>
      <c r="K2253" s="1" t="s">
        <v>19</v>
      </c>
      <c r="L2253" s="1" t="s">
        <v>186</v>
      </c>
      <c r="M2253" s="1">
        <f>orders[[#This Row],[Ship Date]]-orders[[#This Row],[Order Date]]</f>
        <v>1</v>
      </c>
      <c r="N2253" s="1">
        <f>WEEKNUM(orders[[#This Row],[Order Date]])</f>
        <v>13</v>
      </c>
      <c r="O2253" s="1"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s="1">
        <v>37.200000000000003</v>
      </c>
      <c r="F2254" s="2">
        <v>45740</v>
      </c>
      <c r="G2254" s="2">
        <v>45741</v>
      </c>
      <c r="H2254" s="1" t="s">
        <v>23</v>
      </c>
      <c r="I2254" s="1" t="s">
        <v>18</v>
      </c>
      <c r="J2254" s="1">
        <v>3</v>
      </c>
      <c r="K2254" s="1" t="s">
        <v>19</v>
      </c>
      <c r="L2254" s="1" t="s">
        <v>98</v>
      </c>
      <c r="M2254" s="1">
        <f>orders[[#This Row],[Ship Date]]-orders[[#This Row],[Order Date]]</f>
        <v>1</v>
      </c>
      <c r="N2254" s="1">
        <f>WEEKNUM(orders[[#This Row],[Order Date]])</f>
        <v>13</v>
      </c>
      <c r="O2254" s="1"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s="1">
        <v>101.69999999999999</v>
      </c>
      <c r="F2255" s="2">
        <v>45740</v>
      </c>
      <c r="G2255" s="2">
        <v>45742</v>
      </c>
      <c r="H2255" s="1" t="s">
        <v>23</v>
      </c>
      <c r="I2255" s="1" t="s">
        <v>40</v>
      </c>
      <c r="J2255" s="1">
        <v>4</v>
      </c>
      <c r="K2255" s="1" t="s">
        <v>19</v>
      </c>
      <c r="L2255" s="1" t="s">
        <v>55</v>
      </c>
      <c r="M2255" s="1">
        <f>orders[[#This Row],[Ship Date]]-orders[[#This Row],[Order Date]]</f>
        <v>2</v>
      </c>
      <c r="N2255" s="1">
        <f>WEEKNUM(orders[[#This Row],[Order Date]])</f>
        <v>13</v>
      </c>
      <c r="O2255" s="1"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s="1">
        <v>1099.5</v>
      </c>
      <c r="F2256" s="2">
        <v>45740</v>
      </c>
      <c r="G2256" s="2">
        <v>45743</v>
      </c>
      <c r="H2256" s="1" t="s">
        <v>27</v>
      </c>
      <c r="I2256" s="1" t="s">
        <v>40</v>
      </c>
      <c r="J2256" s="1">
        <v>3</v>
      </c>
      <c r="K2256" s="1" t="s">
        <v>19</v>
      </c>
      <c r="L2256" s="1" t="s">
        <v>62</v>
      </c>
      <c r="M2256" s="1">
        <f>orders[[#This Row],[Ship Date]]-orders[[#This Row],[Order Date]]</f>
        <v>3</v>
      </c>
      <c r="N2256" s="1">
        <f>WEEKNUM(orders[[#This Row],[Order Date]])</f>
        <v>13</v>
      </c>
      <c r="O2256" s="1"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s="1">
        <v>140</v>
      </c>
      <c r="F2257" s="2">
        <v>45740</v>
      </c>
      <c r="G2257" s="2">
        <v>45742</v>
      </c>
      <c r="H2257" s="1" t="s">
        <v>27</v>
      </c>
      <c r="I2257" s="1" t="s">
        <v>35</v>
      </c>
      <c r="J2257" s="1">
        <v>4</v>
      </c>
      <c r="K2257" s="1" t="s">
        <v>19</v>
      </c>
      <c r="L2257" s="1" t="s">
        <v>62</v>
      </c>
      <c r="M2257" s="1">
        <f>orders[[#This Row],[Ship Date]]-orders[[#This Row],[Order Date]]</f>
        <v>2</v>
      </c>
      <c r="N2257" s="1">
        <f>WEEKNUM(orders[[#This Row],[Order Date]])</f>
        <v>13</v>
      </c>
      <c r="O2257" s="1"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s="1">
        <v>66.599999999999994</v>
      </c>
      <c r="F2258" s="2">
        <v>45740</v>
      </c>
      <c r="G2258" s="2">
        <v>45741</v>
      </c>
      <c r="H2258" s="1" t="s">
        <v>23</v>
      </c>
      <c r="I2258" s="1" t="s">
        <v>35</v>
      </c>
      <c r="J2258" s="1">
        <v>4</v>
      </c>
      <c r="K2258" s="1" t="s">
        <v>19</v>
      </c>
      <c r="L2258" s="1" t="s">
        <v>103</v>
      </c>
      <c r="M2258" s="1">
        <f>orders[[#This Row],[Ship Date]]-orders[[#This Row],[Order Date]]</f>
        <v>1</v>
      </c>
      <c r="N2258" s="1">
        <f>WEEKNUM(orders[[#This Row],[Order Date]])</f>
        <v>13</v>
      </c>
      <c r="O2258" s="1"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s="1">
        <v>32.4</v>
      </c>
      <c r="F2259" s="2">
        <v>45740</v>
      </c>
      <c r="G2259" s="2">
        <v>45741</v>
      </c>
      <c r="H2259" s="1" t="s">
        <v>27</v>
      </c>
      <c r="I2259" s="1" t="s">
        <v>18</v>
      </c>
      <c r="J2259" s="1">
        <v>4</v>
      </c>
      <c r="K2259" s="1" t="s">
        <v>19</v>
      </c>
      <c r="L2259" s="1" t="s">
        <v>77</v>
      </c>
      <c r="M2259" s="1">
        <f>orders[[#This Row],[Ship Date]]-orders[[#This Row],[Order Date]]</f>
        <v>1</v>
      </c>
      <c r="N2259" s="1">
        <f>WEEKNUM(orders[[#This Row],[Order Date]])</f>
        <v>13</v>
      </c>
      <c r="O2259" s="1"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s="1">
        <v>265.20000000000005</v>
      </c>
      <c r="F2260" s="2">
        <v>45741</v>
      </c>
      <c r="G2260" s="2">
        <v>45743</v>
      </c>
      <c r="H2260" s="1" t="s">
        <v>27</v>
      </c>
      <c r="I2260" s="1" t="s">
        <v>35</v>
      </c>
      <c r="J2260" s="1">
        <v>3</v>
      </c>
      <c r="K2260" s="1" t="s">
        <v>19</v>
      </c>
      <c r="L2260" s="1" t="s">
        <v>77</v>
      </c>
      <c r="M2260" s="1">
        <f>orders[[#This Row],[Ship Date]]-orders[[#This Row],[Order Date]]</f>
        <v>2</v>
      </c>
      <c r="N2260" s="1">
        <f>WEEKNUM(orders[[#This Row],[Order Date]])</f>
        <v>13</v>
      </c>
      <c r="O2260" s="1"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s="1">
        <v>488</v>
      </c>
      <c r="F2261" s="2">
        <v>45741</v>
      </c>
      <c r="G2261" s="2">
        <v>45742</v>
      </c>
      <c r="H2261" s="1" t="s">
        <v>27</v>
      </c>
      <c r="I2261" s="1" t="s">
        <v>40</v>
      </c>
      <c r="J2261" s="1">
        <v>4</v>
      </c>
      <c r="K2261" s="1" t="s">
        <v>19</v>
      </c>
      <c r="L2261" s="1" t="s">
        <v>77</v>
      </c>
      <c r="M2261" s="1">
        <f>orders[[#This Row],[Ship Date]]-orders[[#This Row],[Order Date]]</f>
        <v>1</v>
      </c>
      <c r="N2261" s="1">
        <f>WEEKNUM(orders[[#This Row],[Order Date]])</f>
        <v>13</v>
      </c>
      <c r="O2261" s="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s="1">
        <v>228.60000000000002</v>
      </c>
      <c r="F2262" s="2">
        <v>45741</v>
      </c>
      <c r="G2262" s="2">
        <v>45743</v>
      </c>
      <c r="H2262" s="1" t="s">
        <v>27</v>
      </c>
      <c r="I2262" s="1" t="s">
        <v>18</v>
      </c>
      <c r="J2262" s="1">
        <v>3</v>
      </c>
      <c r="K2262" s="1" t="s">
        <v>19</v>
      </c>
      <c r="L2262" s="1" t="s">
        <v>77</v>
      </c>
      <c r="M2262" s="1">
        <f>orders[[#This Row],[Ship Date]]-orders[[#This Row],[Order Date]]</f>
        <v>2</v>
      </c>
      <c r="N2262" s="1">
        <f>WEEKNUM(orders[[#This Row],[Order Date]])</f>
        <v>13</v>
      </c>
      <c r="O2262" s="1"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s="1">
        <v>188</v>
      </c>
      <c r="F2263" s="2">
        <v>45741</v>
      </c>
      <c r="G2263" s="2">
        <v>45745</v>
      </c>
      <c r="H2263" s="1" t="s">
        <v>23</v>
      </c>
      <c r="I2263" s="1" t="s">
        <v>18</v>
      </c>
      <c r="J2263" s="1">
        <v>4</v>
      </c>
      <c r="K2263" s="1" t="s">
        <v>19</v>
      </c>
      <c r="L2263" s="1" t="s">
        <v>77</v>
      </c>
      <c r="M2263" s="1">
        <f>orders[[#This Row],[Ship Date]]-orders[[#This Row],[Order Date]]</f>
        <v>4</v>
      </c>
      <c r="N2263" s="1">
        <f>WEEKNUM(orders[[#This Row],[Order Date]])</f>
        <v>13</v>
      </c>
      <c r="O2263" s="1"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s="1">
        <v>62.8</v>
      </c>
      <c r="F2264" s="2">
        <v>45741</v>
      </c>
      <c r="G2264" s="2">
        <v>45742</v>
      </c>
      <c r="H2264" s="1" t="s">
        <v>23</v>
      </c>
      <c r="I2264" s="1" t="s">
        <v>18</v>
      </c>
      <c r="J2264" s="1">
        <v>5</v>
      </c>
      <c r="K2264" s="1" t="s">
        <v>19</v>
      </c>
      <c r="L2264" s="1" t="s">
        <v>77</v>
      </c>
      <c r="M2264" s="1">
        <f>orders[[#This Row],[Ship Date]]-orders[[#This Row],[Order Date]]</f>
        <v>1</v>
      </c>
      <c r="N2264" s="1">
        <f>WEEKNUM(orders[[#This Row],[Order Date]])</f>
        <v>13</v>
      </c>
      <c r="O2264" s="1"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s="1">
        <v>123</v>
      </c>
      <c r="F2265" s="2">
        <v>45741</v>
      </c>
      <c r="G2265" s="2">
        <v>45742</v>
      </c>
      <c r="H2265" s="1" t="s">
        <v>23</v>
      </c>
      <c r="I2265" s="1" t="s">
        <v>51</v>
      </c>
      <c r="J2265" s="1">
        <v>4</v>
      </c>
      <c r="K2265" s="1" t="s">
        <v>19</v>
      </c>
      <c r="L2265" s="1" t="s">
        <v>292</v>
      </c>
      <c r="M2265" s="1">
        <f>orders[[#This Row],[Ship Date]]-orders[[#This Row],[Order Date]]</f>
        <v>1</v>
      </c>
      <c r="N2265" s="1">
        <f>WEEKNUM(orders[[#This Row],[Order Date]])</f>
        <v>13</v>
      </c>
      <c r="O2265" s="1"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s="1">
        <v>72.599999999999994</v>
      </c>
      <c r="F2266" s="2">
        <v>45741</v>
      </c>
      <c r="G2266" s="2">
        <v>45742</v>
      </c>
      <c r="H2266" s="1" t="s">
        <v>23</v>
      </c>
      <c r="I2266" s="1" t="s">
        <v>18</v>
      </c>
      <c r="J2266" s="1">
        <v>3</v>
      </c>
      <c r="K2266" s="1" t="s">
        <v>19</v>
      </c>
      <c r="L2266" s="1" t="s">
        <v>115</v>
      </c>
      <c r="M2266" s="1">
        <f>orders[[#This Row],[Ship Date]]-orders[[#This Row],[Order Date]]</f>
        <v>1</v>
      </c>
      <c r="N2266" s="1">
        <f>WEEKNUM(orders[[#This Row],[Order Date]])</f>
        <v>13</v>
      </c>
      <c r="O2266" s="1"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s="1">
        <v>80.699999999999989</v>
      </c>
      <c r="F2267" s="2">
        <v>45741</v>
      </c>
      <c r="G2267" s="2">
        <v>45746</v>
      </c>
      <c r="H2267" s="1" t="s">
        <v>89</v>
      </c>
      <c r="I2267" s="1" t="s">
        <v>70</v>
      </c>
      <c r="J2267" s="1">
        <v>3</v>
      </c>
      <c r="K2267" s="1" t="s">
        <v>19</v>
      </c>
      <c r="L2267" s="1" t="s">
        <v>641</v>
      </c>
      <c r="M2267" s="1">
        <f>orders[[#This Row],[Ship Date]]-orders[[#This Row],[Order Date]]</f>
        <v>5</v>
      </c>
      <c r="N2267" s="1">
        <f>WEEKNUM(orders[[#This Row],[Order Date]])</f>
        <v>13</v>
      </c>
      <c r="O2267" s="1"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s="1">
        <v>352.79999999999995</v>
      </c>
      <c r="F2268" s="2">
        <v>45741</v>
      </c>
      <c r="G2268" s="2">
        <v>45742</v>
      </c>
      <c r="H2268" s="1" t="s">
        <v>27</v>
      </c>
      <c r="I2268" s="1" t="s">
        <v>35</v>
      </c>
      <c r="J2268" s="1">
        <v>4</v>
      </c>
      <c r="K2268" s="1" t="s">
        <v>19</v>
      </c>
      <c r="L2268" s="1" t="s">
        <v>967</v>
      </c>
      <c r="M2268" s="1">
        <f>orders[[#This Row],[Ship Date]]-orders[[#This Row],[Order Date]]</f>
        <v>1</v>
      </c>
      <c r="N2268" s="1">
        <f>WEEKNUM(orders[[#This Row],[Order Date]])</f>
        <v>13</v>
      </c>
      <c r="O2268" s="1"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s="1">
        <v>84.2</v>
      </c>
      <c r="F2269" s="2">
        <v>45741</v>
      </c>
      <c r="G2269" s="2">
        <v>45742</v>
      </c>
      <c r="H2269" s="1" t="s">
        <v>27</v>
      </c>
      <c r="I2269" s="1" t="s">
        <v>51</v>
      </c>
      <c r="J2269" s="1">
        <v>3</v>
      </c>
      <c r="K2269" s="1" t="s">
        <v>19</v>
      </c>
      <c r="L2269" s="1" t="s">
        <v>24</v>
      </c>
      <c r="M2269" s="1">
        <f>orders[[#This Row],[Ship Date]]-orders[[#This Row],[Order Date]]</f>
        <v>1</v>
      </c>
      <c r="N2269" s="1">
        <f>WEEKNUM(orders[[#This Row],[Order Date]])</f>
        <v>13</v>
      </c>
      <c r="O2269" s="1"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s="1">
        <v>40.5</v>
      </c>
      <c r="F2270" s="2">
        <v>45741</v>
      </c>
      <c r="G2270" s="2">
        <v>45742</v>
      </c>
      <c r="H2270" s="1" t="s">
        <v>27</v>
      </c>
      <c r="I2270" s="1" t="s">
        <v>40</v>
      </c>
      <c r="J2270" s="1">
        <v>3</v>
      </c>
      <c r="K2270" s="1" t="s">
        <v>19</v>
      </c>
      <c r="L2270" s="1" t="s">
        <v>24</v>
      </c>
      <c r="M2270" s="1">
        <f>orders[[#This Row],[Ship Date]]-orders[[#This Row],[Order Date]]</f>
        <v>1</v>
      </c>
      <c r="N2270" s="1">
        <f>WEEKNUM(orders[[#This Row],[Order Date]])</f>
        <v>13</v>
      </c>
      <c r="O2270" s="1"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s="1">
        <v>729.2</v>
      </c>
      <c r="F2271" s="2">
        <v>45741</v>
      </c>
      <c r="G2271" s="2">
        <v>45742</v>
      </c>
      <c r="H2271" s="1" t="s">
        <v>27</v>
      </c>
      <c r="I2271" s="1" t="s">
        <v>35</v>
      </c>
      <c r="J2271" s="1">
        <v>4</v>
      </c>
      <c r="K2271" s="1" t="s">
        <v>19</v>
      </c>
      <c r="L2271" s="1" t="s">
        <v>24</v>
      </c>
      <c r="M2271" s="1">
        <f>orders[[#This Row],[Ship Date]]-orders[[#This Row],[Order Date]]</f>
        <v>1</v>
      </c>
      <c r="N2271" s="1">
        <f>WEEKNUM(orders[[#This Row],[Order Date]])</f>
        <v>13</v>
      </c>
      <c r="O2271" s="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s="1">
        <v>785</v>
      </c>
      <c r="F2272" s="2">
        <v>45741</v>
      </c>
      <c r="G2272" s="2">
        <v>45744</v>
      </c>
      <c r="H2272" s="1" t="s">
        <v>27</v>
      </c>
      <c r="I2272" s="1" t="s">
        <v>35</v>
      </c>
      <c r="J2272" s="1">
        <v>5</v>
      </c>
      <c r="K2272" s="1" t="s">
        <v>19</v>
      </c>
      <c r="L2272" s="1" t="s">
        <v>28</v>
      </c>
      <c r="M2272" s="1">
        <f>orders[[#This Row],[Ship Date]]-orders[[#This Row],[Order Date]]</f>
        <v>3</v>
      </c>
      <c r="N2272" s="1">
        <f>WEEKNUM(orders[[#This Row],[Order Date]])</f>
        <v>13</v>
      </c>
      <c r="O2272" s="1"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s="1">
        <v>226</v>
      </c>
      <c r="F2273" s="2">
        <v>45741</v>
      </c>
      <c r="G2273" s="2">
        <v>45744</v>
      </c>
      <c r="H2273" s="1" t="s">
        <v>27</v>
      </c>
      <c r="I2273" s="1" t="s">
        <v>35</v>
      </c>
      <c r="J2273" s="1">
        <v>4</v>
      </c>
      <c r="K2273" s="1" t="s">
        <v>19</v>
      </c>
      <c r="L2273" s="1" t="s">
        <v>147</v>
      </c>
      <c r="M2273" s="1">
        <f>orders[[#This Row],[Ship Date]]-orders[[#This Row],[Order Date]]</f>
        <v>3</v>
      </c>
      <c r="N2273" s="1">
        <f>WEEKNUM(orders[[#This Row],[Order Date]])</f>
        <v>13</v>
      </c>
      <c r="O2273" s="1"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s="1">
        <v>109.6</v>
      </c>
      <c r="F2274" s="2">
        <v>45741</v>
      </c>
      <c r="G2274" s="2">
        <v>45743</v>
      </c>
      <c r="H2274" s="1" t="s">
        <v>27</v>
      </c>
      <c r="I2274" s="1" t="s">
        <v>18</v>
      </c>
      <c r="J2274" s="1">
        <v>4</v>
      </c>
      <c r="K2274" s="1" t="s">
        <v>19</v>
      </c>
      <c r="L2274" s="1" t="s">
        <v>33</v>
      </c>
      <c r="M2274" s="1">
        <f>orders[[#This Row],[Ship Date]]-orders[[#This Row],[Order Date]]</f>
        <v>2</v>
      </c>
      <c r="N2274" s="1">
        <f>WEEKNUM(orders[[#This Row],[Order Date]])</f>
        <v>13</v>
      </c>
      <c r="O2274" s="1"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s="1">
        <v>170.5</v>
      </c>
      <c r="F2275" s="2">
        <v>45741</v>
      </c>
      <c r="G2275" s="2">
        <v>45743</v>
      </c>
      <c r="H2275" s="1" t="s">
        <v>23</v>
      </c>
      <c r="I2275" s="1" t="s">
        <v>18</v>
      </c>
      <c r="J2275" s="1">
        <v>5</v>
      </c>
      <c r="K2275" s="1" t="s">
        <v>19</v>
      </c>
      <c r="L2275" s="1" t="s">
        <v>33</v>
      </c>
      <c r="M2275" s="1">
        <f>orders[[#This Row],[Ship Date]]-orders[[#This Row],[Order Date]]</f>
        <v>2</v>
      </c>
      <c r="N2275" s="1">
        <f>WEEKNUM(orders[[#This Row],[Order Date]])</f>
        <v>13</v>
      </c>
      <c r="O2275" s="1"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s="1">
        <v>52</v>
      </c>
      <c r="F2276" s="2">
        <v>45741</v>
      </c>
      <c r="G2276" s="2">
        <v>45743</v>
      </c>
      <c r="H2276" s="1" t="s">
        <v>23</v>
      </c>
      <c r="I2276" s="1" t="s">
        <v>40</v>
      </c>
      <c r="J2276" s="1">
        <v>3</v>
      </c>
      <c r="K2276" s="1" t="s">
        <v>19</v>
      </c>
      <c r="L2276" s="1" t="s">
        <v>33</v>
      </c>
      <c r="M2276" s="1">
        <f>orders[[#This Row],[Ship Date]]-orders[[#This Row],[Order Date]]</f>
        <v>2</v>
      </c>
      <c r="N2276" s="1">
        <f>WEEKNUM(orders[[#This Row],[Order Date]])</f>
        <v>13</v>
      </c>
      <c r="O2276" s="1"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s="1">
        <v>135.79999999999998</v>
      </c>
      <c r="F2277" s="2">
        <v>45741</v>
      </c>
      <c r="G2277" s="2">
        <v>45743</v>
      </c>
      <c r="H2277" s="1" t="s">
        <v>17</v>
      </c>
      <c r="I2277" s="1" t="s">
        <v>35</v>
      </c>
      <c r="J2277" s="1">
        <v>3</v>
      </c>
      <c r="K2277" s="1" t="s">
        <v>19</v>
      </c>
      <c r="L2277" s="1" t="s">
        <v>33</v>
      </c>
      <c r="M2277" s="1">
        <f>orders[[#This Row],[Ship Date]]-orders[[#This Row],[Order Date]]</f>
        <v>2</v>
      </c>
      <c r="N2277" s="1">
        <f>WEEKNUM(orders[[#This Row],[Order Date]])</f>
        <v>13</v>
      </c>
      <c r="O2277" s="1"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s="1">
        <v>90.9</v>
      </c>
      <c r="F2278" s="2">
        <v>45741</v>
      </c>
      <c r="G2278" s="2">
        <v>45744</v>
      </c>
      <c r="H2278" s="1" t="s">
        <v>27</v>
      </c>
      <c r="I2278" s="1" t="s">
        <v>35</v>
      </c>
      <c r="J2278" s="1">
        <v>5</v>
      </c>
      <c r="K2278" s="1" t="s">
        <v>19</v>
      </c>
      <c r="L2278" s="1" t="s">
        <v>33</v>
      </c>
      <c r="M2278" s="1">
        <f>orders[[#This Row],[Ship Date]]-orders[[#This Row],[Order Date]]</f>
        <v>3</v>
      </c>
      <c r="N2278" s="1">
        <f>WEEKNUM(orders[[#This Row],[Order Date]])</f>
        <v>13</v>
      </c>
      <c r="O2278" s="1"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s="1">
        <v>304.20000000000005</v>
      </c>
      <c r="F2279" s="2">
        <v>45741</v>
      </c>
      <c r="G2279" s="2">
        <v>45742</v>
      </c>
      <c r="H2279" s="1" t="s">
        <v>23</v>
      </c>
      <c r="I2279" s="1" t="s">
        <v>18</v>
      </c>
      <c r="J2279" s="1">
        <v>4</v>
      </c>
      <c r="K2279" s="1" t="s">
        <v>19</v>
      </c>
      <c r="L2279" s="1" t="s">
        <v>33</v>
      </c>
      <c r="M2279" s="1">
        <f>orders[[#This Row],[Ship Date]]-orders[[#This Row],[Order Date]]</f>
        <v>1</v>
      </c>
      <c r="N2279" s="1">
        <f>WEEKNUM(orders[[#This Row],[Order Date]])</f>
        <v>13</v>
      </c>
      <c r="O2279" s="1"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s="1">
        <v>277.5</v>
      </c>
      <c r="F2280" s="2">
        <v>45741</v>
      </c>
      <c r="G2280" s="2">
        <v>45744</v>
      </c>
      <c r="H2280" s="1" t="s">
        <v>23</v>
      </c>
      <c r="I2280" s="1" t="s">
        <v>35</v>
      </c>
      <c r="J2280" s="1">
        <v>4</v>
      </c>
      <c r="K2280" s="1" t="s">
        <v>19</v>
      </c>
      <c r="L2280" s="1" t="s">
        <v>186</v>
      </c>
      <c r="M2280" s="1">
        <f>orders[[#This Row],[Ship Date]]-orders[[#This Row],[Order Date]]</f>
        <v>3</v>
      </c>
      <c r="N2280" s="1">
        <f>WEEKNUM(orders[[#This Row],[Order Date]])</f>
        <v>13</v>
      </c>
      <c r="O2280" s="1"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s="1">
        <v>23.1</v>
      </c>
      <c r="F2281" s="2">
        <v>45741</v>
      </c>
      <c r="G2281" s="2">
        <v>45742</v>
      </c>
      <c r="H2281" s="1" t="s">
        <v>23</v>
      </c>
      <c r="I2281" s="1" t="s">
        <v>18</v>
      </c>
      <c r="J2281" s="1">
        <v>4</v>
      </c>
      <c r="K2281" s="1" t="s">
        <v>19</v>
      </c>
      <c r="L2281" s="1" t="s">
        <v>188</v>
      </c>
      <c r="M2281" s="1">
        <f>orders[[#This Row],[Ship Date]]-orders[[#This Row],[Order Date]]</f>
        <v>1</v>
      </c>
      <c r="N2281" s="1">
        <f>WEEKNUM(orders[[#This Row],[Order Date]])</f>
        <v>13</v>
      </c>
      <c r="O2281" s="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s="1">
        <v>77.8</v>
      </c>
      <c r="F2282" s="2">
        <v>45741</v>
      </c>
      <c r="G2282" s="2">
        <v>45742</v>
      </c>
      <c r="H2282" s="1" t="s">
        <v>23</v>
      </c>
      <c r="I2282" s="1" t="s">
        <v>40</v>
      </c>
      <c r="J2282" s="1">
        <v>4</v>
      </c>
      <c r="K2282" s="1" t="s">
        <v>19</v>
      </c>
      <c r="L2282" s="1" t="s">
        <v>188</v>
      </c>
      <c r="M2282" s="1">
        <f>orders[[#This Row],[Ship Date]]-orders[[#This Row],[Order Date]]</f>
        <v>1</v>
      </c>
      <c r="N2282" s="1">
        <f>WEEKNUM(orders[[#This Row],[Order Date]])</f>
        <v>13</v>
      </c>
      <c r="O2282" s="1"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s="1">
        <v>1046.7</v>
      </c>
      <c r="F2283" s="2">
        <v>45741</v>
      </c>
      <c r="G2283" s="2">
        <v>45745</v>
      </c>
      <c r="H2283" s="1" t="s">
        <v>27</v>
      </c>
      <c r="I2283" s="1" t="s">
        <v>18</v>
      </c>
      <c r="J2283" s="1">
        <v>4</v>
      </c>
      <c r="K2283" s="1" t="s">
        <v>19</v>
      </c>
      <c r="L2283" s="1" t="s">
        <v>52</v>
      </c>
      <c r="M2283" s="1">
        <f>orders[[#This Row],[Ship Date]]-orders[[#This Row],[Order Date]]</f>
        <v>4</v>
      </c>
      <c r="N2283" s="1">
        <f>WEEKNUM(orders[[#This Row],[Order Date]])</f>
        <v>13</v>
      </c>
      <c r="O2283" s="1"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s="1">
        <v>576.9</v>
      </c>
      <c r="F2284" s="2">
        <v>45741</v>
      </c>
      <c r="G2284" s="2">
        <v>45741</v>
      </c>
      <c r="H2284" s="1" t="s">
        <v>27</v>
      </c>
      <c r="I2284" s="1" t="s">
        <v>18</v>
      </c>
      <c r="J2284" s="1">
        <v>5</v>
      </c>
      <c r="K2284" s="1" t="s">
        <v>19</v>
      </c>
      <c r="L2284" s="1" t="s">
        <v>55</v>
      </c>
      <c r="M2284" s="1">
        <f>orders[[#This Row],[Ship Date]]-orders[[#This Row],[Order Date]]</f>
        <v>0</v>
      </c>
      <c r="N2284" s="1">
        <f>WEEKNUM(orders[[#This Row],[Order Date]])</f>
        <v>13</v>
      </c>
      <c r="O2284" s="1"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s="1">
        <v>655.20000000000005</v>
      </c>
      <c r="F2285" s="2">
        <v>45741</v>
      </c>
      <c r="G2285" s="2">
        <v>45743</v>
      </c>
      <c r="H2285" s="1" t="s">
        <v>23</v>
      </c>
      <c r="I2285" s="1" t="s">
        <v>18</v>
      </c>
      <c r="J2285" s="1">
        <v>3</v>
      </c>
      <c r="K2285" s="1" t="s">
        <v>19</v>
      </c>
      <c r="L2285" s="1" t="s">
        <v>62</v>
      </c>
      <c r="M2285" s="1">
        <f>orders[[#This Row],[Ship Date]]-orders[[#This Row],[Order Date]]</f>
        <v>2</v>
      </c>
      <c r="N2285" s="1">
        <f>WEEKNUM(orders[[#This Row],[Order Date]])</f>
        <v>13</v>
      </c>
      <c r="O2285" s="1"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s="1">
        <v>116</v>
      </c>
      <c r="F2286" s="2">
        <v>45742</v>
      </c>
      <c r="G2286" s="2">
        <v>45743</v>
      </c>
      <c r="H2286" s="1" t="s">
        <v>23</v>
      </c>
      <c r="I2286" s="1" t="s">
        <v>18</v>
      </c>
      <c r="J2286" s="1">
        <v>3</v>
      </c>
      <c r="K2286" s="1" t="s">
        <v>19</v>
      </c>
      <c r="L2286" s="1" t="s">
        <v>62</v>
      </c>
      <c r="M2286" s="1">
        <f>orders[[#This Row],[Ship Date]]-orders[[#This Row],[Order Date]]</f>
        <v>1</v>
      </c>
      <c r="N2286" s="1">
        <f>WEEKNUM(orders[[#This Row],[Order Date]])</f>
        <v>13</v>
      </c>
      <c r="O2286" s="1"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s="1">
        <v>487.20000000000005</v>
      </c>
      <c r="F2287" s="2">
        <v>45742</v>
      </c>
      <c r="G2287" s="2">
        <v>45744</v>
      </c>
      <c r="H2287" s="1" t="s">
        <v>23</v>
      </c>
      <c r="I2287" s="1" t="s">
        <v>40</v>
      </c>
      <c r="J2287" s="1">
        <v>5</v>
      </c>
      <c r="K2287" s="1" t="s">
        <v>19</v>
      </c>
      <c r="L2287" s="1" t="s">
        <v>62</v>
      </c>
      <c r="M2287" s="1">
        <f>orders[[#This Row],[Ship Date]]-orders[[#This Row],[Order Date]]</f>
        <v>2</v>
      </c>
      <c r="N2287" s="1">
        <f>WEEKNUM(orders[[#This Row],[Order Date]])</f>
        <v>13</v>
      </c>
      <c r="O2287" s="1"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s="1">
        <v>499.80000000000007</v>
      </c>
      <c r="F2288" s="2">
        <v>45742</v>
      </c>
      <c r="G2288" s="2">
        <v>45743</v>
      </c>
      <c r="H2288" s="1" t="s">
        <v>23</v>
      </c>
      <c r="I2288" s="1" t="s">
        <v>51</v>
      </c>
      <c r="J2288" s="1">
        <v>4</v>
      </c>
      <c r="K2288" s="1" t="s">
        <v>19</v>
      </c>
      <c r="L2288" s="1" t="s">
        <v>62</v>
      </c>
      <c r="M2288" s="1">
        <f>orders[[#This Row],[Ship Date]]-orders[[#This Row],[Order Date]]</f>
        <v>1</v>
      </c>
      <c r="N2288" s="1">
        <f>WEEKNUM(orders[[#This Row],[Order Date]])</f>
        <v>13</v>
      </c>
      <c r="O2288" s="1"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s="1">
        <v>89</v>
      </c>
      <c r="F2289" s="2">
        <v>45742</v>
      </c>
      <c r="G2289" s="2">
        <v>45745</v>
      </c>
      <c r="H2289" s="1" t="s">
        <v>23</v>
      </c>
      <c r="I2289" s="1" t="s">
        <v>70</v>
      </c>
      <c r="J2289" s="1">
        <v>4</v>
      </c>
      <c r="K2289" s="1" t="s">
        <v>19</v>
      </c>
      <c r="L2289" s="1" t="s">
        <v>72</v>
      </c>
      <c r="M2289" s="1">
        <f>orders[[#This Row],[Ship Date]]-orders[[#This Row],[Order Date]]</f>
        <v>3</v>
      </c>
      <c r="N2289" s="1">
        <f>WEEKNUM(orders[[#This Row],[Order Date]])</f>
        <v>13</v>
      </c>
      <c r="O2289" s="1"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s="1">
        <v>160</v>
      </c>
      <c r="F2290" s="2">
        <v>45742</v>
      </c>
      <c r="G2290" s="2">
        <v>45744</v>
      </c>
      <c r="H2290" s="1" t="s">
        <v>89</v>
      </c>
      <c r="I2290" s="1" t="s">
        <v>35</v>
      </c>
      <c r="J2290" s="1">
        <v>3</v>
      </c>
      <c r="K2290" s="1" t="s">
        <v>19</v>
      </c>
      <c r="L2290" s="1" t="s">
        <v>72</v>
      </c>
      <c r="M2290" s="1">
        <f>orders[[#This Row],[Ship Date]]-orders[[#This Row],[Order Date]]</f>
        <v>2</v>
      </c>
      <c r="N2290" s="1">
        <f>WEEKNUM(orders[[#This Row],[Order Date]])</f>
        <v>13</v>
      </c>
      <c r="O2290" s="1"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s="1">
        <v>25.7</v>
      </c>
      <c r="F2291" s="2">
        <v>45742</v>
      </c>
      <c r="G2291" s="2">
        <v>45743</v>
      </c>
      <c r="H2291" s="1" t="s">
        <v>23</v>
      </c>
      <c r="I2291" s="1" t="s">
        <v>18</v>
      </c>
      <c r="J2291" s="1">
        <v>4</v>
      </c>
      <c r="K2291" s="1" t="s">
        <v>19</v>
      </c>
      <c r="L2291" s="1" t="s">
        <v>74</v>
      </c>
      <c r="M2291" s="1">
        <f>orders[[#This Row],[Ship Date]]-orders[[#This Row],[Order Date]]</f>
        <v>1</v>
      </c>
      <c r="N2291" s="1">
        <f>WEEKNUM(orders[[#This Row],[Order Date]])</f>
        <v>13</v>
      </c>
      <c r="O2291" s="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s="1">
        <v>196.79999999999998</v>
      </c>
      <c r="F2292" s="2">
        <v>45742</v>
      </c>
      <c r="G2292" s="2">
        <v>45748</v>
      </c>
      <c r="H2292" s="1" t="s">
        <v>23</v>
      </c>
      <c r="I2292" s="1" t="s">
        <v>18</v>
      </c>
      <c r="J2292" s="1">
        <v>4</v>
      </c>
      <c r="K2292" s="1" t="s">
        <v>19</v>
      </c>
      <c r="L2292" s="1" t="s">
        <v>77</v>
      </c>
      <c r="M2292" s="1">
        <f>orders[[#This Row],[Ship Date]]-orders[[#This Row],[Order Date]]</f>
        <v>6</v>
      </c>
      <c r="N2292" s="1">
        <f>WEEKNUM(orders[[#This Row],[Order Date]])</f>
        <v>13</v>
      </c>
      <c r="O2292" s="1"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s="1">
        <v>208.4</v>
      </c>
      <c r="F2293" s="2">
        <v>45742</v>
      </c>
      <c r="G2293" s="2">
        <v>45743</v>
      </c>
      <c r="H2293" s="1" t="s">
        <v>27</v>
      </c>
      <c r="I2293" s="1" t="s">
        <v>18</v>
      </c>
      <c r="J2293" s="1">
        <v>5</v>
      </c>
      <c r="K2293" s="1" t="s">
        <v>19</v>
      </c>
      <c r="L2293" s="1" t="s">
        <v>77</v>
      </c>
      <c r="M2293" s="1">
        <f>orders[[#This Row],[Ship Date]]-orders[[#This Row],[Order Date]]</f>
        <v>1</v>
      </c>
      <c r="N2293" s="1">
        <f>WEEKNUM(orders[[#This Row],[Order Date]])</f>
        <v>13</v>
      </c>
      <c r="O2293" s="1"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s="1">
        <v>31</v>
      </c>
      <c r="F2294" s="2">
        <v>45742</v>
      </c>
      <c r="G2294" s="2">
        <v>45743</v>
      </c>
      <c r="H2294" s="1" t="s">
        <v>23</v>
      </c>
      <c r="I2294" s="1" t="s">
        <v>18</v>
      </c>
      <c r="J2294" s="1">
        <v>3</v>
      </c>
      <c r="K2294" s="1" t="s">
        <v>19</v>
      </c>
      <c r="L2294" s="1" t="s">
        <v>110</v>
      </c>
      <c r="M2294" s="1">
        <f>orders[[#This Row],[Ship Date]]-orders[[#This Row],[Order Date]]</f>
        <v>1</v>
      </c>
      <c r="N2294" s="1">
        <f>WEEKNUM(orders[[#This Row],[Order Date]])</f>
        <v>13</v>
      </c>
      <c r="O2294" s="1"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s="1">
        <v>32</v>
      </c>
      <c r="F2295" s="2">
        <v>45742</v>
      </c>
      <c r="G2295" s="2">
        <v>45744</v>
      </c>
      <c r="H2295" s="1" t="s">
        <v>89</v>
      </c>
      <c r="I2295" s="1" t="s">
        <v>51</v>
      </c>
      <c r="J2295" s="1">
        <v>3</v>
      </c>
      <c r="K2295" s="1" t="s">
        <v>19</v>
      </c>
      <c r="L2295" s="1" t="s">
        <v>292</v>
      </c>
      <c r="M2295" s="1">
        <f>orders[[#This Row],[Ship Date]]-orders[[#This Row],[Order Date]]</f>
        <v>2</v>
      </c>
      <c r="N2295" s="1">
        <f>WEEKNUM(orders[[#This Row],[Order Date]])</f>
        <v>13</v>
      </c>
      <c r="O2295" s="1"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s="1">
        <v>233.2</v>
      </c>
      <c r="F2296" s="2">
        <v>45742</v>
      </c>
      <c r="G2296" s="2">
        <v>45746</v>
      </c>
      <c r="H2296" s="1" t="s">
        <v>23</v>
      </c>
      <c r="I2296" s="1" t="s">
        <v>35</v>
      </c>
      <c r="J2296" s="1">
        <v>2</v>
      </c>
      <c r="K2296" s="1" t="s">
        <v>19</v>
      </c>
      <c r="L2296" s="1" t="s">
        <v>113</v>
      </c>
      <c r="M2296" s="1">
        <f>orders[[#This Row],[Ship Date]]-orders[[#This Row],[Order Date]]</f>
        <v>4</v>
      </c>
      <c r="N2296" s="1">
        <f>WEEKNUM(orders[[#This Row],[Order Date]])</f>
        <v>13</v>
      </c>
      <c r="O2296" s="1"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s="1">
        <v>93</v>
      </c>
      <c r="F2297" s="2">
        <v>45742</v>
      </c>
      <c r="G2297" s="2">
        <v>45744</v>
      </c>
      <c r="H2297" s="1" t="s">
        <v>27</v>
      </c>
      <c r="I2297" s="1" t="s">
        <v>40</v>
      </c>
      <c r="J2297" s="1">
        <v>2</v>
      </c>
      <c r="K2297" s="1" t="s">
        <v>19</v>
      </c>
      <c r="L2297" s="1" t="s">
        <v>82</v>
      </c>
      <c r="M2297" s="1">
        <f>orders[[#This Row],[Ship Date]]-orders[[#This Row],[Order Date]]</f>
        <v>2</v>
      </c>
      <c r="N2297" s="1">
        <f>WEEKNUM(orders[[#This Row],[Order Date]])</f>
        <v>13</v>
      </c>
      <c r="O2297" s="1"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s="1">
        <v>40.299999999999997</v>
      </c>
      <c r="F2298" s="2">
        <v>45742</v>
      </c>
      <c r="G2298" s="2">
        <v>45743</v>
      </c>
      <c r="H2298" s="1" t="s">
        <v>23</v>
      </c>
      <c r="I2298" s="1" t="s">
        <v>35</v>
      </c>
      <c r="J2298" s="1">
        <v>5</v>
      </c>
      <c r="K2298" s="1" t="s">
        <v>19</v>
      </c>
      <c r="L2298" s="1" t="s">
        <v>1383</v>
      </c>
      <c r="M2298" s="1">
        <f>orders[[#This Row],[Ship Date]]-orders[[#This Row],[Order Date]]</f>
        <v>1</v>
      </c>
      <c r="N2298" s="1">
        <f>WEEKNUM(orders[[#This Row],[Order Date]])</f>
        <v>13</v>
      </c>
      <c r="O2298" s="1"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s="1">
        <v>141.89999999999998</v>
      </c>
      <c r="F2299" s="2">
        <v>45742</v>
      </c>
      <c r="G2299" s="2">
        <v>45744</v>
      </c>
      <c r="H2299" s="1" t="s">
        <v>23</v>
      </c>
      <c r="I2299" s="1" t="s">
        <v>70</v>
      </c>
      <c r="J2299" s="1">
        <v>5</v>
      </c>
      <c r="K2299" s="1" t="s">
        <v>19</v>
      </c>
      <c r="L2299" s="1" t="s">
        <v>28</v>
      </c>
      <c r="M2299" s="1">
        <f>orders[[#This Row],[Ship Date]]-orders[[#This Row],[Order Date]]</f>
        <v>2</v>
      </c>
      <c r="N2299" s="1">
        <f>WEEKNUM(orders[[#This Row],[Order Date]])</f>
        <v>13</v>
      </c>
      <c r="O2299" s="1"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s="1">
        <v>82.8</v>
      </c>
      <c r="F2300" s="2">
        <v>45742</v>
      </c>
      <c r="G2300" s="2">
        <v>45743</v>
      </c>
      <c r="H2300" s="1" t="s">
        <v>23</v>
      </c>
      <c r="I2300" s="1" t="s">
        <v>18</v>
      </c>
      <c r="J2300" s="1">
        <v>4</v>
      </c>
      <c r="K2300" s="1" t="s">
        <v>19</v>
      </c>
      <c r="L2300" s="1" t="s">
        <v>28</v>
      </c>
      <c r="M2300" s="1">
        <f>orders[[#This Row],[Ship Date]]-orders[[#This Row],[Order Date]]</f>
        <v>1</v>
      </c>
      <c r="N2300" s="1">
        <f>WEEKNUM(orders[[#This Row],[Order Date]])</f>
        <v>13</v>
      </c>
      <c r="O2300" s="1"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s="1">
        <v>18.5</v>
      </c>
      <c r="F2301" s="2">
        <v>45742</v>
      </c>
      <c r="G2301" s="2">
        <v>45756</v>
      </c>
      <c r="H2301" s="1" t="s">
        <v>27</v>
      </c>
      <c r="I2301" s="1" t="s">
        <v>18</v>
      </c>
      <c r="J2301" s="1">
        <v>4</v>
      </c>
      <c r="K2301" s="1" t="s">
        <v>19</v>
      </c>
      <c r="L2301" s="1" t="s">
        <v>587</v>
      </c>
      <c r="M2301" s="1">
        <f>orders[[#This Row],[Ship Date]]-orders[[#This Row],[Order Date]]</f>
        <v>14</v>
      </c>
      <c r="N2301" s="1">
        <f>WEEKNUM(orders[[#This Row],[Order Date]])</f>
        <v>13</v>
      </c>
      <c r="O2301" s="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s="1">
        <v>120.8</v>
      </c>
      <c r="F2302" s="2">
        <v>45742</v>
      </c>
      <c r="G2302" s="2">
        <v>45743</v>
      </c>
      <c r="H2302" s="1" t="s">
        <v>23</v>
      </c>
      <c r="I2302" s="1" t="s">
        <v>40</v>
      </c>
      <c r="J2302" s="1">
        <v>4</v>
      </c>
      <c r="K2302" s="1" t="s">
        <v>19</v>
      </c>
      <c r="L2302" s="1" t="s">
        <v>147</v>
      </c>
      <c r="M2302" s="1">
        <f>orders[[#This Row],[Ship Date]]-orders[[#This Row],[Order Date]]</f>
        <v>1</v>
      </c>
      <c r="N2302" s="1">
        <f>WEEKNUM(orders[[#This Row],[Order Date]])</f>
        <v>13</v>
      </c>
      <c r="O2302" s="1"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s="1">
        <v>401</v>
      </c>
      <c r="F2303" s="2">
        <v>45742</v>
      </c>
      <c r="G2303" s="2">
        <v>45749</v>
      </c>
      <c r="H2303" s="1" t="s">
        <v>23</v>
      </c>
      <c r="I2303" s="1" t="s">
        <v>35</v>
      </c>
      <c r="J2303" s="1">
        <v>3</v>
      </c>
      <c r="K2303" s="1" t="s">
        <v>19</v>
      </c>
      <c r="L2303" s="1" t="s">
        <v>949</v>
      </c>
      <c r="M2303" s="1">
        <f>orders[[#This Row],[Ship Date]]-orders[[#This Row],[Order Date]]</f>
        <v>7</v>
      </c>
      <c r="N2303" s="1">
        <f>WEEKNUM(orders[[#This Row],[Order Date]])</f>
        <v>13</v>
      </c>
      <c r="O2303" s="1"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s="1">
        <v>41.5</v>
      </c>
      <c r="F2304" s="2">
        <v>45742</v>
      </c>
      <c r="G2304" s="2">
        <v>45744</v>
      </c>
      <c r="H2304" s="1" t="s">
        <v>23</v>
      </c>
      <c r="I2304" s="1" t="s">
        <v>40</v>
      </c>
      <c r="J2304" s="1">
        <v>4</v>
      </c>
      <c r="K2304" s="1" t="s">
        <v>19</v>
      </c>
      <c r="L2304" s="1" t="s">
        <v>33</v>
      </c>
      <c r="M2304" s="1">
        <f>orders[[#This Row],[Ship Date]]-orders[[#This Row],[Order Date]]</f>
        <v>2</v>
      </c>
      <c r="N2304" s="1">
        <f>WEEKNUM(orders[[#This Row],[Order Date]])</f>
        <v>13</v>
      </c>
      <c r="O2304" s="1"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s="1">
        <v>167.8</v>
      </c>
      <c r="F2305" s="2">
        <v>45742</v>
      </c>
      <c r="G2305" s="2">
        <v>45745</v>
      </c>
      <c r="H2305" s="1" t="s">
        <v>27</v>
      </c>
      <c r="I2305" s="1" t="s">
        <v>18</v>
      </c>
      <c r="J2305" s="1">
        <v>4</v>
      </c>
      <c r="K2305" s="1" t="s">
        <v>19</v>
      </c>
      <c r="L2305" s="1" t="s">
        <v>33</v>
      </c>
      <c r="M2305" s="1">
        <f>orders[[#This Row],[Ship Date]]-orders[[#This Row],[Order Date]]</f>
        <v>3</v>
      </c>
      <c r="N2305" s="1">
        <f>WEEKNUM(orders[[#This Row],[Order Date]])</f>
        <v>13</v>
      </c>
      <c r="O2305" s="1"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s="1">
        <v>33.4</v>
      </c>
      <c r="F2306" s="2">
        <v>45742</v>
      </c>
      <c r="G2306" s="2">
        <v>45746</v>
      </c>
      <c r="H2306" s="1" t="s">
        <v>27</v>
      </c>
      <c r="I2306" s="1" t="s">
        <v>18</v>
      </c>
      <c r="J2306" s="1">
        <v>3</v>
      </c>
      <c r="K2306" s="1" t="s">
        <v>19</v>
      </c>
      <c r="L2306" s="1" t="s">
        <v>33</v>
      </c>
      <c r="M2306" s="1">
        <f>orders[[#This Row],[Ship Date]]-orders[[#This Row],[Order Date]]</f>
        <v>4</v>
      </c>
      <c r="N2306" s="1">
        <f>WEEKNUM(orders[[#This Row],[Order Date]])</f>
        <v>13</v>
      </c>
      <c r="O2306" s="1"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s="1">
        <v>145.80000000000001</v>
      </c>
      <c r="F2307" s="2">
        <v>45742</v>
      </c>
      <c r="G2307" s="2">
        <v>45743</v>
      </c>
      <c r="H2307" s="1" t="s">
        <v>23</v>
      </c>
      <c r="I2307" s="1" t="s">
        <v>40</v>
      </c>
      <c r="J2307" s="1">
        <v>3</v>
      </c>
      <c r="K2307" s="1" t="s">
        <v>19</v>
      </c>
      <c r="L2307" s="1" t="s">
        <v>33</v>
      </c>
      <c r="M2307" s="1">
        <f>orders[[#This Row],[Ship Date]]-orders[[#This Row],[Order Date]]</f>
        <v>1</v>
      </c>
      <c r="N2307" s="1">
        <f>WEEKNUM(orders[[#This Row],[Order Date]])</f>
        <v>13</v>
      </c>
      <c r="O2307" s="1"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s="1">
        <v>100.4</v>
      </c>
      <c r="F2308" s="2">
        <v>45742</v>
      </c>
      <c r="G2308" s="2">
        <v>45744</v>
      </c>
      <c r="H2308" s="1" t="s">
        <v>27</v>
      </c>
      <c r="I2308" s="1" t="s">
        <v>35</v>
      </c>
      <c r="J2308" s="1">
        <v>5</v>
      </c>
      <c r="K2308" s="1" t="s">
        <v>19</v>
      </c>
      <c r="L2308" s="1" t="s">
        <v>33</v>
      </c>
      <c r="M2308" s="1">
        <f>orders[[#This Row],[Ship Date]]-orders[[#This Row],[Order Date]]</f>
        <v>2</v>
      </c>
      <c r="N2308" s="1">
        <f>WEEKNUM(orders[[#This Row],[Order Date]])</f>
        <v>13</v>
      </c>
      <c r="O2308" s="1"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s="1">
        <v>68.400000000000006</v>
      </c>
      <c r="F2309" s="2">
        <v>45742</v>
      </c>
      <c r="G2309" s="2">
        <v>45752</v>
      </c>
      <c r="H2309" s="1" t="s">
        <v>17</v>
      </c>
      <c r="I2309" s="1" t="s">
        <v>35</v>
      </c>
      <c r="J2309" s="1">
        <v>4</v>
      </c>
      <c r="K2309" s="1" t="s">
        <v>19</v>
      </c>
      <c r="L2309" s="1" t="s">
        <v>33</v>
      </c>
      <c r="M2309" s="1">
        <f>orders[[#This Row],[Ship Date]]-orders[[#This Row],[Order Date]]</f>
        <v>10</v>
      </c>
      <c r="N2309" s="1">
        <f>WEEKNUM(orders[[#This Row],[Order Date]])</f>
        <v>13</v>
      </c>
      <c r="O2309" s="1"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s="1">
        <v>215.8</v>
      </c>
      <c r="F2310" s="2">
        <v>45742</v>
      </c>
      <c r="G2310" s="2">
        <v>45742</v>
      </c>
      <c r="H2310" s="1" t="s">
        <v>23</v>
      </c>
      <c r="I2310" s="1" t="s">
        <v>35</v>
      </c>
      <c r="J2310" s="1">
        <v>2</v>
      </c>
      <c r="K2310" s="1" t="s">
        <v>19</v>
      </c>
      <c r="L2310" s="1" t="s">
        <v>33</v>
      </c>
      <c r="M2310" s="1">
        <f>orders[[#This Row],[Ship Date]]-orders[[#This Row],[Order Date]]</f>
        <v>0</v>
      </c>
      <c r="N2310" s="1">
        <f>WEEKNUM(orders[[#This Row],[Order Date]])</f>
        <v>13</v>
      </c>
      <c r="O2310" s="1"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s="1">
        <v>52.5</v>
      </c>
      <c r="F2311" s="2">
        <v>45742</v>
      </c>
      <c r="G2311" s="2">
        <v>45744</v>
      </c>
      <c r="H2311" s="1" t="s">
        <v>23</v>
      </c>
      <c r="I2311" s="1" t="s">
        <v>70</v>
      </c>
      <c r="J2311" s="1">
        <v>4</v>
      </c>
      <c r="K2311" s="1" t="s">
        <v>19</v>
      </c>
      <c r="L2311" s="1" t="s">
        <v>33</v>
      </c>
      <c r="M2311" s="1">
        <f>orders[[#This Row],[Ship Date]]-orders[[#This Row],[Order Date]]</f>
        <v>2</v>
      </c>
      <c r="N2311" s="1">
        <f>WEEKNUM(orders[[#This Row],[Order Date]])</f>
        <v>13</v>
      </c>
      <c r="O2311" s="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s="1">
        <v>670.5</v>
      </c>
      <c r="F2312" s="2">
        <v>45742</v>
      </c>
      <c r="G2312" s="2">
        <v>45743</v>
      </c>
      <c r="H2312" s="1" t="s">
        <v>23</v>
      </c>
      <c r="I2312" s="1" t="s">
        <v>18</v>
      </c>
      <c r="J2312" s="1">
        <v>3</v>
      </c>
      <c r="K2312" s="1" t="s">
        <v>19</v>
      </c>
      <c r="L2312" s="1" t="s">
        <v>33</v>
      </c>
      <c r="M2312" s="1">
        <f>orders[[#This Row],[Ship Date]]-orders[[#This Row],[Order Date]]</f>
        <v>1</v>
      </c>
      <c r="N2312" s="1">
        <f>WEEKNUM(orders[[#This Row],[Order Date]])</f>
        <v>13</v>
      </c>
      <c r="O2312" s="1"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s="1">
        <v>556.20000000000005</v>
      </c>
      <c r="F2313" s="2">
        <v>45742</v>
      </c>
      <c r="G2313" s="2">
        <v>45744</v>
      </c>
      <c r="H2313" s="1" t="s">
        <v>27</v>
      </c>
      <c r="I2313" s="1" t="s">
        <v>40</v>
      </c>
      <c r="J2313" s="1">
        <v>3</v>
      </c>
      <c r="K2313" s="1" t="s">
        <v>19</v>
      </c>
      <c r="L2313" s="1" t="s">
        <v>33</v>
      </c>
      <c r="M2313" s="1">
        <f>orders[[#This Row],[Ship Date]]-orders[[#This Row],[Order Date]]</f>
        <v>2</v>
      </c>
      <c r="N2313" s="1">
        <f>WEEKNUM(orders[[#This Row],[Order Date]])</f>
        <v>13</v>
      </c>
      <c r="O2313" s="1"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s="1">
        <v>146.39999999999998</v>
      </c>
      <c r="F2314" s="2">
        <v>45742</v>
      </c>
      <c r="G2314" s="2">
        <v>45744</v>
      </c>
      <c r="H2314" s="1" t="s">
        <v>27</v>
      </c>
      <c r="I2314" s="1" t="s">
        <v>40</v>
      </c>
      <c r="J2314" s="1">
        <v>4</v>
      </c>
      <c r="K2314" s="1" t="s">
        <v>19</v>
      </c>
      <c r="L2314" s="1" t="s">
        <v>33</v>
      </c>
      <c r="M2314" s="1">
        <f>orders[[#This Row],[Ship Date]]-orders[[#This Row],[Order Date]]</f>
        <v>2</v>
      </c>
      <c r="N2314" s="1">
        <f>WEEKNUM(orders[[#This Row],[Order Date]])</f>
        <v>13</v>
      </c>
      <c r="O2314" s="1"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s="1">
        <v>340.8</v>
      </c>
      <c r="F2315" s="2">
        <v>45742</v>
      </c>
      <c r="G2315" s="2">
        <v>45746</v>
      </c>
      <c r="H2315" s="1" t="s">
        <v>27</v>
      </c>
      <c r="I2315" s="1" t="s">
        <v>51</v>
      </c>
      <c r="J2315" s="1">
        <v>1</v>
      </c>
      <c r="K2315" s="1" t="s">
        <v>19</v>
      </c>
      <c r="L2315" s="1" t="s">
        <v>33</v>
      </c>
      <c r="M2315" s="1">
        <f>orders[[#This Row],[Ship Date]]-orders[[#This Row],[Order Date]]</f>
        <v>4</v>
      </c>
      <c r="N2315" s="1">
        <f>WEEKNUM(orders[[#This Row],[Order Date]])</f>
        <v>13</v>
      </c>
      <c r="O2315" s="1"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s="1">
        <v>52.5</v>
      </c>
      <c r="F2316" s="2">
        <v>45742</v>
      </c>
      <c r="G2316" s="2">
        <v>45743</v>
      </c>
      <c r="H2316" s="1" t="s">
        <v>27</v>
      </c>
      <c r="I2316" s="1" t="s">
        <v>18</v>
      </c>
      <c r="J2316" s="1">
        <v>4</v>
      </c>
      <c r="K2316" s="1" t="s">
        <v>19</v>
      </c>
      <c r="L2316" s="1" t="s">
        <v>33</v>
      </c>
      <c r="M2316" s="1">
        <f>orders[[#This Row],[Ship Date]]-orders[[#This Row],[Order Date]]</f>
        <v>1</v>
      </c>
      <c r="N2316" s="1">
        <f>WEEKNUM(orders[[#This Row],[Order Date]])</f>
        <v>13</v>
      </c>
      <c r="O2316" s="1"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s="1">
        <v>184.8</v>
      </c>
      <c r="F2317" s="2">
        <v>45742</v>
      </c>
      <c r="G2317" s="2">
        <v>45748</v>
      </c>
      <c r="H2317" s="1" t="s">
        <v>27</v>
      </c>
      <c r="I2317" s="1" t="s">
        <v>18</v>
      </c>
      <c r="J2317" s="1">
        <v>5</v>
      </c>
      <c r="K2317" s="1" t="s">
        <v>19</v>
      </c>
      <c r="L2317" s="1" t="s">
        <v>33</v>
      </c>
      <c r="M2317" s="1">
        <f>orders[[#This Row],[Ship Date]]-orders[[#This Row],[Order Date]]</f>
        <v>6</v>
      </c>
      <c r="N2317" s="1">
        <f>WEEKNUM(orders[[#This Row],[Order Date]])</f>
        <v>13</v>
      </c>
      <c r="O2317" s="1"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s="1">
        <v>641.29999999999995</v>
      </c>
      <c r="F2318" s="2">
        <v>45742</v>
      </c>
      <c r="G2318" s="2">
        <v>45744</v>
      </c>
      <c r="H2318" s="1" t="s">
        <v>23</v>
      </c>
      <c r="I2318" s="1" t="s">
        <v>35</v>
      </c>
      <c r="J2318" s="1">
        <v>5</v>
      </c>
      <c r="K2318" s="1" t="s">
        <v>19</v>
      </c>
      <c r="L2318" s="1" t="s">
        <v>33</v>
      </c>
      <c r="M2318" s="1">
        <f>orders[[#This Row],[Ship Date]]-orders[[#This Row],[Order Date]]</f>
        <v>2</v>
      </c>
      <c r="N2318" s="1">
        <f>WEEKNUM(orders[[#This Row],[Order Date]])</f>
        <v>13</v>
      </c>
      <c r="O2318" s="1"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s="1">
        <v>3509.7999999999997</v>
      </c>
      <c r="F2319" s="2">
        <v>45743</v>
      </c>
      <c r="G2319" s="2">
        <v>45745</v>
      </c>
      <c r="H2319" s="1" t="s">
        <v>17</v>
      </c>
      <c r="I2319" s="1" t="s">
        <v>18</v>
      </c>
      <c r="J2319" s="1">
        <v>4</v>
      </c>
      <c r="K2319" s="1" t="s">
        <v>19</v>
      </c>
      <c r="L2319" s="1" t="s">
        <v>33</v>
      </c>
      <c r="M2319" s="1">
        <f>orders[[#This Row],[Ship Date]]-orders[[#This Row],[Order Date]]</f>
        <v>2</v>
      </c>
      <c r="N2319" s="1">
        <f>WEEKNUM(orders[[#This Row],[Order Date]])</f>
        <v>13</v>
      </c>
      <c r="O2319" s="1"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s="1">
        <v>52</v>
      </c>
      <c r="F2320" s="2">
        <v>45743</v>
      </c>
      <c r="G2320" s="2">
        <v>45743</v>
      </c>
      <c r="H2320" s="1" t="s">
        <v>17</v>
      </c>
      <c r="I2320" s="1" t="s">
        <v>18</v>
      </c>
      <c r="J2320" s="1">
        <v>3</v>
      </c>
      <c r="K2320" s="1" t="s">
        <v>19</v>
      </c>
      <c r="L2320" s="1" t="s">
        <v>33</v>
      </c>
      <c r="M2320" s="1">
        <f>orders[[#This Row],[Ship Date]]-orders[[#This Row],[Order Date]]</f>
        <v>0</v>
      </c>
      <c r="N2320" s="1">
        <f>WEEKNUM(orders[[#This Row],[Order Date]])</f>
        <v>13</v>
      </c>
      <c r="O2320" s="1"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s="1">
        <v>132.4</v>
      </c>
      <c r="F2321" s="2">
        <v>45743</v>
      </c>
      <c r="G2321" s="2">
        <v>45743</v>
      </c>
      <c r="H2321" s="1" t="s">
        <v>23</v>
      </c>
      <c r="I2321" s="1" t="s">
        <v>40</v>
      </c>
      <c r="J2321" s="1">
        <v>2</v>
      </c>
      <c r="K2321" s="1" t="s">
        <v>19</v>
      </c>
      <c r="L2321" s="1" t="s">
        <v>52</v>
      </c>
      <c r="M2321" s="1">
        <f>orders[[#This Row],[Ship Date]]-orders[[#This Row],[Order Date]]</f>
        <v>0</v>
      </c>
      <c r="N2321" s="1">
        <f>WEEKNUM(orders[[#This Row],[Order Date]])</f>
        <v>13</v>
      </c>
      <c r="O2321" s="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s="1">
        <v>51.4</v>
      </c>
      <c r="F2322" s="2">
        <v>45743</v>
      </c>
      <c r="G2322" s="2">
        <v>45745</v>
      </c>
      <c r="H2322" s="1" t="s">
        <v>27</v>
      </c>
      <c r="I2322" s="1" t="s">
        <v>35</v>
      </c>
      <c r="J2322" s="1">
        <v>3</v>
      </c>
      <c r="K2322" s="1" t="s">
        <v>19</v>
      </c>
      <c r="L2322" s="1" t="s">
        <v>52</v>
      </c>
      <c r="M2322" s="1">
        <f>orders[[#This Row],[Ship Date]]-orders[[#This Row],[Order Date]]</f>
        <v>2</v>
      </c>
      <c r="N2322" s="1">
        <f>WEEKNUM(orders[[#This Row],[Order Date]])</f>
        <v>13</v>
      </c>
      <c r="O2322" s="1"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s="1">
        <v>60.4</v>
      </c>
      <c r="F2323" s="2">
        <v>45743</v>
      </c>
      <c r="G2323" s="2">
        <v>45744</v>
      </c>
      <c r="H2323" s="1" t="s">
        <v>27</v>
      </c>
      <c r="I2323" s="1" t="s">
        <v>40</v>
      </c>
      <c r="J2323" s="1">
        <v>5</v>
      </c>
      <c r="K2323" s="1" t="s">
        <v>19</v>
      </c>
      <c r="L2323" s="1" t="s">
        <v>55</v>
      </c>
      <c r="M2323" s="1">
        <f>orders[[#This Row],[Ship Date]]-orders[[#This Row],[Order Date]]</f>
        <v>1</v>
      </c>
      <c r="N2323" s="1">
        <f>WEEKNUM(orders[[#This Row],[Order Date]])</f>
        <v>13</v>
      </c>
      <c r="O2323" s="1"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s="1">
        <v>582</v>
      </c>
      <c r="F2324" s="2">
        <v>45743</v>
      </c>
      <c r="G2324" s="2">
        <v>45747</v>
      </c>
      <c r="H2324" s="1" t="s">
        <v>27</v>
      </c>
      <c r="I2324" s="1" t="s">
        <v>18</v>
      </c>
      <c r="J2324" s="1">
        <v>5</v>
      </c>
      <c r="K2324" s="1" t="s">
        <v>19</v>
      </c>
      <c r="L2324" s="1" t="s">
        <v>59</v>
      </c>
      <c r="M2324" s="1">
        <f>orders[[#This Row],[Ship Date]]-orders[[#This Row],[Order Date]]</f>
        <v>4</v>
      </c>
      <c r="N2324" s="1">
        <f>WEEKNUM(orders[[#This Row],[Order Date]])</f>
        <v>13</v>
      </c>
      <c r="O2324" s="1"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s="1">
        <v>76.900000000000006</v>
      </c>
      <c r="F2325" s="2">
        <v>45743</v>
      </c>
      <c r="G2325" s="2">
        <v>45744</v>
      </c>
      <c r="H2325" s="1" t="s">
        <v>23</v>
      </c>
      <c r="I2325" s="1" t="s">
        <v>35</v>
      </c>
      <c r="J2325" s="1">
        <v>5</v>
      </c>
      <c r="K2325" s="1" t="s">
        <v>19</v>
      </c>
      <c r="L2325" s="1" t="s">
        <v>62</v>
      </c>
      <c r="M2325" s="1">
        <f>orders[[#This Row],[Ship Date]]-orders[[#This Row],[Order Date]]</f>
        <v>1</v>
      </c>
      <c r="N2325" s="1">
        <f>WEEKNUM(orders[[#This Row],[Order Date]])</f>
        <v>13</v>
      </c>
      <c r="O2325" s="1"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s="1">
        <v>216.60000000000002</v>
      </c>
      <c r="F2326" s="2">
        <v>45743</v>
      </c>
      <c r="G2326" s="2">
        <v>45747</v>
      </c>
      <c r="H2326" s="1" t="s">
        <v>27</v>
      </c>
      <c r="I2326" s="1" t="s">
        <v>18</v>
      </c>
      <c r="J2326" s="1">
        <v>4</v>
      </c>
      <c r="K2326" s="1" t="s">
        <v>19</v>
      </c>
      <c r="L2326" s="1" t="s">
        <v>62</v>
      </c>
      <c r="M2326" s="1">
        <f>orders[[#This Row],[Ship Date]]-orders[[#This Row],[Order Date]]</f>
        <v>4</v>
      </c>
      <c r="N2326" s="1">
        <f>WEEKNUM(orders[[#This Row],[Order Date]])</f>
        <v>13</v>
      </c>
      <c r="O2326" s="1"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s="1">
        <v>240.79999999999998</v>
      </c>
      <c r="F2327" s="2">
        <v>45743</v>
      </c>
      <c r="G2327" s="2">
        <v>45743</v>
      </c>
      <c r="H2327" s="1" t="s">
        <v>27</v>
      </c>
      <c r="I2327" s="1" t="s">
        <v>40</v>
      </c>
      <c r="J2327" s="1">
        <v>3</v>
      </c>
      <c r="K2327" s="1" t="s">
        <v>19</v>
      </c>
      <c r="L2327" s="1" t="s">
        <v>77</v>
      </c>
      <c r="M2327" s="1">
        <f>orders[[#This Row],[Ship Date]]-orders[[#This Row],[Order Date]]</f>
        <v>0</v>
      </c>
      <c r="N2327" s="1">
        <f>WEEKNUM(orders[[#This Row],[Order Date]])</f>
        <v>13</v>
      </c>
      <c r="O2327" s="1"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s="1">
        <v>1495.2</v>
      </c>
      <c r="F2328" s="2">
        <v>45743</v>
      </c>
      <c r="G2328" s="2">
        <v>45745</v>
      </c>
      <c r="H2328" s="1" t="s">
        <v>27</v>
      </c>
      <c r="I2328" s="1" t="s">
        <v>35</v>
      </c>
      <c r="J2328" s="1">
        <v>4</v>
      </c>
      <c r="K2328" s="1" t="s">
        <v>19</v>
      </c>
      <c r="L2328" s="1" t="s">
        <v>108</v>
      </c>
      <c r="M2328" s="1">
        <f>orders[[#This Row],[Ship Date]]-orders[[#This Row],[Order Date]]</f>
        <v>2</v>
      </c>
      <c r="N2328" s="1">
        <f>WEEKNUM(orders[[#This Row],[Order Date]])</f>
        <v>13</v>
      </c>
      <c r="O2328" s="1"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s="1">
        <v>77.599999999999994</v>
      </c>
      <c r="F2329" s="2">
        <v>45743</v>
      </c>
      <c r="G2329" s="2">
        <v>45744</v>
      </c>
      <c r="H2329" s="1" t="s">
        <v>27</v>
      </c>
      <c r="I2329" s="1" t="s">
        <v>18</v>
      </c>
      <c r="J2329" s="1">
        <v>3</v>
      </c>
      <c r="K2329" s="1" t="s">
        <v>19</v>
      </c>
      <c r="L2329" s="1" t="s">
        <v>110</v>
      </c>
      <c r="M2329" s="1">
        <f>orders[[#This Row],[Ship Date]]-orders[[#This Row],[Order Date]]</f>
        <v>1</v>
      </c>
      <c r="N2329" s="1">
        <f>WEEKNUM(orders[[#This Row],[Order Date]])</f>
        <v>13</v>
      </c>
      <c r="O2329" s="1"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s="1">
        <v>215.10000000000002</v>
      </c>
      <c r="F2330" s="2">
        <v>45743</v>
      </c>
      <c r="G2330" s="2">
        <v>45746</v>
      </c>
      <c r="H2330" s="1" t="s">
        <v>27</v>
      </c>
      <c r="I2330" s="1" t="s">
        <v>35</v>
      </c>
      <c r="J2330" s="1">
        <v>4</v>
      </c>
      <c r="K2330" s="1" t="s">
        <v>19</v>
      </c>
      <c r="L2330" s="1" t="s">
        <v>110</v>
      </c>
      <c r="M2330" s="1">
        <f>orders[[#This Row],[Ship Date]]-orders[[#This Row],[Order Date]]</f>
        <v>3</v>
      </c>
      <c r="N2330" s="1">
        <f>WEEKNUM(orders[[#This Row],[Order Date]])</f>
        <v>13</v>
      </c>
      <c r="O2330" s="1"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s="1">
        <v>241.79999999999998</v>
      </c>
      <c r="F2331" s="2">
        <v>45743</v>
      </c>
      <c r="G2331" s="2">
        <v>45744</v>
      </c>
      <c r="H2331" s="1" t="s">
        <v>23</v>
      </c>
      <c r="I2331" s="1" t="s">
        <v>70</v>
      </c>
      <c r="J2331" s="1">
        <v>3</v>
      </c>
      <c r="K2331" s="1" t="s">
        <v>19</v>
      </c>
      <c r="L2331" s="1" t="s">
        <v>110</v>
      </c>
      <c r="M2331" s="1">
        <f>orders[[#This Row],[Ship Date]]-orders[[#This Row],[Order Date]]</f>
        <v>1</v>
      </c>
      <c r="N2331" s="1">
        <f>WEEKNUM(orders[[#This Row],[Order Date]])</f>
        <v>13</v>
      </c>
      <c r="O2331" s="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s="1">
        <v>1050</v>
      </c>
      <c r="F2332" s="2">
        <v>45743</v>
      </c>
      <c r="G2332" s="2">
        <v>45745</v>
      </c>
      <c r="H2332" s="1" t="s">
        <v>23</v>
      </c>
      <c r="I2332" s="1" t="s">
        <v>18</v>
      </c>
      <c r="J2332" s="1">
        <v>4</v>
      </c>
      <c r="K2332" s="1" t="s">
        <v>19</v>
      </c>
      <c r="L2332" s="1" t="s">
        <v>113</v>
      </c>
      <c r="M2332" s="1">
        <f>orders[[#This Row],[Ship Date]]-orders[[#This Row],[Order Date]]</f>
        <v>2</v>
      </c>
      <c r="N2332" s="1">
        <f>WEEKNUM(orders[[#This Row],[Order Date]])</f>
        <v>13</v>
      </c>
      <c r="O2332" s="1"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s="1">
        <v>163.80000000000001</v>
      </c>
      <c r="F2333" s="2">
        <v>45743</v>
      </c>
      <c r="G2333" s="2">
        <v>45745</v>
      </c>
      <c r="H2333" s="1" t="s">
        <v>27</v>
      </c>
      <c r="I2333" s="1" t="s">
        <v>35</v>
      </c>
      <c r="J2333" s="1">
        <v>3</v>
      </c>
      <c r="K2333" s="1" t="s">
        <v>19</v>
      </c>
      <c r="L2333" s="1" t="s">
        <v>28</v>
      </c>
      <c r="M2333" s="1">
        <f>orders[[#This Row],[Ship Date]]-orders[[#This Row],[Order Date]]</f>
        <v>2</v>
      </c>
      <c r="N2333" s="1">
        <f>WEEKNUM(orders[[#This Row],[Order Date]])</f>
        <v>13</v>
      </c>
      <c r="O2333" s="1"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s="1">
        <v>526.4</v>
      </c>
      <c r="F2334" s="2">
        <v>45743</v>
      </c>
      <c r="G2334" s="2">
        <v>45745</v>
      </c>
      <c r="H2334" s="1" t="s">
        <v>23</v>
      </c>
      <c r="I2334" s="1" t="s">
        <v>35</v>
      </c>
      <c r="J2334" s="1">
        <v>4</v>
      </c>
      <c r="K2334" s="1" t="s">
        <v>19</v>
      </c>
      <c r="L2334" s="1" t="s">
        <v>33</v>
      </c>
      <c r="M2334" s="1">
        <f>orders[[#This Row],[Ship Date]]-orders[[#This Row],[Order Date]]</f>
        <v>2</v>
      </c>
      <c r="N2334" s="1">
        <f>WEEKNUM(orders[[#This Row],[Order Date]])</f>
        <v>13</v>
      </c>
      <c r="O2334" s="1"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s="1">
        <v>109.80000000000001</v>
      </c>
      <c r="F2335" s="2">
        <v>45743</v>
      </c>
      <c r="G2335" s="2">
        <v>45745</v>
      </c>
      <c r="H2335" s="1" t="s">
        <v>27</v>
      </c>
      <c r="I2335" s="1" t="s">
        <v>70</v>
      </c>
      <c r="J2335" s="1">
        <v>4</v>
      </c>
      <c r="K2335" s="1" t="s">
        <v>19</v>
      </c>
      <c r="L2335" s="1" t="s">
        <v>33</v>
      </c>
      <c r="M2335" s="1">
        <f>orders[[#This Row],[Ship Date]]-orders[[#This Row],[Order Date]]</f>
        <v>2</v>
      </c>
      <c r="N2335" s="1">
        <f>WEEKNUM(orders[[#This Row],[Order Date]])</f>
        <v>13</v>
      </c>
      <c r="O2335" s="1"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s="1">
        <v>55.2</v>
      </c>
      <c r="F2336" s="2">
        <v>45743</v>
      </c>
      <c r="G2336" s="2">
        <v>45745</v>
      </c>
      <c r="H2336" s="1" t="s">
        <v>23</v>
      </c>
      <c r="I2336" s="1" t="s">
        <v>51</v>
      </c>
      <c r="J2336" s="1">
        <v>4</v>
      </c>
      <c r="K2336" s="1" t="s">
        <v>19</v>
      </c>
      <c r="L2336" s="1" t="s">
        <v>33</v>
      </c>
      <c r="M2336" s="1">
        <f>orders[[#This Row],[Ship Date]]-orders[[#This Row],[Order Date]]</f>
        <v>2</v>
      </c>
      <c r="N2336" s="1">
        <f>WEEKNUM(orders[[#This Row],[Order Date]])</f>
        <v>13</v>
      </c>
      <c r="O2336" s="1"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s="1">
        <v>299.5</v>
      </c>
      <c r="F2337" s="2">
        <v>45743</v>
      </c>
      <c r="G2337" s="2">
        <v>45745</v>
      </c>
      <c r="H2337" s="1" t="s">
        <v>23</v>
      </c>
      <c r="I2337" s="1" t="s">
        <v>18</v>
      </c>
      <c r="J2337" s="1">
        <v>4</v>
      </c>
      <c r="K2337" s="1" t="s">
        <v>19</v>
      </c>
      <c r="L2337" s="1" t="s">
        <v>33</v>
      </c>
      <c r="M2337" s="1">
        <f>orders[[#This Row],[Ship Date]]-orders[[#This Row],[Order Date]]</f>
        <v>2</v>
      </c>
      <c r="N2337" s="1">
        <f>WEEKNUM(orders[[#This Row],[Order Date]])</f>
        <v>13</v>
      </c>
      <c r="O2337" s="1"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s="1">
        <v>44</v>
      </c>
      <c r="F2338" s="2">
        <v>45743</v>
      </c>
      <c r="G2338" s="2">
        <v>45744</v>
      </c>
      <c r="H2338" s="1" t="s">
        <v>27</v>
      </c>
      <c r="I2338" s="1" t="s">
        <v>40</v>
      </c>
      <c r="J2338" s="1">
        <v>5</v>
      </c>
      <c r="K2338" s="1" t="s">
        <v>19</v>
      </c>
      <c r="L2338" s="1" t="s">
        <v>33</v>
      </c>
      <c r="M2338" s="1">
        <f>orders[[#This Row],[Ship Date]]-orders[[#This Row],[Order Date]]</f>
        <v>1</v>
      </c>
      <c r="N2338" s="1">
        <f>WEEKNUM(orders[[#This Row],[Order Date]])</f>
        <v>13</v>
      </c>
      <c r="O2338" s="1"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s="1">
        <v>137.4</v>
      </c>
      <c r="F2339" s="2">
        <v>45743</v>
      </c>
      <c r="G2339" s="2">
        <v>45743</v>
      </c>
      <c r="H2339" s="1" t="s">
        <v>23</v>
      </c>
      <c r="I2339" s="1" t="s">
        <v>18</v>
      </c>
      <c r="J2339" s="1">
        <v>4</v>
      </c>
      <c r="K2339" s="1" t="s">
        <v>19</v>
      </c>
      <c r="L2339" s="1" t="s">
        <v>33</v>
      </c>
      <c r="M2339" s="1">
        <f>orders[[#This Row],[Ship Date]]-orders[[#This Row],[Order Date]]</f>
        <v>0</v>
      </c>
      <c r="N2339" s="1">
        <f>WEEKNUM(orders[[#This Row],[Order Date]])</f>
        <v>13</v>
      </c>
      <c r="O2339" s="1"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s="1">
        <v>123.2</v>
      </c>
      <c r="F2340" s="2">
        <v>45743</v>
      </c>
      <c r="G2340" s="2">
        <v>45747</v>
      </c>
      <c r="H2340" s="1" t="s">
        <v>23</v>
      </c>
      <c r="I2340" s="1" t="s">
        <v>51</v>
      </c>
      <c r="J2340" s="1">
        <v>3</v>
      </c>
      <c r="K2340" s="1" t="s">
        <v>19</v>
      </c>
      <c r="L2340" s="1" t="s">
        <v>33</v>
      </c>
      <c r="M2340" s="1">
        <f>orders[[#This Row],[Ship Date]]-orders[[#This Row],[Order Date]]</f>
        <v>4</v>
      </c>
      <c r="N2340" s="1">
        <f>WEEKNUM(orders[[#This Row],[Order Date]])</f>
        <v>13</v>
      </c>
      <c r="O2340" s="1"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s="1">
        <v>362.59999999999997</v>
      </c>
      <c r="F2341" s="2">
        <v>45743</v>
      </c>
      <c r="G2341" s="2">
        <v>45744</v>
      </c>
      <c r="H2341" s="1" t="s">
        <v>23</v>
      </c>
      <c r="I2341" s="1" t="s">
        <v>18</v>
      </c>
      <c r="J2341" s="1">
        <v>4</v>
      </c>
      <c r="K2341" s="1" t="s">
        <v>19</v>
      </c>
      <c r="L2341" s="1" t="s">
        <v>33</v>
      </c>
      <c r="M2341" s="1">
        <f>orders[[#This Row],[Ship Date]]-orders[[#This Row],[Order Date]]</f>
        <v>1</v>
      </c>
      <c r="N2341" s="1">
        <f>WEEKNUM(orders[[#This Row],[Order Date]])</f>
        <v>13</v>
      </c>
      <c r="O2341" s="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s="1">
        <v>462</v>
      </c>
      <c r="F2342" s="2">
        <v>45743</v>
      </c>
      <c r="G2342" s="2">
        <v>45745</v>
      </c>
      <c r="H2342" s="1" t="s">
        <v>23</v>
      </c>
      <c r="I2342" s="1" t="s">
        <v>35</v>
      </c>
      <c r="J2342" s="1">
        <v>5</v>
      </c>
      <c r="K2342" s="1" t="s">
        <v>19</v>
      </c>
      <c r="L2342" s="1" t="s">
        <v>33</v>
      </c>
      <c r="M2342" s="1">
        <f>orders[[#This Row],[Ship Date]]-orders[[#This Row],[Order Date]]</f>
        <v>2</v>
      </c>
      <c r="N2342" s="1">
        <f>WEEKNUM(orders[[#This Row],[Order Date]])</f>
        <v>13</v>
      </c>
      <c r="O2342" s="1"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s="1">
        <v>38.799999999999997</v>
      </c>
      <c r="F2343" s="2">
        <v>45743</v>
      </c>
      <c r="G2343" s="2">
        <v>45745</v>
      </c>
      <c r="H2343" s="1" t="s">
        <v>27</v>
      </c>
      <c r="I2343" s="1" t="s">
        <v>35</v>
      </c>
      <c r="J2343" s="1">
        <v>5</v>
      </c>
      <c r="K2343" s="1" t="s">
        <v>19</v>
      </c>
      <c r="L2343" s="1" t="s">
        <v>55</v>
      </c>
      <c r="M2343" s="1">
        <f>orders[[#This Row],[Ship Date]]-orders[[#This Row],[Order Date]]</f>
        <v>2</v>
      </c>
      <c r="N2343" s="1">
        <f>WEEKNUM(orders[[#This Row],[Order Date]])</f>
        <v>13</v>
      </c>
      <c r="O2343" s="1"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s="1">
        <v>156.30000000000001</v>
      </c>
      <c r="F2344" s="2">
        <v>45743</v>
      </c>
      <c r="G2344" s="2">
        <v>45746</v>
      </c>
      <c r="H2344" s="1" t="s">
        <v>23</v>
      </c>
      <c r="I2344" s="1" t="s">
        <v>51</v>
      </c>
      <c r="J2344" s="1">
        <v>1</v>
      </c>
      <c r="K2344" s="1" t="s">
        <v>19</v>
      </c>
      <c r="L2344" s="1" t="s">
        <v>55</v>
      </c>
      <c r="M2344" s="1">
        <f>orders[[#This Row],[Ship Date]]-orders[[#This Row],[Order Date]]</f>
        <v>3</v>
      </c>
      <c r="N2344" s="1">
        <f>WEEKNUM(orders[[#This Row],[Order Date]])</f>
        <v>13</v>
      </c>
      <c r="O2344" s="1"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s="1">
        <v>74.900000000000006</v>
      </c>
      <c r="F2345" s="2">
        <v>45743</v>
      </c>
      <c r="G2345" s="2">
        <v>45745</v>
      </c>
      <c r="H2345" s="1" t="s">
        <v>89</v>
      </c>
      <c r="I2345" s="1" t="s">
        <v>18</v>
      </c>
      <c r="J2345" s="1">
        <v>4</v>
      </c>
      <c r="K2345" s="1" t="s">
        <v>19</v>
      </c>
      <c r="L2345" s="1" t="s">
        <v>59</v>
      </c>
      <c r="M2345" s="1">
        <f>orders[[#This Row],[Ship Date]]-orders[[#This Row],[Order Date]]</f>
        <v>2</v>
      </c>
      <c r="N2345" s="1">
        <f>WEEKNUM(orders[[#This Row],[Order Date]])</f>
        <v>13</v>
      </c>
      <c r="O2345" s="1"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s="1">
        <v>347.2</v>
      </c>
      <c r="F2346" s="2">
        <v>45743</v>
      </c>
      <c r="G2346" s="2">
        <v>45746</v>
      </c>
      <c r="H2346" s="1" t="s">
        <v>27</v>
      </c>
      <c r="I2346" s="1" t="s">
        <v>70</v>
      </c>
      <c r="J2346" s="1">
        <v>4</v>
      </c>
      <c r="K2346" s="1" t="s">
        <v>19</v>
      </c>
      <c r="L2346" s="1" t="s">
        <v>62</v>
      </c>
      <c r="M2346" s="1">
        <f>orders[[#This Row],[Ship Date]]-orders[[#This Row],[Order Date]]</f>
        <v>3</v>
      </c>
      <c r="N2346" s="1">
        <f>WEEKNUM(orders[[#This Row],[Order Date]])</f>
        <v>13</v>
      </c>
      <c r="O2346" s="1"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s="1">
        <v>331.2</v>
      </c>
      <c r="F2347" s="2">
        <v>45744</v>
      </c>
      <c r="G2347" s="2">
        <v>45747</v>
      </c>
      <c r="H2347" s="1" t="s">
        <v>27</v>
      </c>
      <c r="I2347" s="1" t="s">
        <v>70</v>
      </c>
      <c r="J2347" s="1">
        <v>4</v>
      </c>
      <c r="K2347" s="1" t="s">
        <v>19</v>
      </c>
      <c r="L2347" s="1" t="s">
        <v>62</v>
      </c>
      <c r="M2347" s="1">
        <f>orders[[#This Row],[Ship Date]]-orders[[#This Row],[Order Date]]</f>
        <v>3</v>
      </c>
      <c r="N2347" s="1">
        <f>WEEKNUM(orders[[#This Row],[Order Date]])</f>
        <v>13</v>
      </c>
      <c r="O2347" s="1"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s="1">
        <v>97.7</v>
      </c>
      <c r="F2348" s="2">
        <v>45744</v>
      </c>
      <c r="G2348" s="2">
        <v>45745</v>
      </c>
      <c r="H2348" s="1" t="s">
        <v>27</v>
      </c>
      <c r="I2348" s="1" t="s">
        <v>35</v>
      </c>
      <c r="J2348" s="1">
        <v>4</v>
      </c>
      <c r="K2348" s="1" t="s">
        <v>19</v>
      </c>
      <c r="L2348" s="1" t="s">
        <v>62</v>
      </c>
      <c r="M2348" s="1">
        <f>orders[[#This Row],[Ship Date]]-orders[[#This Row],[Order Date]]</f>
        <v>1</v>
      </c>
      <c r="N2348" s="1">
        <f>WEEKNUM(orders[[#This Row],[Order Date]])</f>
        <v>13</v>
      </c>
      <c r="O2348" s="1"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s="1">
        <v>418</v>
      </c>
      <c r="F2349" s="2">
        <v>45744</v>
      </c>
      <c r="G2349" s="2">
        <v>45745</v>
      </c>
      <c r="H2349" s="1" t="s">
        <v>27</v>
      </c>
      <c r="I2349" s="1" t="s">
        <v>70</v>
      </c>
      <c r="J2349" s="1">
        <v>4</v>
      </c>
      <c r="K2349" s="1" t="s">
        <v>19</v>
      </c>
      <c r="L2349" s="1" t="s">
        <v>62</v>
      </c>
      <c r="M2349" s="1">
        <f>orders[[#This Row],[Ship Date]]-orders[[#This Row],[Order Date]]</f>
        <v>1</v>
      </c>
      <c r="N2349" s="1">
        <f>WEEKNUM(orders[[#This Row],[Order Date]])</f>
        <v>13</v>
      </c>
      <c r="O2349" s="1"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s="1">
        <v>117.5</v>
      </c>
      <c r="F2350" s="2">
        <v>45744</v>
      </c>
      <c r="G2350" s="2">
        <v>45748</v>
      </c>
      <c r="H2350" s="1" t="s">
        <v>89</v>
      </c>
      <c r="I2350" s="1" t="s">
        <v>18</v>
      </c>
      <c r="J2350" s="1">
        <v>4</v>
      </c>
      <c r="K2350" s="1" t="s">
        <v>19</v>
      </c>
      <c r="L2350" s="1" t="s">
        <v>62</v>
      </c>
      <c r="M2350" s="1">
        <f>orders[[#This Row],[Ship Date]]-orders[[#This Row],[Order Date]]</f>
        <v>4</v>
      </c>
      <c r="N2350" s="1">
        <f>WEEKNUM(orders[[#This Row],[Order Date]])</f>
        <v>13</v>
      </c>
      <c r="O2350" s="1"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s="1">
        <v>133.80000000000001</v>
      </c>
      <c r="F2351" s="2">
        <v>45744</v>
      </c>
      <c r="G2351" s="2">
        <v>45747</v>
      </c>
      <c r="H2351" s="1" t="s">
        <v>27</v>
      </c>
      <c r="I2351" s="1" t="s">
        <v>70</v>
      </c>
      <c r="J2351" s="1">
        <v>3</v>
      </c>
      <c r="K2351" s="1" t="s">
        <v>19</v>
      </c>
      <c r="L2351" s="1" t="s">
        <v>201</v>
      </c>
      <c r="M2351" s="1">
        <f>orders[[#This Row],[Ship Date]]-orders[[#This Row],[Order Date]]</f>
        <v>3</v>
      </c>
      <c r="N2351" s="1">
        <f>WEEKNUM(orders[[#This Row],[Order Date]])</f>
        <v>13</v>
      </c>
      <c r="O2351" s="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s="1">
        <v>60.300000000000004</v>
      </c>
      <c r="F2352" s="2">
        <v>45744</v>
      </c>
      <c r="G2352" s="2">
        <v>45746</v>
      </c>
      <c r="H2352" s="1" t="s">
        <v>27</v>
      </c>
      <c r="I2352" s="1" t="s">
        <v>51</v>
      </c>
      <c r="J2352" s="1">
        <v>2</v>
      </c>
      <c r="K2352" s="1" t="s">
        <v>19</v>
      </c>
      <c r="L2352" s="1" t="s">
        <v>77</v>
      </c>
      <c r="M2352" s="1">
        <f>orders[[#This Row],[Ship Date]]-orders[[#This Row],[Order Date]]</f>
        <v>2</v>
      </c>
      <c r="N2352" s="1">
        <f>WEEKNUM(orders[[#This Row],[Order Date]])</f>
        <v>13</v>
      </c>
      <c r="O2352" s="1"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s="1">
        <v>768</v>
      </c>
      <c r="F2353" s="2">
        <v>45744</v>
      </c>
      <c r="G2353" s="2">
        <v>45745</v>
      </c>
      <c r="H2353" s="1" t="s">
        <v>27</v>
      </c>
      <c r="I2353" s="1" t="s">
        <v>35</v>
      </c>
      <c r="J2353" s="1">
        <v>5</v>
      </c>
      <c r="K2353" s="1" t="s">
        <v>19</v>
      </c>
      <c r="L2353" s="1" t="s">
        <v>1116</v>
      </c>
      <c r="M2353" s="1">
        <f>orders[[#This Row],[Ship Date]]-orders[[#This Row],[Order Date]]</f>
        <v>1</v>
      </c>
      <c r="N2353" s="1">
        <f>WEEKNUM(orders[[#This Row],[Order Date]])</f>
        <v>13</v>
      </c>
      <c r="O2353" s="1"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s="1">
        <v>143.6</v>
      </c>
      <c r="F2354" s="2">
        <v>45744</v>
      </c>
      <c r="G2354" s="2">
        <v>45748</v>
      </c>
      <c r="H2354" s="1" t="s">
        <v>27</v>
      </c>
      <c r="I2354" s="1" t="s">
        <v>35</v>
      </c>
      <c r="J2354" s="1">
        <v>4</v>
      </c>
      <c r="K2354" s="1" t="s">
        <v>19</v>
      </c>
      <c r="L2354" s="1" t="s">
        <v>24</v>
      </c>
      <c r="M2354" s="1">
        <f>orders[[#This Row],[Ship Date]]-orders[[#This Row],[Order Date]]</f>
        <v>4</v>
      </c>
      <c r="N2354" s="1">
        <f>WEEKNUM(orders[[#This Row],[Order Date]])</f>
        <v>13</v>
      </c>
      <c r="O2354" s="1"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s="1">
        <v>64.7</v>
      </c>
      <c r="F2355" s="2">
        <v>45744</v>
      </c>
      <c r="G2355" s="2">
        <v>45746</v>
      </c>
      <c r="H2355" s="1" t="s">
        <v>17</v>
      </c>
      <c r="I2355" s="1" t="s">
        <v>18</v>
      </c>
      <c r="J2355" s="1">
        <v>3</v>
      </c>
      <c r="K2355" s="1" t="s">
        <v>19</v>
      </c>
      <c r="L2355" s="1" t="s">
        <v>24</v>
      </c>
      <c r="M2355" s="1">
        <f>orders[[#This Row],[Ship Date]]-orders[[#This Row],[Order Date]]</f>
        <v>2</v>
      </c>
      <c r="N2355" s="1">
        <f>WEEKNUM(orders[[#This Row],[Order Date]])</f>
        <v>13</v>
      </c>
      <c r="O2355" s="1"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s="1">
        <v>483.2</v>
      </c>
      <c r="F2356" s="2">
        <v>45744</v>
      </c>
      <c r="G2356" s="2">
        <v>45746</v>
      </c>
      <c r="H2356" s="1" t="s">
        <v>27</v>
      </c>
      <c r="I2356" s="1" t="s">
        <v>51</v>
      </c>
      <c r="J2356" s="1">
        <v>5</v>
      </c>
      <c r="K2356" s="1" t="s">
        <v>19</v>
      </c>
      <c r="L2356" s="1" t="s">
        <v>28</v>
      </c>
      <c r="M2356" s="1">
        <f>orders[[#This Row],[Ship Date]]-orders[[#This Row],[Order Date]]</f>
        <v>2</v>
      </c>
      <c r="N2356" s="1">
        <f>WEEKNUM(orders[[#This Row],[Order Date]])</f>
        <v>13</v>
      </c>
      <c r="O2356" s="1"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s="1">
        <v>344</v>
      </c>
      <c r="F2357" s="2">
        <v>45744</v>
      </c>
      <c r="G2357" s="2">
        <v>45747</v>
      </c>
      <c r="H2357" s="1" t="s">
        <v>27</v>
      </c>
      <c r="I2357" s="1" t="s">
        <v>40</v>
      </c>
      <c r="J2357" s="1">
        <v>5</v>
      </c>
      <c r="K2357" s="1" t="s">
        <v>19</v>
      </c>
      <c r="L2357" s="1" t="s">
        <v>147</v>
      </c>
      <c r="M2357" s="1">
        <f>orders[[#This Row],[Ship Date]]-orders[[#This Row],[Order Date]]</f>
        <v>3</v>
      </c>
      <c r="N2357" s="1">
        <f>WEEKNUM(orders[[#This Row],[Order Date]])</f>
        <v>13</v>
      </c>
      <c r="O2357" s="1"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s="1">
        <v>84.2</v>
      </c>
      <c r="F2358" s="2">
        <v>45744</v>
      </c>
      <c r="G2358" s="2">
        <v>45745</v>
      </c>
      <c r="H2358" s="1" t="s">
        <v>27</v>
      </c>
      <c r="I2358" s="1" t="s">
        <v>70</v>
      </c>
      <c r="J2358" s="1">
        <v>3</v>
      </c>
      <c r="K2358" s="1" t="s">
        <v>19</v>
      </c>
      <c r="L2358" s="1" t="s">
        <v>334</v>
      </c>
      <c r="M2358" s="1">
        <f>orders[[#This Row],[Ship Date]]-orders[[#This Row],[Order Date]]</f>
        <v>1</v>
      </c>
      <c r="N2358" s="1">
        <f>WEEKNUM(orders[[#This Row],[Order Date]])</f>
        <v>13</v>
      </c>
      <c r="O2358" s="1"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s="1">
        <v>459.90000000000003</v>
      </c>
      <c r="F2359" s="2">
        <v>45744</v>
      </c>
      <c r="G2359" s="2">
        <v>45745</v>
      </c>
      <c r="H2359" s="1" t="s">
        <v>23</v>
      </c>
      <c r="I2359" s="1" t="s">
        <v>40</v>
      </c>
      <c r="J2359" s="1">
        <v>3</v>
      </c>
      <c r="K2359" s="1" t="s">
        <v>19</v>
      </c>
      <c r="L2359" s="1" t="s">
        <v>33</v>
      </c>
      <c r="M2359" s="1">
        <f>orders[[#This Row],[Ship Date]]-orders[[#This Row],[Order Date]]</f>
        <v>1</v>
      </c>
      <c r="N2359" s="1">
        <f>WEEKNUM(orders[[#This Row],[Order Date]])</f>
        <v>13</v>
      </c>
      <c r="O2359" s="1"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s="1">
        <v>295.2</v>
      </c>
      <c r="F2360" s="2">
        <v>45744</v>
      </c>
      <c r="G2360" s="2">
        <v>45745</v>
      </c>
      <c r="H2360" s="1" t="s">
        <v>23</v>
      </c>
      <c r="I2360" s="1" t="s">
        <v>70</v>
      </c>
      <c r="J2360" s="1">
        <v>4</v>
      </c>
      <c r="K2360" s="1" t="s">
        <v>19</v>
      </c>
      <c r="L2360" s="1" t="s">
        <v>33</v>
      </c>
      <c r="M2360" s="1">
        <f>orders[[#This Row],[Ship Date]]-orders[[#This Row],[Order Date]]</f>
        <v>1</v>
      </c>
      <c r="N2360" s="1">
        <f>WEEKNUM(orders[[#This Row],[Order Date]])</f>
        <v>13</v>
      </c>
      <c r="O2360" s="1"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s="1">
        <v>135</v>
      </c>
      <c r="F2361" s="2">
        <v>45744</v>
      </c>
      <c r="G2361" s="2">
        <v>45747</v>
      </c>
      <c r="H2361" s="1" t="s">
        <v>27</v>
      </c>
      <c r="I2361" s="1" t="s">
        <v>40</v>
      </c>
      <c r="J2361" s="1">
        <v>5</v>
      </c>
      <c r="K2361" s="1" t="s">
        <v>19</v>
      </c>
      <c r="L2361" s="1" t="s">
        <v>33</v>
      </c>
      <c r="M2361" s="1">
        <f>orders[[#This Row],[Ship Date]]-orders[[#This Row],[Order Date]]</f>
        <v>3</v>
      </c>
      <c r="N2361" s="1">
        <f>WEEKNUM(orders[[#This Row],[Order Date]])</f>
        <v>13</v>
      </c>
      <c r="O2361" s="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s="1">
        <v>360.6</v>
      </c>
      <c r="F2362" s="2">
        <v>45744</v>
      </c>
      <c r="G2362" s="2">
        <v>45745</v>
      </c>
      <c r="H2362" s="1" t="s">
        <v>23</v>
      </c>
      <c r="I2362" s="1" t="s">
        <v>51</v>
      </c>
      <c r="J2362" s="1">
        <v>4</v>
      </c>
      <c r="K2362" s="1" t="s">
        <v>19</v>
      </c>
      <c r="L2362" s="1" t="s">
        <v>33</v>
      </c>
      <c r="M2362" s="1">
        <f>orders[[#This Row],[Ship Date]]-orders[[#This Row],[Order Date]]</f>
        <v>1</v>
      </c>
      <c r="N2362" s="1">
        <f>WEEKNUM(orders[[#This Row],[Order Date]])</f>
        <v>13</v>
      </c>
      <c r="O2362" s="1"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s="1">
        <v>658.69999999999993</v>
      </c>
      <c r="F2363" s="2">
        <v>45744</v>
      </c>
      <c r="G2363" s="2">
        <v>45746</v>
      </c>
      <c r="H2363" s="1" t="s">
        <v>27</v>
      </c>
      <c r="I2363" s="1" t="s">
        <v>70</v>
      </c>
      <c r="J2363" s="1">
        <v>3</v>
      </c>
      <c r="K2363" s="1" t="s">
        <v>19</v>
      </c>
      <c r="L2363" s="1" t="s">
        <v>33</v>
      </c>
      <c r="M2363" s="1">
        <f>orders[[#This Row],[Ship Date]]-orders[[#This Row],[Order Date]]</f>
        <v>2</v>
      </c>
      <c r="N2363" s="1">
        <f>WEEKNUM(orders[[#This Row],[Order Date]])</f>
        <v>13</v>
      </c>
      <c r="O2363" s="1"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s="1">
        <v>248.2</v>
      </c>
      <c r="F2364" s="2">
        <v>45744</v>
      </c>
      <c r="G2364" s="2">
        <v>45744</v>
      </c>
      <c r="H2364" s="1" t="s">
        <v>27</v>
      </c>
      <c r="I2364" s="1" t="s">
        <v>40</v>
      </c>
      <c r="J2364" s="1">
        <v>1</v>
      </c>
      <c r="K2364" s="1" t="s">
        <v>19</v>
      </c>
      <c r="L2364" s="1" t="s">
        <v>545</v>
      </c>
      <c r="M2364" s="1">
        <f>orders[[#This Row],[Ship Date]]-orders[[#This Row],[Order Date]]</f>
        <v>0</v>
      </c>
      <c r="N2364" s="1">
        <f>WEEKNUM(orders[[#This Row],[Order Date]])</f>
        <v>13</v>
      </c>
      <c r="O2364" s="1"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s="1">
        <v>67.599999999999994</v>
      </c>
      <c r="F2365" s="2">
        <v>45744</v>
      </c>
      <c r="G2365" s="2">
        <v>45747</v>
      </c>
      <c r="H2365" s="1" t="s">
        <v>23</v>
      </c>
      <c r="I2365" s="1" t="s">
        <v>51</v>
      </c>
      <c r="J2365" s="1">
        <v>4</v>
      </c>
      <c r="K2365" s="1" t="s">
        <v>19</v>
      </c>
      <c r="L2365" s="1" t="s">
        <v>55</v>
      </c>
      <c r="M2365" s="1">
        <f>orders[[#This Row],[Ship Date]]-orders[[#This Row],[Order Date]]</f>
        <v>3</v>
      </c>
      <c r="N2365" s="1">
        <f>WEEKNUM(orders[[#This Row],[Order Date]])</f>
        <v>13</v>
      </c>
      <c r="O2365" s="1"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s="1">
        <v>36.9</v>
      </c>
      <c r="F2366" s="2">
        <v>45744</v>
      </c>
      <c r="G2366" s="2">
        <v>45745</v>
      </c>
      <c r="H2366" s="1" t="s">
        <v>23</v>
      </c>
      <c r="I2366" s="1" t="s">
        <v>18</v>
      </c>
      <c r="J2366" s="1">
        <v>4</v>
      </c>
      <c r="K2366" s="1" t="s">
        <v>19</v>
      </c>
      <c r="L2366" s="1" t="s">
        <v>55</v>
      </c>
      <c r="M2366" s="1">
        <f>orders[[#This Row],[Ship Date]]-orders[[#This Row],[Order Date]]</f>
        <v>1</v>
      </c>
      <c r="N2366" s="1">
        <f>WEEKNUM(orders[[#This Row],[Order Date]])</f>
        <v>13</v>
      </c>
      <c r="O2366" s="1"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s="1">
        <v>45.2</v>
      </c>
      <c r="F2367" s="2">
        <v>45744</v>
      </c>
      <c r="G2367" s="2">
        <v>45757</v>
      </c>
      <c r="H2367" s="1" t="s">
        <v>27</v>
      </c>
      <c r="I2367" s="1" t="s">
        <v>40</v>
      </c>
      <c r="J2367" s="1">
        <v>3</v>
      </c>
      <c r="K2367" s="1" t="s">
        <v>19</v>
      </c>
      <c r="L2367" s="1" t="s">
        <v>62</v>
      </c>
      <c r="M2367" s="1">
        <f>orders[[#This Row],[Ship Date]]-orders[[#This Row],[Order Date]]</f>
        <v>13</v>
      </c>
      <c r="N2367" s="1">
        <f>WEEKNUM(orders[[#This Row],[Order Date]])</f>
        <v>13</v>
      </c>
      <c r="O2367" s="1"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s="1">
        <v>140</v>
      </c>
      <c r="F2368" s="2">
        <v>45744</v>
      </c>
      <c r="G2368" s="2">
        <v>45749</v>
      </c>
      <c r="H2368" s="1" t="s">
        <v>23</v>
      </c>
      <c r="I2368" s="1" t="s">
        <v>51</v>
      </c>
      <c r="J2368" s="1">
        <v>3</v>
      </c>
      <c r="K2368" s="1" t="s">
        <v>19</v>
      </c>
      <c r="L2368" s="1" t="s">
        <v>62</v>
      </c>
      <c r="M2368" s="1">
        <f>orders[[#This Row],[Ship Date]]-orders[[#This Row],[Order Date]]</f>
        <v>5</v>
      </c>
      <c r="N2368" s="1">
        <f>WEEKNUM(orders[[#This Row],[Order Date]])</f>
        <v>13</v>
      </c>
      <c r="O2368" s="1"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s="1">
        <v>381.6</v>
      </c>
      <c r="F2369" s="2">
        <v>45744</v>
      </c>
      <c r="G2369" s="2">
        <v>45751</v>
      </c>
      <c r="H2369" s="1" t="s">
        <v>17</v>
      </c>
      <c r="I2369" s="1" t="s">
        <v>35</v>
      </c>
      <c r="J2369" s="1">
        <v>5</v>
      </c>
      <c r="K2369" s="1" t="s">
        <v>19</v>
      </c>
      <c r="L2369" s="1" t="s">
        <v>62</v>
      </c>
      <c r="M2369" s="1">
        <f>orders[[#This Row],[Ship Date]]-orders[[#This Row],[Order Date]]</f>
        <v>7</v>
      </c>
      <c r="N2369" s="1">
        <f>WEEKNUM(orders[[#This Row],[Order Date]])</f>
        <v>13</v>
      </c>
      <c r="O2369" s="1"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s="1">
        <v>314.39999999999998</v>
      </c>
      <c r="F2370" s="2">
        <v>45744</v>
      </c>
      <c r="G2370" s="2">
        <v>45745</v>
      </c>
      <c r="H2370" s="1" t="s">
        <v>23</v>
      </c>
      <c r="I2370" s="1" t="s">
        <v>70</v>
      </c>
      <c r="J2370" s="1">
        <v>3</v>
      </c>
      <c r="K2370" s="1" t="s">
        <v>19</v>
      </c>
      <c r="L2370" s="1" t="s">
        <v>62</v>
      </c>
      <c r="M2370" s="1">
        <f>orders[[#This Row],[Ship Date]]-orders[[#This Row],[Order Date]]</f>
        <v>1</v>
      </c>
      <c r="N2370" s="1">
        <f>WEEKNUM(orders[[#This Row],[Order Date]])</f>
        <v>13</v>
      </c>
      <c r="O2370" s="1"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s="1">
        <v>77</v>
      </c>
      <c r="F2371" s="2">
        <v>45744</v>
      </c>
      <c r="G2371" s="2">
        <v>45745</v>
      </c>
      <c r="H2371" s="1" t="s">
        <v>23</v>
      </c>
      <c r="I2371" s="1" t="s">
        <v>18</v>
      </c>
      <c r="J2371" s="1">
        <v>5</v>
      </c>
      <c r="K2371" s="1" t="s">
        <v>19</v>
      </c>
      <c r="L2371" s="1" t="s">
        <v>62</v>
      </c>
      <c r="M2371" s="1">
        <f>orders[[#This Row],[Ship Date]]-orders[[#This Row],[Order Date]]</f>
        <v>1</v>
      </c>
      <c r="N2371" s="1">
        <f>WEEKNUM(orders[[#This Row],[Order Date]])</f>
        <v>13</v>
      </c>
      <c r="O2371" s="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s="1">
        <v>786.5</v>
      </c>
      <c r="F2372" s="2">
        <v>45744</v>
      </c>
      <c r="G2372" s="2">
        <v>45745</v>
      </c>
      <c r="H2372" s="1" t="s">
        <v>27</v>
      </c>
      <c r="I2372" s="1" t="s">
        <v>35</v>
      </c>
      <c r="J2372" s="1">
        <v>2</v>
      </c>
      <c r="K2372" s="1" t="s">
        <v>19</v>
      </c>
      <c r="L2372" s="1" t="s">
        <v>62</v>
      </c>
      <c r="M2372" s="1">
        <f>orders[[#This Row],[Ship Date]]-orders[[#This Row],[Order Date]]</f>
        <v>1</v>
      </c>
      <c r="N2372" s="1">
        <f>WEEKNUM(orders[[#This Row],[Order Date]])</f>
        <v>13</v>
      </c>
      <c r="O2372" s="1"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s="1">
        <v>485.6</v>
      </c>
      <c r="F2373" s="2">
        <v>45744</v>
      </c>
      <c r="G2373" s="2">
        <v>45748</v>
      </c>
      <c r="H2373" s="1" t="s">
        <v>23</v>
      </c>
      <c r="I2373" s="1" t="s">
        <v>35</v>
      </c>
      <c r="J2373" s="1">
        <v>5</v>
      </c>
      <c r="K2373" s="1" t="s">
        <v>19</v>
      </c>
      <c r="L2373" s="1" t="s">
        <v>103</v>
      </c>
      <c r="M2373" s="1">
        <f>orders[[#This Row],[Ship Date]]-orders[[#This Row],[Order Date]]</f>
        <v>4</v>
      </c>
      <c r="N2373" s="1">
        <f>WEEKNUM(orders[[#This Row],[Order Date]])</f>
        <v>13</v>
      </c>
      <c r="O2373" s="1"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s="1">
        <v>40.200000000000003</v>
      </c>
      <c r="F2374" s="2">
        <v>45744</v>
      </c>
      <c r="G2374" s="2">
        <v>45747</v>
      </c>
      <c r="H2374" s="1" t="s">
        <v>27</v>
      </c>
      <c r="I2374" s="1" t="s">
        <v>18</v>
      </c>
      <c r="J2374" s="1">
        <v>5</v>
      </c>
      <c r="K2374" s="1" t="s">
        <v>19</v>
      </c>
      <c r="L2374" s="1" t="s">
        <v>77</v>
      </c>
      <c r="M2374" s="1">
        <f>orders[[#This Row],[Ship Date]]-orders[[#This Row],[Order Date]]</f>
        <v>3</v>
      </c>
      <c r="N2374" s="1">
        <f>WEEKNUM(orders[[#This Row],[Order Date]])</f>
        <v>13</v>
      </c>
      <c r="O2374" s="1"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s="1">
        <v>159.5</v>
      </c>
      <c r="F2375" s="2">
        <v>45744</v>
      </c>
      <c r="G2375" s="2">
        <v>45746</v>
      </c>
      <c r="H2375" s="1" t="s">
        <v>27</v>
      </c>
      <c r="I2375" s="1" t="s">
        <v>40</v>
      </c>
      <c r="J2375" s="1">
        <v>5</v>
      </c>
      <c r="K2375" s="1" t="s">
        <v>19</v>
      </c>
      <c r="L2375" s="1" t="s">
        <v>243</v>
      </c>
      <c r="M2375" s="1">
        <f>orders[[#This Row],[Ship Date]]-orders[[#This Row],[Order Date]]</f>
        <v>2</v>
      </c>
      <c r="N2375" s="1">
        <f>WEEKNUM(orders[[#This Row],[Order Date]])</f>
        <v>13</v>
      </c>
      <c r="O2375" s="1"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s="1">
        <v>79</v>
      </c>
      <c r="F2376" s="2">
        <v>45745</v>
      </c>
      <c r="G2376" s="2">
        <v>45746</v>
      </c>
      <c r="H2376" s="1" t="s">
        <v>23</v>
      </c>
      <c r="I2376" s="1" t="s">
        <v>51</v>
      </c>
      <c r="J2376" s="1">
        <v>5</v>
      </c>
      <c r="K2376" s="1" t="s">
        <v>19</v>
      </c>
      <c r="L2376" s="1" t="s">
        <v>115</v>
      </c>
      <c r="M2376" s="1">
        <f>orders[[#This Row],[Ship Date]]-orders[[#This Row],[Order Date]]</f>
        <v>1</v>
      </c>
      <c r="N2376" s="1">
        <f>WEEKNUM(orders[[#This Row],[Order Date]])</f>
        <v>13</v>
      </c>
      <c r="O2376" s="1"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s="1">
        <v>50.2</v>
      </c>
      <c r="F2377" s="2">
        <v>45745</v>
      </c>
      <c r="G2377" s="2">
        <v>45747</v>
      </c>
      <c r="H2377" s="1" t="s">
        <v>17</v>
      </c>
      <c r="I2377" s="1" t="s">
        <v>35</v>
      </c>
      <c r="J2377" s="1">
        <v>4</v>
      </c>
      <c r="K2377" s="1" t="s">
        <v>19</v>
      </c>
      <c r="L2377" s="1" t="s">
        <v>115</v>
      </c>
      <c r="M2377" s="1">
        <f>orders[[#This Row],[Ship Date]]-orders[[#This Row],[Order Date]]</f>
        <v>2</v>
      </c>
      <c r="N2377" s="1">
        <f>WEEKNUM(orders[[#This Row],[Order Date]])</f>
        <v>13</v>
      </c>
      <c r="O2377" s="1"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s="1">
        <v>876.30000000000007</v>
      </c>
      <c r="F2378" s="2">
        <v>45745</v>
      </c>
      <c r="G2378" s="2">
        <v>45746</v>
      </c>
      <c r="H2378" s="1" t="s">
        <v>27</v>
      </c>
      <c r="I2378" s="1" t="s">
        <v>70</v>
      </c>
      <c r="J2378" s="1">
        <v>4</v>
      </c>
      <c r="K2378" s="1" t="s">
        <v>19</v>
      </c>
      <c r="L2378" s="1" t="s">
        <v>24</v>
      </c>
      <c r="M2378" s="1">
        <f>orders[[#This Row],[Ship Date]]-orders[[#This Row],[Order Date]]</f>
        <v>1</v>
      </c>
      <c r="N2378" s="1">
        <f>WEEKNUM(orders[[#This Row],[Order Date]])</f>
        <v>13</v>
      </c>
      <c r="O2378" s="1"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s="1">
        <v>84.4</v>
      </c>
      <c r="F2379" s="2">
        <v>45745</v>
      </c>
      <c r="G2379" s="2">
        <v>45747</v>
      </c>
      <c r="H2379" s="1" t="s">
        <v>27</v>
      </c>
      <c r="I2379" s="1" t="s">
        <v>18</v>
      </c>
      <c r="J2379" s="1">
        <v>5</v>
      </c>
      <c r="K2379" s="1" t="s">
        <v>19</v>
      </c>
      <c r="L2379" s="1" t="s">
        <v>24</v>
      </c>
      <c r="M2379" s="1">
        <f>orders[[#This Row],[Ship Date]]-orders[[#This Row],[Order Date]]</f>
        <v>2</v>
      </c>
      <c r="N2379" s="1">
        <f>WEEKNUM(orders[[#This Row],[Order Date]])</f>
        <v>13</v>
      </c>
      <c r="O2379" s="1"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s="1">
        <v>123</v>
      </c>
      <c r="F2380" s="2">
        <v>45745</v>
      </c>
      <c r="G2380" s="2">
        <v>45746</v>
      </c>
      <c r="H2380" s="1" t="s">
        <v>27</v>
      </c>
      <c r="I2380" s="1" t="s">
        <v>70</v>
      </c>
      <c r="J2380" s="1">
        <v>4</v>
      </c>
      <c r="K2380" s="1" t="s">
        <v>19</v>
      </c>
      <c r="L2380" s="1" t="s">
        <v>28</v>
      </c>
      <c r="M2380" s="1">
        <f>orders[[#This Row],[Ship Date]]-orders[[#This Row],[Order Date]]</f>
        <v>1</v>
      </c>
      <c r="N2380" s="1">
        <f>WEEKNUM(orders[[#This Row],[Order Date]])</f>
        <v>13</v>
      </c>
      <c r="O2380" s="1"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s="1">
        <v>30.2</v>
      </c>
      <c r="F2381" s="2">
        <v>45745</v>
      </c>
      <c r="G2381" s="2">
        <v>45747</v>
      </c>
      <c r="H2381" s="1" t="s">
        <v>27</v>
      </c>
      <c r="I2381" s="1" t="s">
        <v>35</v>
      </c>
      <c r="J2381" s="1">
        <v>5</v>
      </c>
      <c r="K2381" s="1" t="s">
        <v>19</v>
      </c>
      <c r="L2381" s="1" t="s">
        <v>334</v>
      </c>
      <c r="M2381" s="1">
        <f>orders[[#This Row],[Ship Date]]-orders[[#This Row],[Order Date]]</f>
        <v>2</v>
      </c>
      <c r="N2381" s="1">
        <f>WEEKNUM(orders[[#This Row],[Order Date]])</f>
        <v>13</v>
      </c>
      <c r="O2381" s="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s="1">
        <v>75.900000000000006</v>
      </c>
      <c r="F2382" s="2">
        <v>45745</v>
      </c>
      <c r="G2382" s="2">
        <v>45748</v>
      </c>
      <c r="H2382" s="1" t="s">
        <v>27</v>
      </c>
      <c r="I2382" s="1" t="s">
        <v>40</v>
      </c>
      <c r="J2382" s="1">
        <v>4</v>
      </c>
      <c r="K2382" s="1" t="s">
        <v>19</v>
      </c>
      <c r="L2382" s="1" t="s">
        <v>33</v>
      </c>
      <c r="M2382" s="1">
        <f>orders[[#This Row],[Ship Date]]-orders[[#This Row],[Order Date]]</f>
        <v>3</v>
      </c>
      <c r="N2382" s="1">
        <f>WEEKNUM(orders[[#This Row],[Order Date]])</f>
        <v>13</v>
      </c>
      <c r="O2382" s="1"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s="1">
        <v>148.5</v>
      </c>
      <c r="F2383" s="2">
        <v>45745</v>
      </c>
      <c r="G2383" s="2">
        <v>45747</v>
      </c>
      <c r="H2383" s="1" t="s">
        <v>23</v>
      </c>
      <c r="I2383" s="1" t="s">
        <v>51</v>
      </c>
      <c r="J2383" s="1">
        <v>4</v>
      </c>
      <c r="K2383" s="1" t="s">
        <v>19</v>
      </c>
      <c r="L2383" s="1" t="s">
        <v>33</v>
      </c>
      <c r="M2383" s="1">
        <f>orders[[#This Row],[Ship Date]]-orders[[#This Row],[Order Date]]</f>
        <v>2</v>
      </c>
      <c r="N2383" s="1">
        <f>WEEKNUM(orders[[#This Row],[Order Date]])</f>
        <v>13</v>
      </c>
      <c r="O2383" s="1"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s="1">
        <v>263.2</v>
      </c>
      <c r="F2384" s="2">
        <v>45745</v>
      </c>
      <c r="G2384" s="2">
        <v>45746</v>
      </c>
      <c r="H2384" s="1" t="s">
        <v>17</v>
      </c>
      <c r="I2384" s="1" t="s">
        <v>51</v>
      </c>
      <c r="J2384" s="1">
        <v>5</v>
      </c>
      <c r="K2384" s="1" t="s">
        <v>19</v>
      </c>
      <c r="L2384" s="1" t="s">
        <v>33</v>
      </c>
      <c r="M2384" s="1">
        <f>orders[[#This Row],[Ship Date]]-orders[[#This Row],[Order Date]]</f>
        <v>1</v>
      </c>
      <c r="N2384" s="1">
        <f>WEEKNUM(orders[[#This Row],[Order Date]])</f>
        <v>13</v>
      </c>
      <c r="O2384" s="1"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s="1">
        <v>87.2</v>
      </c>
      <c r="F2385" s="2">
        <v>45745</v>
      </c>
      <c r="G2385" s="2">
        <v>45746</v>
      </c>
      <c r="H2385" s="1" t="s">
        <v>23</v>
      </c>
      <c r="I2385" s="1" t="s">
        <v>35</v>
      </c>
      <c r="J2385" s="1">
        <v>5</v>
      </c>
      <c r="K2385" s="1" t="s">
        <v>19</v>
      </c>
      <c r="L2385" s="1" t="s">
        <v>33</v>
      </c>
      <c r="M2385" s="1">
        <f>orders[[#This Row],[Ship Date]]-orders[[#This Row],[Order Date]]</f>
        <v>1</v>
      </c>
      <c r="N2385" s="1">
        <f>WEEKNUM(orders[[#This Row],[Order Date]])</f>
        <v>13</v>
      </c>
      <c r="O2385" s="1"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s="1">
        <v>313.60000000000002</v>
      </c>
      <c r="F2386" s="2">
        <v>45745</v>
      </c>
      <c r="G2386" s="2">
        <v>45746</v>
      </c>
      <c r="H2386" s="1" t="s">
        <v>23</v>
      </c>
      <c r="I2386" s="1" t="s">
        <v>40</v>
      </c>
      <c r="J2386" s="1">
        <v>4</v>
      </c>
      <c r="K2386" s="1" t="s">
        <v>19</v>
      </c>
      <c r="L2386" s="1" t="s">
        <v>33</v>
      </c>
      <c r="M2386" s="1">
        <f>orders[[#This Row],[Ship Date]]-orders[[#This Row],[Order Date]]</f>
        <v>1</v>
      </c>
      <c r="N2386" s="1">
        <f>WEEKNUM(orders[[#This Row],[Order Date]])</f>
        <v>13</v>
      </c>
      <c r="O2386" s="1"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s="1">
        <v>113</v>
      </c>
      <c r="F2387" s="2">
        <v>45745</v>
      </c>
      <c r="G2387" s="2">
        <v>45749</v>
      </c>
      <c r="H2387" s="1" t="s">
        <v>23</v>
      </c>
      <c r="I2387" s="1" t="s">
        <v>35</v>
      </c>
      <c r="J2387" s="1">
        <v>3</v>
      </c>
      <c r="K2387" s="1" t="s">
        <v>19</v>
      </c>
      <c r="L2387" s="1" t="s">
        <v>33</v>
      </c>
      <c r="M2387" s="1">
        <f>orders[[#This Row],[Ship Date]]-orders[[#This Row],[Order Date]]</f>
        <v>4</v>
      </c>
      <c r="N2387" s="1">
        <f>WEEKNUM(orders[[#This Row],[Order Date]])</f>
        <v>13</v>
      </c>
      <c r="O2387" s="1"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s="1">
        <v>36.700000000000003</v>
      </c>
      <c r="F2388" s="2">
        <v>45745</v>
      </c>
      <c r="G2388" s="2">
        <v>45746</v>
      </c>
      <c r="H2388" s="1" t="s">
        <v>27</v>
      </c>
      <c r="I2388" s="1" t="s">
        <v>18</v>
      </c>
      <c r="J2388" s="1">
        <v>5</v>
      </c>
      <c r="K2388" s="1" t="s">
        <v>19</v>
      </c>
      <c r="L2388" s="1" t="s">
        <v>33</v>
      </c>
      <c r="M2388" s="1">
        <f>orders[[#This Row],[Ship Date]]-orders[[#This Row],[Order Date]]</f>
        <v>1</v>
      </c>
      <c r="N2388" s="1">
        <f>WEEKNUM(orders[[#This Row],[Order Date]])</f>
        <v>13</v>
      </c>
      <c r="O2388" s="1"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s="1">
        <v>414.4</v>
      </c>
      <c r="F2389" s="2">
        <v>45745</v>
      </c>
      <c r="G2389" s="2">
        <v>45756</v>
      </c>
      <c r="H2389" s="1" t="s">
        <v>23</v>
      </c>
      <c r="I2389" s="1" t="s">
        <v>70</v>
      </c>
      <c r="J2389" s="1">
        <v>5</v>
      </c>
      <c r="K2389" s="1" t="s">
        <v>19</v>
      </c>
      <c r="L2389" s="1" t="s">
        <v>33</v>
      </c>
      <c r="M2389" s="1">
        <f>orders[[#This Row],[Ship Date]]-orders[[#This Row],[Order Date]]</f>
        <v>11</v>
      </c>
      <c r="N2389" s="1">
        <f>WEEKNUM(orders[[#This Row],[Order Date]])</f>
        <v>13</v>
      </c>
      <c r="O2389" s="1"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s="1">
        <v>97.199999999999989</v>
      </c>
      <c r="F2390" s="2">
        <v>45745</v>
      </c>
      <c r="G2390" s="2">
        <v>45749</v>
      </c>
      <c r="H2390" s="1" t="s">
        <v>23</v>
      </c>
      <c r="I2390" s="1" t="s">
        <v>35</v>
      </c>
      <c r="J2390" s="1">
        <v>5</v>
      </c>
      <c r="K2390" s="1" t="s">
        <v>19</v>
      </c>
      <c r="L2390" s="1" t="s">
        <v>55</v>
      </c>
      <c r="M2390" s="1">
        <f>orders[[#This Row],[Ship Date]]-orders[[#This Row],[Order Date]]</f>
        <v>4</v>
      </c>
      <c r="N2390" s="1">
        <f>WEEKNUM(orders[[#This Row],[Order Date]])</f>
        <v>13</v>
      </c>
      <c r="O2390" s="1"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s="1">
        <v>40.4</v>
      </c>
      <c r="F2391" s="2">
        <v>45745</v>
      </c>
      <c r="G2391" s="2">
        <v>45746</v>
      </c>
      <c r="H2391" s="1" t="s">
        <v>27</v>
      </c>
      <c r="I2391" s="1" t="s">
        <v>18</v>
      </c>
      <c r="J2391" s="1">
        <v>4</v>
      </c>
      <c r="K2391" s="1" t="s">
        <v>19</v>
      </c>
      <c r="L2391" s="1" t="s">
        <v>55</v>
      </c>
      <c r="M2391" s="1">
        <f>orders[[#This Row],[Ship Date]]-orders[[#This Row],[Order Date]]</f>
        <v>1</v>
      </c>
      <c r="N2391" s="1">
        <f>WEEKNUM(orders[[#This Row],[Order Date]])</f>
        <v>13</v>
      </c>
      <c r="O2391" s="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s="1">
        <v>53.8</v>
      </c>
      <c r="F2392" s="2">
        <v>45745</v>
      </c>
      <c r="G2392" s="2">
        <v>45747</v>
      </c>
      <c r="H2392" s="1" t="s">
        <v>27</v>
      </c>
      <c r="I2392" s="1" t="s">
        <v>40</v>
      </c>
      <c r="J2392" s="1">
        <v>4</v>
      </c>
      <c r="K2392" s="1" t="s">
        <v>19</v>
      </c>
      <c r="L2392" s="1" t="s">
        <v>55</v>
      </c>
      <c r="M2392" s="1">
        <f>orders[[#This Row],[Ship Date]]-orders[[#This Row],[Order Date]]</f>
        <v>2</v>
      </c>
      <c r="N2392" s="1">
        <f>WEEKNUM(orders[[#This Row],[Order Date]])</f>
        <v>13</v>
      </c>
      <c r="O2392" s="1"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s="1">
        <v>164.8</v>
      </c>
      <c r="F2393" s="2">
        <v>45745</v>
      </c>
      <c r="G2393" s="2">
        <v>45748</v>
      </c>
      <c r="H2393" s="1" t="s">
        <v>17</v>
      </c>
      <c r="I2393" s="1" t="s">
        <v>18</v>
      </c>
      <c r="J2393" s="1">
        <v>4</v>
      </c>
      <c r="K2393" s="1" t="s">
        <v>19</v>
      </c>
      <c r="L2393" s="1" t="s">
        <v>59</v>
      </c>
      <c r="M2393" s="1">
        <f>orders[[#This Row],[Ship Date]]-orders[[#This Row],[Order Date]]</f>
        <v>3</v>
      </c>
      <c r="N2393" s="1">
        <f>WEEKNUM(orders[[#This Row],[Order Date]])</f>
        <v>13</v>
      </c>
      <c r="O2393" s="1"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s="1">
        <v>235.6</v>
      </c>
      <c r="F2394" s="2">
        <v>45745</v>
      </c>
      <c r="G2394" s="2">
        <v>45747</v>
      </c>
      <c r="H2394" s="1" t="s">
        <v>23</v>
      </c>
      <c r="I2394" s="1" t="s">
        <v>35</v>
      </c>
      <c r="J2394" s="1">
        <v>5</v>
      </c>
      <c r="K2394" s="1" t="s">
        <v>19</v>
      </c>
      <c r="L2394" s="1" t="s">
        <v>62</v>
      </c>
      <c r="M2394" s="1">
        <f>orders[[#This Row],[Ship Date]]-orders[[#This Row],[Order Date]]</f>
        <v>2</v>
      </c>
      <c r="N2394" s="1">
        <f>WEEKNUM(orders[[#This Row],[Order Date]])</f>
        <v>13</v>
      </c>
      <c r="O2394" s="1"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s="1">
        <v>146.80000000000001</v>
      </c>
      <c r="F2395" s="2">
        <v>45745</v>
      </c>
      <c r="G2395" s="2">
        <v>45746</v>
      </c>
      <c r="H2395" s="1" t="s">
        <v>23</v>
      </c>
      <c r="I2395" s="1" t="s">
        <v>35</v>
      </c>
      <c r="J2395" s="1">
        <v>4</v>
      </c>
      <c r="K2395" s="1" t="s">
        <v>19</v>
      </c>
      <c r="L2395" s="1" t="s">
        <v>62</v>
      </c>
      <c r="M2395" s="1">
        <f>orders[[#This Row],[Ship Date]]-orders[[#This Row],[Order Date]]</f>
        <v>1</v>
      </c>
      <c r="N2395" s="1">
        <f>WEEKNUM(orders[[#This Row],[Order Date]])</f>
        <v>13</v>
      </c>
      <c r="O2395" s="1"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s="1">
        <v>140.39999999999998</v>
      </c>
      <c r="F2396" s="2">
        <v>45745</v>
      </c>
      <c r="G2396" s="2">
        <v>45746</v>
      </c>
      <c r="H2396" s="1" t="s">
        <v>23</v>
      </c>
      <c r="I2396" s="1" t="s">
        <v>70</v>
      </c>
      <c r="J2396" s="1">
        <v>5</v>
      </c>
      <c r="K2396" s="1" t="s">
        <v>19</v>
      </c>
      <c r="L2396" s="1" t="s">
        <v>74</v>
      </c>
      <c r="M2396" s="1">
        <f>orders[[#This Row],[Ship Date]]-orders[[#This Row],[Order Date]]</f>
        <v>1</v>
      </c>
      <c r="N2396" s="1">
        <f>WEEKNUM(orders[[#This Row],[Order Date]])</f>
        <v>13</v>
      </c>
      <c r="O2396" s="1"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s="1">
        <v>61.4</v>
      </c>
      <c r="F2397" s="2">
        <v>45745</v>
      </c>
      <c r="G2397" s="2">
        <v>45746</v>
      </c>
      <c r="H2397" s="1" t="s">
        <v>23</v>
      </c>
      <c r="I2397" s="1" t="s">
        <v>35</v>
      </c>
      <c r="J2397" s="1">
        <v>4</v>
      </c>
      <c r="K2397" s="1" t="s">
        <v>19</v>
      </c>
      <c r="L2397" s="1" t="s">
        <v>74</v>
      </c>
      <c r="M2397" s="1">
        <f>orders[[#This Row],[Ship Date]]-orders[[#This Row],[Order Date]]</f>
        <v>1</v>
      </c>
      <c r="N2397" s="1">
        <f>WEEKNUM(orders[[#This Row],[Order Date]])</f>
        <v>13</v>
      </c>
      <c r="O2397" s="1"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s="1">
        <v>45.8</v>
      </c>
      <c r="F2398" s="2">
        <v>45745</v>
      </c>
      <c r="G2398" s="2">
        <v>45746</v>
      </c>
      <c r="H2398" s="1" t="s">
        <v>23</v>
      </c>
      <c r="I2398" s="1" t="s">
        <v>18</v>
      </c>
      <c r="J2398" s="1">
        <v>4</v>
      </c>
      <c r="K2398" s="1" t="s">
        <v>19</v>
      </c>
      <c r="L2398" s="1" t="s">
        <v>77</v>
      </c>
      <c r="M2398" s="1">
        <f>orders[[#This Row],[Ship Date]]-orders[[#This Row],[Order Date]]</f>
        <v>1</v>
      </c>
      <c r="N2398" s="1">
        <f>WEEKNUM(orders[[#This Row],[Order Date]])</f>
        <v>13</v>
      </c>
      <c r="O2398" s="1"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s="1">
        <v>44.2</v>
      </c>
      <c r="F2399" s="2">
        <v>45745</v>
      </c>
      <c r="G2399" s="2">
        <v>45746</v>
      </c>
      <c r="H2399" s="1" t="s">
        <v>27</v>
      </c>
      <c r="I2399" s="1" t="s">
        <v>70</v>
      </c>
      <c r="J2399" s="1">
        <v>4</v>
      </c>
      <c r="K2399" s="1" t="s">
        <v>19</v>
      </c>
      <c r="L2399" s="1" t="s">
        <v>77</v>
      </c>
      <c r="M2399" s="1">
        <f>orders[[#This Row],[Ship Date]]-orders[[#This Row],[Order Date]]</f>
        <v>1</v>
      </c>
      <c r="N2399" s="1">
        <f>WEEKNUM(orders[[#This Row],[Order Date]])</f>
        <v>13</v>
      </c>
      <c r="O2399" s="1"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s="1">
        <v>62</v>
      </c>
      <c r="F2400" s="2">
        <v>45745</v>
      </c>
      <c r="G2400" s="2">
        <v>45747</v>
      </c>
      <c r="H2400" s="1" t="s">
        <v>27</v>
      </c>
      <c r="I2400" s="1" t="s">
        <v>40</v>
      </c>
      <c r="J2400" s="1">
        <v>4</v>
      </c>
      <c r="K2400" s="1" t="s">
        <v>19</v>
      </c>
      <c r="L2400" s="1" t="s">
        <v>108</v>
      </c>
      <c r="M2400" s="1">
        <f>orders[[#This Row],[Ship Date]]-orders[[#This Row],[Order Date]]</f>
        <v>2</v>
      </c>
      <c r="N2400" s="1">
        <f>WEEKNUM(orders[[#This Row],[Order Date]])</f>
        <v>13</v>
      </c>
      <c r="O2400" s="1"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s="1">
        <v>168.4</v>
      </c>
      <c r="F2401" s="2">
        <v>45745</v>
      </c>
      <c r="G2401" s="2">
        <v>45747</v>
      </c>
      <c r="H2401" s="1" t="s">
        <v>23</v>
      </c>
      <c r="I2401" s="1" t="s">
        <v>40</v>
      </c>
      <c r="J2401" s="1">
        <v>5</v>
      </c>
      <c r="K2401" s="1" t="s">
        <v>19</v>
      </c>
      <c r="L2401" s="1" t="s">
        <v>82</v>
      </c>
      <c r="M2401" s="1">
        <f>orders[[#This Row],[Ship Date]]-orders[[#This Row],[Order Date]]</f>
        <v>2</v>
      </c>
      <c r="N2401" s="1">
        <f>WEEKNUM(orders[[#This Row],[Order Date]])</f>
        <v>13</v>
      </c>
      <c r="O2401" s="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39A8B-03C4-4D89-B06C-39BB9ADC696E}">
  <dimension ref="A1:W202"/>
  <sheetViews>
    <sheetView topLeftCell="D60" zoomScale="96" zoomScaleNormal="190" workbookViewId="0">
      <selection activeCell="K19" sqref="K19"/>
    </sheetView>
  </sheetViews>
  <sheetFormatPr defaultRowHeight="14.4" x14ac:dyDescent="0.3"/>
  <cols>
    <col min="1" max="1" width="13" bestFit="1" customWidth="1"/>
    <col min="2" max="2" width="12.77734375" bestFit="1" customWidth="1"/>
    <col min="3" max="3" width="14.77734375" bestFit="1" customWidth="1"/>
    <col min="4" max="4" width="14.109375" bestFit="1" customWidth="1"/>
    <col min="5" max="5" width="23.21875" bestFit="1" customWidth="1"/>
    <col min="6" max="6" width="4.109375" bestFit="1" customWidth="1"/>
    <col min="7" max="7" width="11" bestFit="1" customWidth="1"/>
    <col min="8" max="8" width="20.109375" bestFit="1" customWidth="1"/>
    <col min="9" max="9" width="11.77734375" bestFit="1" customWidth="1"/>
    <col min="10" max="10" width="15" bestFit="1" customWidth="1"/>
    <col min="11" max="12" width="9" bestFit="1" customWidth="1"/>
    <col min="13" max="13" width="13" bestFit="1" customWidth="1"/>
    <col min="14" max="14" width="14.77734375" bestFit="1" customWidth="1"/>
    <col min="15" max="15" width="13.33203125" customWidth="1"/>
    <col min="16" max="16" width="15" customWidth="1"/>
    <col min="17" max="17" width="18" bestFit="1" customWidth="1"/>
    <col min="18" max="18" width="12.44140625" customWidth="1"/>
    <col min="19" max="19" width="10.21875" customWidth="1"/>
    <col min="20" max="32" width="9" bestFit="1" customWidth="1"/>
    <col min="33" max="89" width="9.44140625" bestFit="1" customWidth="1"/>
    <col min="90" max="90" width="10.5546875" bestFit="1" customWidth="1"/>
    <col min="91" max="96" width="17.109375" bestFit="1" customWidth="1"/>
    <col min="97" max="97" width="10.5546875" bestFit="1" customWidth="1"/>
    <col min="98" max="1764" width="17.88671875" bestFit="1" customWidth="1"/>
    <col min="1765" max="1765" width="11" bestFit="1" customWidth="1"/>
  </cols>
  <sheetData>
    <row r="1" spans="1:15" x14ac:dyDescent="0.3">
      <c r="B1" s="16" t="s">
        <v>2503</v>
      </c>
      <c r="C1" s="16" t="s">
        <v>2505</v>
      </c>
    </row>
    <row r="2" spans="1:15" x14ac:dyDescent="0.3">
      <c r="A2" s="17"/>
      <c r="B2" s="16" t="s">
        <v>2504</v>
      </c>
      <c r="C2" s="16" t="s">
        <v>2506</v>
      </c>
    </row>
    <row r="3" spans="1:15" x14ac:dyDescent="0.3">
      <c r="A3" s="17"/>
      <c r="C3" s="16" t="s">
        <v>2507</v>
      </c>
    </row>
    <row r="6" spans="1:15" ht="15" thickBot="1" x14ac:dyDescent="0.35"/>
    <row r="7" spans="1:15" ht="15" thickBot="1" x14ac:dyDescent="0.35">
      <c r="A7" s="29" t="s">
        <v>2508</v>
      </c>
      <c r="B7" s="30" t="s">
        <v>2509</v>
      </c>
      <c r="C7" s="30" t="s">
        <v>2510</v>
      </c>
      <c r="D7" s="30" t="s">
        <v>2511</v>
      </c>
      <c r="E7" s="31" t="s">
        <v>2512</v>
      </c>
      <c r="F7" s="18"/>
      <c r="G7" s="18"/>
      <c r="H7" s="18"/>
      <c r="I7" s="18"/>
      <c r="J7" s="18" t="s">
        <v>2534</v>
      </c>
      <c r="K7" s="18"/>
      <c r="L7" s="18"/>
      <c r="M7" s="18"/>
      <c r="N7" s="18"/>
      <c r="O7" s="19"/>
    </row>
    <row r="8" spans="1:15" ht="15" thickBot="1" x14ac:dyDescent="0.35">
      <c r="A8" s="26">
        <v>2400</v>
      </c>
      <c r="B8" s="27">
        <v>11997</v>
      </c>
      <c r="C8" s="27">
        <v>649019.80000000144</v>
      </c>
      <c r="D8" s="27">
        <v>3.9620833333333332</v>
      </c>
      <c r="E8" s="28">
        <v>2.3424999999999998</v>
      </c>
      <c r="F8" s="17"/>
      <c r="G8" s="17"/>
      <c r="H8" s="17"/>
      <c r="I8" s="17"/>
      <c r="J8" s="17" t="s">
        <v>2513</v>
      </c>
      <c r="K8" s="17" t="s">
        <v>2514</v>
      </c>
      <c r="L8" s="17" t="s">
        <v>4</v>
      </c>
      <c r="M8" s="17" t="s">
        <v>2515</v>
      </c>
      <c r="N8" s="17" t="s">
        <v>2516</v>
      </c>
      <c r="O8" s="20"/>
    </row>
    <row r="9" spans="1:15" ht="20.399999999999999" customHeight="1" thickBot="1" x14ac:dyDescent="0.35">
      <c r="A9" s="21"/>
      <c r="B9" s="22"/>
      <c r="C9" s="22"/>
      <c r="D9" s="22"/>
      <c r="E9" s="22"/>
      <c r="F9" s="22"/>
      <c r="G9" s="22"/>
      <c r="H9" s="22"/>
      <c r="I9" s="22"/>
      <c r="J9" s="22" t="str">
        <f>TEXT(A8,"#,##")</f>
        <v>2,400</v>
      </c>
      <c r="K9" s="22" t="str">
        <f t="shared" ref="K9:O9" si="0">TEXT(B8,"#,##")</f>
        <v>11,997</v>
      </c>
      <c r="L9" s="22" t="str">
        <f>TEXT(C8,"$#,##,.0K")</f>
        <v>$649.0K</v>
      </c>
      <c r="M9" s="22" t="str">
        <f>TEXT(D8,"0.00")</f>
        <v>3.96</v>
      </c>
      <c r="N9" s="22" t="str">
        <f>TEXT(E8,"0.00")</f>
        <v>2.34</v>
      </c>
      <c r="O9" s="23" t="str">
        <f t="shared" si="0"/>
        <v/>
      </c>
    </row>
    <row r="10" spans="1:15" ht="20.399999999999999" customHeight="1" x14ac:dyDescent="0.3"/>
    <row r="11" spans="1:15" ht="20.399999999999999" customHeight="1" x14ac:dyDescent="0.3"/>
    <row r="12" spans="1:15" ht="20.399999999999999" customHeight="1" x14ac:dyDescent="0.3">
      <c r="A12" t="s">
        <v>2535</v>
      </c>
    </row>
    <row r="13" spans="1:15" ht="20.399999999999999" customHeight="1" x14ac:dyDescent="0.3"/>
    <row r="14" spans="1:15" ht="20.399999999999999" customHeight="1" x14ac:dyDescent="0.3">
      <c r="A14" s="3" t="s">
        <v>2517</v>
      </c>
      <c r="B14" t="s">
        <v>2509</v>
      </c>
      <c r="C14" t="s">
        <v>2510</v>
      </c>
    </row>
    <row r="15" spans="1:15" x14ac:dyDescent="0.3">
      <c r="A15" s="4">
        <v>1</v>
      </c>
      <c r="B15" s="15">
        <v>546</v>
      </c>
      <c r="C15" s="5">
        <v>32413.300000000003</v>
      </c>
    </row>
    <row r="16" spans="1:15" x14ac:dyDescent="0.3">
      <c r="A16" s="4">
        <v>2</v>
      </c>
      <c r="B16" s="15">
        <v>905</v>
      </c>
      <c r="C16" s="5">
        <v>49562.999999999993</v>
      </c>
    </row>
    <row r="17" spans="1:18" x14ac:dyDescent="0.3">
      <c r="A17" s="4">
        <v>3</v>
      </c>
      <c r="B17" s="15">
        <v>796</v>
      </c>
      <c r="C17" s="5">
        <v>41700.400000000016</v>
      </c>
    </row>
    <row r="18" spans="1:18" x14ac:dyDescent="0.3">
      <c r="A18" s="4">
        <v>4</v>
      </c>
      <c r="B18" s="15">
        <v>913</v>
      </c>
      <c r="C18" s="5">
        <v>46782.599999999984</v>
      </c>
    </row>
    <row r="19" spans="1:18" x14ac:dyDescent="0.3">
      <c r="A19" s="4">
        <v>5</v>
      </c>
      <c r="B19" s="15">
        <v>844</v>
      </c>
      <c r="C19" s="5">
        <v>42676.100000000006</v>
      </c>
    </row>
    <row r="20" spans="1:18" x14ac:dyDescent="0.3">
      <c r="A20" s="4">
        <v>6</v>
      </c>
      <c r="B20" s="15">
        <v>1202</v>
      </c>
      <c r="C20" s="5">
        <v>62910.7</v>
      </c>
    </row>
    <row r="21" spans="1:18" x14ac:dyDescent="0.3">
      <c r="A21" s="4">
        <v>7</v>
      </c>
      <c r="B21" s="15">
        <v>935</v>
      </c>
      <c r="C21" s="5">
        <v>50332.200000000004</v>
      </c>
    </row>
    <row r="22" spans="1:18" x14ac:dyDescent="0.3">
      <c r="A22" s="4">
        <v>8</v>
      </c>
      <c r="B22" s="15">
        <v>1128</v>
      </c>
      <c r="C22" s="5">
        <v>58760.599999999977</v>
      </c>
    </row>
    <row r="23" spans="1:18" x14ac:dyDescent="0.3">
      <c r="A23" s="4">
        <v>9</v>
      </c>
      <c r="B23" s="15">
        <v>1007</v>
      </c>
      <c r="C23" s="5">
        <v>52017.299999999996</v>
      </c>
    </row>
    <row r="24" spans="1:18" x14ac:dyDescent="0.3">
      <c r="A24" s="4">
        <v>10</v>
      </c>
      <c r="B24" s="15">
        <v>1128</v>
      </c>
      <c r="C24" s="5">
        <v>64915.700000000033</v>
      </c>
    </row>
    <row r="25" spans="1:18" x14ac:dyDescent="0.3">
      <c r="A25" s="4">
        <v>11</v>
      </c>
      <c r="B25" s="15">
        <v>861</v>
      </c>
      <c r="C25" s="5">
        <v>45943.80000000001</v>
      </c>
    </row>
    <row r="26" spans="1:18" x14ac:dyDescent="0.3">
      <c r="A26" s="4">
        <v>12</v>
      </c>
      <c r="B26" s="15">
        <v>944</v>
      </c>
      <c r="C26" s="5">
        <v>55077.900000000031</v>
      </c>
    </row>
    <row r="27" spans="1:18" x14ac:dyDescent="0.3">
      <c r="A27" s="4">
        <v>13</v>
      </c>
      <c r="B27" s="15">
        <v>788</v>
      </c>
      <c r="C27" s="5">
        <v>45926.19999999999</v>
      </c>
    </row>
    <row r="28" spans="1:18" x14ac:dyDescent="0.3">
      <c r="A28" s="4" t="s">
        <v>2518</v>
      </c>
      <c r="B28" s="15">
        <v>11997</v>
      </c>
      <c r="C28" s="5">
        <v>649019.79999999993</v>
      </c>
    </row>
    <row r="31" spans="1:18" x14ac:dyDescent="0.3">
      <c r="A31" s="13" t="s">
        <v>2536</v>
      </c>
      <c r="J31" s="3" t="s">
        <v>2510</v>
      </c>
      <c r="K31" s="3" t="s">
        <v>2519</v>
      </c>
    </row>
    <row r="32" spans="1:18" ht="15" thickBot="1" x14ac:dyDescent="0.35">
      <c r="J32" s="3" t="s">
        <v>2517</v>
      </c>
      <c r="K32" t="s">
        <v>2521</v>
      </c>
      <c r="L32" t="s">
        <v>2522</v>
      </c>
      <c r="M32" t="s">
        <v>2523</v>
      </c>
      <c r="N32" t="s">
        <v>2520</v>
      </c>
      <c r="O32" t="s">
        <v>2518</v>
      </c>
      <c r="R32" t="s">
        <v>2524</v>
      </c>
    </row>
    <row r="33" spans="1:23" ht="24.6" customHeight="1" thickTop="1" thickBot="1" x14ac:dyDescent="0.35">
      <c r="J33" s="4" t="s">
        <v>18</v>
      </c>
      <c r="K33" s="6">
        <v>0.18961825201634841</v>
      </c>
      <c r="L33" s="6">
        <v>0.12262322351336576</v>
      </c>
      <c r="M33" s="6">
        <v>1.060537752469185E-2</v>
      </c>
      <c r="N33" s="6">
        <v>3.0599220547662797E-2</v>
      </c>
      <c r="O33" s="6">
        <v>0.35344607360206881</v>
      </c>
      <c r="Q33" s="9"/>
      <c r="R33" s="9"/>
      <c r="S33" s="9"/>
      <c r="T33" s="9"/>
      <c r="U33" s="9"/>
      <c r="V33" s="9"/>
      <c r="W33" s="9"/>
    </row>
    <row r="34" spans="1:23" ht="24.6" customHeight="1" thickTop="1" thickBot="1" x14ac:dyDescent="0.35">
      <c r="J34" s="4" t="s">
        <v>51</v>
      </c>
      <c r="K34" s="6">
        <v>5.0283982091147303E-2</v>
      </c>
      <c r="L34" s="6">
        <v>4.3060781812819873E-2</v>
      </c>
      <c r="M34" s="6">
        <v>1.5320025675641944E-3</v>
      </c>
      <c r="N34" s="6">
        <v>1.7794988689097006E-2</v>
      </c>
      <c r="O34" s="6">
        <v>0.11267175516062837</v>
      </c>
      <c r="Q34" s="9"/>
      <c r="R34" s="7"/>
      <c r="S34" s="11" t="str">
        <f>K32</f>
        <v>Female</v>
      </c>
      <c r="T34" s="11" t="str">
        <f>L32</f>
        <v>Male</v>
      </c>
      <c r="U34" s="11" t="str">
        <f>M32</f>
        <v>Other</v>
      </c>
      <c r="V34" s="11" t="str">
        <f>N32</f>
        <v>Unknown</v>
      </c>
      <c r="W34" s="9"/>
    </row>
    <row r="35" spans="1:23" ht="24.6" customHeight="1" thickTop="1" thickBot="1" x14ac:dyDescent="0.35">
      <c r="J35" s="4" t="s">
        <v>70</v>
      </c>
      <c r="K35" s="6">
        <v>6.3496059750411282E-2</v>
      </c>
      <c r="L35" s="6">
        <v>4.6071629863988765E-2</v>
      </c>
      <c r="M35" s="6">
        <v>2.306247051322625E-3</v>
      </c>
      <c r="N35" s="6">
        <v>3.8927934093844286E-3</v>
      </c>
      <c r="O35" s="6">
        <v>0.11576673007510711</v>
      </c>
      <c r="Q35" s="9"/>
      <c r="R35" s="10" t="str">
        <f>J33</f>
        <v>App</v>
      </c>
      <c r="S35" s="8">
        <f>K33</f>
        <v>0.18961825201634841</v>
      </c>
      <c r="T35" s="8">
        <f>L33</f>
        <v>0.12262322351336576</v>
      </c>
      <c r="U35" s="8">
        <f>M33</f>
        <v>1.060537752469185E-2</v>
      </c>
      <c r="V35" s="8">
        <f>N33</f>
        <v>3.0599220547662797E-2</v>
      </c>
      <c r="W35" s="9"/>
    </row>
    <row r="36" spans="1:23" ht="24.6" customHeight="1" thickTop="1" thickBot="1" x14ac:dyDescent="0.35">
      <c r="J36" s="4" t="s">
        <v>40</v>
      </c>
      <c r="K36" s="6">
        <v>9.6337892927149532E-2</v>
      </c>
      <c r="L36" s="6">
        <v>6.7920115842382611E-2</v>
      </c>
      <c r="M36" s="6">
        <v>5.4979832664581261E-3</v>
      </c>
      <c r="N36" s="6">
        <v>1.2933041488102518E-2</v>
      </c>
      <c r="O36" s="6">
        <v>0.1826890335240928</v>
      </c>
      <c r="Q36" s="9"/>
      <c r="R36" s="10" t="str">
        <f>J34</f>
        <v>Instagram</v>
      </c>
      <c r="S36" s="8">
        <f>K34</f>
        <v>5.0283982091147303E-2</v>
      </c>
      <c r="T36" s="8">
        <f>L34</f>
        <v>4.3060781812819873E-2</v>
      </c>
      <c r="U36" s="8">
        <f>M34</f>
        <v>1.5320025675641944E-3</v>
      </c>
      <c r="V36" s="8">
        <f>N34</f>
        <v>1.7794988689097006E-2</v>
      </c>
      <c r="W36" s="9"/>
    </row>
    <row r="37" spans="1:23" ht="24.6" customHeight="1" thickTop="1" thickBot="1" x14ac:dyDescent="0.35">
      <c r="A37" s="13" t="s">
        <v>2537</v>
      </c>
      <c r="J37" s="4" t="s">
        <v>35</v>
      </c>
      <c r="K37" s="6">
        <v>0.12522098709469262</v>
      </c>
      <c r="L37" s="6">
        <v>9.1492740283116228E-2</v>
      </c>
      <c r="M37" s="6">
        <v>6.3042760790965081E-3</v>
      </c>
      <c r="N37" s="6">
        <v>1.2408404181197551E-2</v>
      </c>
      <c r="O37" s="6">
        <v>0.23542640763810288</v>
      </c>
      <c r="Q37" s="9"/>
      <c r="R37" s="10" t="str">
        <f>J35</f>
        <v>Partner App</v>
      </c>
      <c r="S37" s="8">
        <f>K35</f>
        <v>6.3496059750411282E-2</v>
      </c>
      <c r="T37" s="8">
        <f>L35</f>
        <v>4.6071629863988765E-2</v>
      </c>
      <c r="U37" s="8">
        <f>M35</f>
        <v>2.306247051322625E-3</v>
      </c>
      <c r="V37" s="8">
        <f>N35</f>
        <v>3.8927934093844286E-3</v>
      </c>
      <c r="W37" s="9"/>
    </row>
    <row r="38" spans="1:23" ht="24.6" customHeight="1" thickTop="1" thickBot="1" x14ac:dyDescent="0.35">
      <c r="J38" s="4" t="s">
        <v>2518</v>
      </c>
      <c r="K38" s="6">
        <v>0.52495717387974916</v>
      </c>
      <c r="L38" s="6">
        <v>0.3711684913156732</v>
      </c>
      <c r="M38" s="6">
        <v>2.6245886489133303E-2</v>
      </c>
      <c r="N38" s="6">
        <v>7.7628448315444312E-2</v>
      </c>
      <c r="O38" s="6">
        <v>1</v>
      </c>
      <c r="Q38" s="9"/>
      <c r="R38" s="10" t="str">
        <f>J36</f>
        <v>Target.com</v>
      </c>
      <c r="S38" s="8">
        <f>K36</f>
        <v>9.6337892927149532E-2</v>
      </c>
      <c r="T38" s="8">
        <f>L36</f>
        <v>6.7920115842382611E-2</v>
      </c>
      <c r="U38" s="8">
        <f>M36</f>
        <v>5.4979832664581261E-3</v>
      </c>
      <c r="V38" s="8">
        <f>N36</f>
        <v>1.2933041488102518E-2</v>
      </c>
      <c r="W38" s="9"/>
    </row>
    <row r="39" spans="1:23" ht="24.6" customHeight="1" thickTop="1" thickBot="1" x14ac:dyDescent="0.35">
      <c r="A39" s="3" t="s">
        <v>2517</v>
      </c>
      <c r="B39" t="s">
        <v>2508</v>
      </c>
      <c r="Q39" s="9"/>
      <c r="R39" s="10" t="str">
        <f>J37</f>
        <v>Website</v>
      </c>
      <c r="S39" s="8">
        <f>K37</f>
        <v>0.12522098709469262</v>
      </c>
      <c r="T39" s="8">
        <f>L37</f>
        <v>9.1492740283116228E-2</v>
      </c>
      <c r="U39" s="8">
        <f>M37</f>
        <v>6.3042760790965081E-3</v>
      </c>
      <c r="V39" s="8">
        <f>N37</f>
        <v>1.2408404181197551E-2</v>
      </c>
      <c r="W39" s="9"/>
    </row>
    <row r="40" spans="1:23" ht="15.6" thickTop="1" thickBot="1" x14ac:dyDescent="0.35">
      <c r="A40" s="4">
        <v>1</v>
      </c>
      <c r="B40" s="15">
        <v>397</v>
      </c>
      <c r="Q40" s="9"/>
      <c r="R40" s="9"/>
      <c r="S40" s="9"/>
      <c r="T40" s="9"/>
      <c r="U40" s="9"/>
      <c r="V40" s="9"/>
      <c r="W40" s="9"/>
    </row>
    <row r="41" spans="1:23" ht="15" thickTop="1" x14ac:dyDescent="0.3">
      <c r="A41" s="4">
        <v>2</v>
      </c>
      <c r="B41" s="15">
        <v>540</v>
      </c>
    </row>
    <row r="42" spans="1:23" x14ac:dyDescent="0.3">
      <c r="A42" s="4">
        <v>3</v>
      </c>
      <c r="B42" s="15">
        <v>375</v>
      </c>
    </row>
    <row r="43" spans="1:23" x14ac:dyDescent="0.3">
      <c r="A43" s="4">
        <v>4</v>
      </c>
      <c r="B43" s="15">
        <v>246</v>
      </c>
    </row>
    <row r="44" spans="1:23" x14ac:dyDescent="0.3">
      <c r="A44" s="4">
        <v>5</v>
      </c>
      <c r="B44" s="15">
        <v>195</v>
      </c>
    </row>
    <row r="45" spans="1:23" x14ac:dyDescent="0.3">
      <c r="A45" s="4" t="s">
        <v>2525</v>
      </c>
      <c r="B45" s="15">
        <v>414</v>
      </c>
    </row>
    <row r="46" spans="1:23" x14ac:dyDescent="0.3">
      <c r="A46" s="4" t="s">
        <v>2526</v>
      </c>
      <c r="B46" s="15">
        <v>233</v>
      </c>
    </row>
    <row r="47" spans="1:23" x14ac:dyDescent="0.3">
      <c r="A47" s="4" t="s">
        <v>2518</v>
      </c>
      <c r="B47" s="15">
        <v>2400</v>
      </c>
    </row>
    <row r="54" spans="1:14" x14ac:dyDescent="0.3">
      <c r="M54" t="s">
        <v>2539</v>
      </c>
    </row>
    <row r="56" spans="1:14" x14ac:dyDescent="0.3">
      <c r="A56" s="13" t="s">
        <v>2538</v>
      </c>
    </row>
    <row r="57" spans="1:14" x14ac:dyDescent="0.3">
      <c r="M57" s="3" t="s">
        <v>2517</v>
      </c>
      <c r="N57" t="s">
        <v>2509</v>
      </c>
    </row>
    <row r="58" spans="1:14" x14ac:dyDescent="0.3">
      <c r="A58" s="3" t="s">
        <v>2509</v>
      </c>
      <c r="B58" s="3" t="s">
        <v>2519</v>
      </c>
      <c r="M58" s="4" t="s">
        <v>2521</v>
      </c>
      <c r="N58" s="15">
        <v>6272</v>
      </c>
    </row>
    <row r="59" spans="1:14" x14ac:dyDescent="0.3">
      <c r="A59" s="3" t="s">
        <v>2517</v>
      </c>
      <c r="B59" t="s">
        <v>2521</v>
      </c>
      <c r="C59" t="s">
        <v>2522</v>
      </c>
      <c r="D59" t="s">
        <v>2523</v>
      </c>
      <c r="E59" t="s">
        <v>2520</v>
      </c>
      <c r="F59" t="s">
        <v>2518</v>
      </c>
      <c r="M59" s="4" t="s">
        <v>2522</v>
      </c>
      <c r="N59" s="15">
        <v>4672</v>
      </c>
    </row>
    <row r="60" spans="1:14" x14ac:dyDescent="0.3">
      <c r="A60" s="4" t="s">
        <v>44</v>
      </c>
      <c r="B60" s="15">
        <v>744</v>
      </c>
      <c r="C60" s="15">
        <v>713</v>
      </c>
      <c r="D60" s="15">
        <v>90</v>
      </c>
      <c r="E60" s="15">
        <v>98</v>
      </c>
      <c r="F60" s="15">
        <v>1645</v>
      </c>
      <c r="M60" s="4" t="s">
        <v>2523</v>
      </c>
      <c r="N60" s="15">
        <v>317</v>
      </c>
    </row>
    <row r="61" spans="1:14" x14ac:dyDescent="0.3">
      <c r="A61" s="4" t="s">
        <v>39</v>
      </c>
      <c r="B61" s="15">
        <v>716</v>
      </c>
      <c r="C61" s="15">
        <v>598</v>
      </c>
      <c r="D61" s="15">
        <v>18</v>
      </c>
      <c r="E61" s="15">
        <v>214</v>
      </c>
      <c r="F61" s="15">
        <v>1546</v>
      </c>
      <c r="M61" s="4" t="s">
        <v>2520</v>
      </c>
      <c r="N61" s="15">
        <v>736</v>
      </c>
    </row>
    <row r="62" spans="1:14" x14ac:dyDescent="0.3">
      <c r="A62" s="4" t="s">
        <v>26</v>
      </c>
      <c r="B62" s="15">
        <v>627</v>
      </c>
      <c r="C62" s="15">
        <v>393</v>
      </c>
      <c r="D62" s="15">
        <v>29</v>
      </c>
      <c r="E62" s="15">
        <v>137</v>
      </c>
      <c r="F62" s="15">
        <v>1186</v>
      </c>
      <c r="M62" s="4" t="s">
        <v>2518</v>
      </c>
      <c r="N62" s="15">
        <v>11997</v>
      </c>
    </row>
    <row r="63" spans="1:14" x14ac:dyDescent="0.3">
      <c r="A63" s="4" t="s">
        <v>22</v>
      </c>
      <c r="B63" s="15">
        <v>568</v>
      </c>
      <c r="C63" s="15">
        <v>306</v>
      </c>
      <c r="D63" s="15">
        <v>22</v>
      </c>
      <c r="E63" s="15">
        <v>16</v>
      </c>
      <c r="F63" s="15">
        <v>912</v>
      </c>
    </row>
    <row r="64" spans="1:14" x14ac:dyDescent="0.3">
      <c r="A64" s="4" t="s">
        <v>54</v>
      </c>
      <c r="B64" s="15">
        <v>482</v>
      </c>
      <c r="C64" s="15">
        <v>295</v>
      </c>
      <c r="D64" s="15">
        <v>8</v>
      </c>
      <c r="E64" s="15">
        <v>22</v>
      </c>
      <c r="F64" s="15">
        <v>807</v>
      </c>
    </row>
    <row r="65" spans="1:6" x14ac:dyDescent="0.3">
      <c r="A65" s="4" t="s">
        <v>16</v>
      </c>
      <c r="B65" s="15">
        <v>428</v>
      </c>
      <c r="C65" s="15">
        <v>293</v>
      </c>
      <c r="D65" s="15"/>
      <c r="E65" s="15">
        <v>24</v>
      </c>
      <c r="F65" s="15">
        <v>745</v>
      </c>
    </row>
    <row r="66" spans="1:6" x14ac:dyDescent="0.3">
      <c r="A66" s="4" t="s">
        <v>46</v>
      </c>
      <c r="B66" s="15">
        <v>445</v>
      </c>
      <c r="C66" s="15">
        <v>202</v>
      </c>
      <c r="D66" s="15">
        <v>14</v>
      </c>
      <c r="E66" s="15">
        <v>39</v>
      </c>
      <c r="F66" s="15">
        <v>700</v>
      </c>
    </row>
    <row r="67" spans="1:6" x14ac:dyDescent="0.3">
      <c r="A67" s="4" t="s">
        <v>32</v>
      </c>
      <c r="B67" s="15">
        <v>431</v>
      </c>
      <c r="C67" s="15">
        <v>187</v>
      </c>
      <c r="D67" s="15">
        <v>14</v>
      </c>
      <c r="E67" s="15">
        <v>15</v>
      </c>
      <c r="F67" s="15">
        <v>647</v>
      </c>
    </row>
    <row r="68" spans="1:6" x14ac:dyDescent="0.3">
      <c r="A68" s="4" t="s">
        <v>42</v>
      </c>
      <c r="B68" s="15">
        <v>264</v>
      </c>
      <c r="C68" s="15">
        <v>318</v>
      </c>
      <c r="D68" s="15">
        <v>15</v>
      </c>
      <c r="E68" s="15">
        <v>9</v>
      </c>
      <c r="F68" s="15">
        <v>606</v>
      </c>
    </row>
    <row r="69" spans="1:6" x14ac:dyDescent="0.3">
      <c r="A69" s="4" t="s">
        <v>37</v>
      </c>
      <c r="B69" s="15">
        <v>296</v>
      </c>
      <c r="C69" s="15">
        <v>275</v>
      </c>
      <c r="D69" s="15">
        <v>9</v>
      </c>
      <c r="E69" s="15">
        <v>23</v>
      </c>
      <c r="F69" s="15">
        <v>603</v>
      </c>
    </row>
    <row r="70" spans="1:6" x14ac:dyDescent="0.3">
      <c r="A70" s="4" t="s">
        <v>123</v>
      </c>
      <c r="B70" s="15">
        <v>153</v>
      </c>
      <c r="C70" s="15">
        <v>246</v>
      </c>
      <c r="D70" s="15">
        <v>30</v>
      </c>
      <c r="E70" s="15">
        <v>8</v>
      </c>
      <c r="F70" s="15">
        <v>437</v>
      </c>
    </row>
    <row r="71" spans="1:6" x14ac:dyDescent="0.3">
      <c r="A71" s="4" t="s">
        <v>146</v>
      </c>
      <c r="B71" s="15">
        <v>189</v>
      </c>
      <c r="C71" s="15">
        <v>168</v>
      </c>
      <c r="D71" s="15">
        <v>10</v>
      </c>
      <c r="E71" s="15">
        <v>31</v>
      </c>
      <c r="F71" s="15">
        <v>398</v>
      </c>
    </row>
    <row r="72" spans="1:6" x14ac:dyDescent="0.3">
      <c r="A72" s="4" t="s">
        <v>69</v>
      </c>
      <c r="B72" s="15">
        <v>234</v>
      </c>
      <c r="C72" s="15">
        <v>93</v>
      </c>
      <c r="D72" s="15">
        <v>19</v>
      </c>
      <c r="E72" s="15">
        <v>24</v>
      </c>
      <c r="F72" s="15">
        <v>370</v>
      </c>
    </row>
    <row r="73" spans="1:6" x14ac:dyDescent="0.3">
      <c r="A73" s="4" t="s">
        <v>30</v>
      </c>
      <c r="B73" s="15">
        <v>146</v>
      </c>
      <c r="C73" s="15">
        <v>94</v>
      </c>
      <c r="D73" s="15">
        <v>4</v>
      </c>
      <c r="E73" s="15">
        <v>28</v>
      </c>
      <c r="F73" s="15">
        <v>272</v>
      </c>
    </row>
    <row r="74" spans="1:6" x14ac:dyDescent="0.3">
      <c r="A74" s="4" t="s">
        <v>135</v>
      </c>
      <c r="B74" s="15">
        <v>127</v>
      </c>
      <c r="C74" s="15">
        <v>118</v>
      </c>
      <c r="D74" s="15">
        <v>13</v>
      </c>
      <c r="E74" s="15">
        <v>12</v>
      </c>
      <c r="F74" s="15">
        <v>270</v>
      </c>
    </row>
    <row r="75" spans="1:6" x14ac:dyDescent="0.3">
      <c r="A75" s="4" t="s">
        <v>67</v>
      </c>
      <c r="B75" s="15">
        <v>179</v>
      </c>
      <c r="C75" s="15">
        <v>76</v>
      </c>
      <c r="D75" s="15">
        <v>3</v>
      </c>
      <c r="E75" s="15"/>
      <c r="F75" s="15">
        <v>258</v>
      </c>
    </row>
    <row r="76" spans="1:6" x14ac:dyDescent="0.3">
      <c r="A76" s="4" t="s">
        <v>128</v>
      </c>
      <c r="B76" s="15">
        <v>99</v>
      </c>
      <c r="C76" s="15">
        <v>69</v>
      </c>
      <c r="D76" s="15">
        <v>3</v>
      </c>
      <c r="E76" s="15">
        <v>24</v>
      </c>
      <c r="F76" s="15">
        <v>195</v>
      </c>
    </row>
    <row r="77" spans="1:6" x14ac:dyDescent="0.3">
      <c r="A77" s="4" t="s">
        <v>76</v>
      </c>
      <c r="B77" s="15">
        <v>75</v>
      </c>
      <c r="C77" s="15">
        <v>103</v>
      </c>
      <c r="D77" s="15">
        <v>4</v>
      </c>
      <c r="E77" s="15">
        <v>6</v>
      </c>
      <c r="F77" s="15">
        <v>188</v>
      </c>
    </row>
    <row r="78" spans="1:6" x14ac:dyDescent="0.3">
      <c r="A78" s="4" t="s">
        <v>81</v>
      </c>
      <c r="B78" s="15">
        <v>43</v>
      </c>
      <c r="C78" s="15">
        <v>90</v>
      </c>
      <c r="D78" s="15">
        <v>8</v>
      </c>
      <c r="E78" s="15">
        <v>6</v>
      </c>
      <c r="F78" s="15">
        <v>147</v>
      </c>
    </row>
    <row r="79" spans="1:6" x14ac:dyDescent="0.3">
      <c r="A79" s="4" t="s">
        <v>171</v>
      </c>
      <c r="B79" s="15">
        <v>26</v>
      </c>
      <c r="C79" s="15">
        <v>35</v>
      </c>
      <c r="D79" s="15">
        <v>4</v>
      </c>
      <c r="E79" s="15"/>
      <c r="F79" s="15">
        <v>65</v>
      </c>
    </row>
    <row r="80" spans="1:6" x14ac:dyDescent="0.3">
      <c r="A80" s="4" t="s">
        <v>2518</v>
      </c>
      <c r="B80" s="15">
        <v>6272</v>
      </c>
      <c r="C80" s="15">
        <v>4672</v>
      </c>
      <c r="D80" s="15">
        <v>317</v>
      </c>
      <c r="E80" s="15">
        <v>736</v>
      </c>
      <c r="F80" s="15">
        <v>11997</v>
      </c>
    </row>
    <row r="88" spans="1:17" x14ac:dyDescent="0.3">
      <c r="A88" s="13" t="s">
        <v>2540</v>
      </c>
    </row>
    <row r="90" spans="1:17" x14ac:dyDescent="0.3">
      <c r="A90" s="3" t="s">
        <v>10</v>
      </c>
      <c r="B90" s="3" t="s">
        <v>11</v>
      </c>
      <c r="C90" t="s">
        <v>2509</v>
      </c>
      <c r="D90" t="s">
        <v>2510</v>
      </c>
      <c r="F90" t="s">
        <v>2528</v>
      </c>
      <c r="O90" t="s">
        <v>2529</v>
      </c>
    </row>
    <row r="91" spans="1:17" x14ac:dyDescent="0.3">
      <c r="A91" t="s">
        <v>19</v>
      </c>
      <c r="B91" t="s">
        <v>115</v>
      </c>
      <c r="C91" s="15">
        <v>579</v>
      </c>
      <c r="D91" s="15">
        <v>31884.999999999996</v>
      </c>
    </row>
    <row r="92" spans="1:17" x14ac:dyDescent="0.3">
      <c r="A92" t="s">
        <v>19</v>
      </c>
      <c r="B92" t="s">
        <v>20</v>
      </c>
      <c r="C92" s="15">
        <v>1</v>
      </c>
      <c r="D92" s="15">
        <v>10.9</v>
      </c>
      <c r="F92" s="12" t="s">
        <v>10</v>
      </c>
      <c r="G92" s="12" t="s">
        <v>11</v>
      </c>
      <c r="H92" s="12" t="s">
        <v>2509</v>
      </c>
      <c r="O92" s="12" t="s">
        <v>10</v>
      </c>
      <c r="P92" s="12" t="s">
        <v>11</v>
      </c>
      <c r="Q92" s="12" t="s">
        <v>2510</v>
      </c>
    </row>
    <row r="93" spans="1:17" x14ac:dyDescent="0.3">
      <c r="A93" t="s">
        <v>19</v>
      </c>
      <c r="B93" t="s">
        <v>641</v>
      </c>
      <c r="C93" s="15">
        <v>9</v>
      </c>
      <c r="D93" s="15">
        <v>800.3</v>
      </c>
      <c r="F93" s="13" t="s">
        <v>19</v>
      </c>
      <c r="G93" t="s">
        <v>115</v>
      </c>
      <c r="H93">
        <v>579</v>
      </c>
      <c r="O93" s="13" t="s">
        <v>19</v>
      </c>
      <c r="P93" t="s">
        <v>115</v>
      </c>
      <c r="Q93">
        <v>31884.999999999996</v>
      </c>
    </row>
    <row r="94" spans="1:17" x14ac:dyDescent="0.3">
      <c r="A94" t="s">
        <v>19</v>
      </c>
      <c r="B94" t="s">
        <v>967</v>
      </c>
      <c r="C94" s="15">
        <v>35</v>
      </c>
      <c r="D94" s="15">
        <v>1062.5999999999999</v>
      </c>
      <c r="F94" s="13" t="s">
        <v>19</v>
      </c>
      <c r="G94" t="s">
        <v>20</v>
      </c>
      <c r="H94">
        <v>1</v>
      </c>
      <c r="O94" s="13" t="s">
        <v>19</v>
      </c>
      <c r="P94" t="s">
        <v>20</v>
      </c>
      <c r="Q94">
        <v>10.9</v>
      </c>
    </row>
    <row r="95" spans="1:17" x14ac:dyDescent="0.3">
      <c r="A95" t="s">
        <v>19</v>
      </c>
      <c r="B95" t="s">
        <v>84</v>
      </c>
      <c r="C95" s="15">
        <v>12</v>
      </c>
      <c r="D95" s="15">
        <v>326.20000000000005</v>
      </c>
      <c r="F95" s="13" t="s">
        <v>19</v>
      </c>
      <c r="G95" t="s">
        <v>641</v>
      </c>
      <c r="H95">
        <v>9</v>
      </c>
      <c r="O95" s="13" t="s">
        <v>19</v>
      </c>
      <c r="P95" t="s">
        <v>641</v>
      </c>
      <c r="Q95">
        <v>800.3</v>
      </c>
    </row>
    <row r="96" spans="1:17" x14ac:dyDescent="0.3">
      <c r="A96" t="s">
        <v>19</v>
      </c>
      <c r="B96" t="s">
        <v>1383</v>
      </c>
      <c r="C96" s="15">
        <v>4</v>
      </c>
      <c r="D96" s="15">
        <v>167.5</v>
      </c>
      <c r="F96" s="13" t="s">
        <v>19</v>
      </c>
      <c r="G96" t="s">
        <v>967</v>
      </c>
      <c r="H96">
        <v>35</v>
      </c>
      <c r="O96" s="13" t="s">
        <v>19</v>
      </c>
      <c r="P96" t="s">
        <v>967</v>
      </c>
      <c r="Q96">
        <v>1062.5999999999999</v>
      </c>
    </row>
    <row r="97" spans="1:17" x14ac:dyDescent="0.3">
      <c r="A97" t="s">
        <v>19</v>
      </c>
      <c r="B97" t="s">
        <v>24</v>
      </c>
      <c r="C97" s="15">
        <v>341</v>
      </c>
      <c r="D97" s="15">
        <v>16168.7</v>
      </c>
      <c r="F97" s="13" t="s">
        <v>19</v>
      </c>
      <c r="G97" t="s">
        <v>84</v>
      </c>
      <c r="H97">
        <v>12</v>
      </c>
      <c r="O97" s="13" t="s">
        <v>19</v>
      </c>
      <c r="P97" t="s">
        <v>84</v>
      </c>
      <c r="Q97">
        <v>326.20000000000005</v>
      </c>
    </row>
    <row r="98" spans="1:17" x14ac:dyDescent="0.3">
      <c r="A98" t="s">
        <v>19</v>
      </c>
      <c r="B98" t="s">
        <v>2204</v>
      </c>
      <c r="C98" s="15">
        <v>13</v>
      </c>
      <c r="D98" s="15">
        <v>322.40000000000003</v>
      </c>
      <c r="F98" s="13" t="s">
        <v>19</v>
      </c>
      <c r="G98" t="s">
        <v>1383</v>
      </c>
      <c r="H98">
        <v>4</v>
      </c>
      <c r="O98" s="13" t="s">
        <v>19</v>
      </c>
      <c r="P98" t="s">
        <v>1383</v>
      </c>
      <c r="Q98">
        <v>167.5</v>
      </c>
    </row>
    <row r="99" spans="1:17" x14ac:dyDescent="0.3">
      <c r="A99" t="s">
        <v>19</v>
      </c>
      <c r="B99" t="s">
        <v>437</v>
      </c>
      <c r="C99" s="15">
        <v>31</v>
      </c>
      <c r="D99" s="15">
        <v>2092.8000000000002</v>
      </c>
      <c r="F99" s="13" t="s">
        <v>19</v>
      </c>
      <c r="G99" t="s">
        <v>24</v>
      </c>
      <c r="H99">
        <v>341</v>
      </c>
      <c r="O99" s="13" t="s">
        <v>19</v>
      </c>
      <c r="P99" t="s">
        <v>24</v>
      </c>
      <c r="Q99">
        <v>16168.7</v>
      </c>
    </row>
    <row r="100" spans="1:17" x14ac:dyDescent="0.3">
      <c r="A100" t="s">
        <v>19</v>
      </c>
      <c r="B100" t="s">
        <v>28</v>
      </c>
      <c r="C100" s="15">
        <v>279</v>
      </c>
      <c r="D100" s="15">
        <v>12662.500000000002</v>
      </c>
      <c r="F100" s="13" t="s">
        <v>19</v>
      </c>
      <c r="G100" t="s">
        <v>2204</v>
      </c>
      <c r="H100">
        <v>13</v>
      </c>
      <c r="O100" s="13" t="s">
        <v>19</v>
      </c>
      <c r="P100" t="s">
        <v>2204</v>
      </c>
      <c r="Q100">
        <v>322.40000000000003</v>
      </c>
    </row>
    <row r="101" spans="1:17" x14ac:dyDescent="0.3">
      <c r="A101" t="s">
        <v>19</v>
      </c>
      <c r="B101" t="s">
        <v>208</v>
      </c>
      <c r="C101" s="15">
        <v>9</v>
      </c>
      <c r="D101" s="15">
        <v>343.2</v>
      </c>
      <c r="F101" s="13" t="s">
        <v>19</v>
      </c>
      <c r="G101" t="s">
        <v>437</v>
      </c>
      <c r="H101">
        <v>31</v>
      </c>
      <c r="O101" s="13" t="s">
        <v>19</v>
      </c>
      <c r="P101" t="s">
        <v>437</v>
      </c>
      <c r="Q101">
        <v>2092.8000000000002</v>
      </c>
    </row>
    <row r="102" spans="1:17" x14ac:dyDescent="0.3">
      <c r="A102" t="s">
        <v>19</v>
      </c>
      <c r="B102" t="s">
        <v>587</v>
      </c>
      <c r="C102" s="15">
        <v>49</v>
      </c>
      <c r="D102" s="15">
        <v>2188.2999999999997</v>
      </c>
      <c r="F102" s="13" t="s">
        <v>19</v>
      </c>
      <c r="G102" t="s">
        <v>28</v>
      </c>
      <c r="H102">
        <v>279</v>
      </c>
      <c r="O102" s="13" t="s">
        <v>19</v>
      </c>
      <c r="P102" t="s">
        <v>28</v>
      </c>
      <c r="Q102">
        <v>12662.500000000002</v>
      </c>
    </row>
    <row r="103" spans="1:17" x14ac:dyDescent="0.3">
      <c r="A103" t="s">
        <v>19</v>
      </c>
      <c r="B103" t="s">
        <v>331</v>
      </c>
      <c r="C103" s="15">
        <v>59</v>
      </c>
      <c r="D103" s="15">
        <v>2661.5999999999995</v>
      </c>
      <c r="F103" s="13" t="s">
        <v>19</v>
      </c>
      <c r="G103" t="s">
        <v>208</v>
      </c>
      <c r="H103">
        <v>9</v>
      </c>
      <c r="O103" s="13" t="s">
        <v>19</v>
      </c>
      <c r="P103" t="s">
        <v>208</v>
      </c>
      <c r="Q103">
        <v>343.2</v>
      </c>
    </row>
    <row r="104" spans="1:17" x14ac:dyDescent="0.3">
      <c r="A104" t="s">
        <v>19</v>
      </c>
      <c r="B104" t="s">
        <v>86</v>
      </c>
      <c r="C104" s="15">
        <v>8</v>
      </c>
      <c r="D104" s="15">
        <v>887.5</v>
      </c>
      <c r="F104" s="13" t="s">
        <v>19</v>
      </c>
      <c r="G104" t="s">
        <v>587</v>
      </c>
      <c r="H104">
        <v>49</v>
      </c>
      <c r="O104" s="13" t="s">
        <v>19</v>
      </c>
      <c r="P104" t="s">
        <v>587</v>
      </c>
      <c r="Q104">
        <v>2188.2999999999997</v>
      </c>
    </row>
    <row r="105" spans="1:17" x14ac:dyDescent="0.3">
      <c r="A105" t="s">
        <v>19</v>
      </c>
      <c r="B105" t="s">
        <v>147</v>
      </c>
      <c r="C105" s="15">
        <v>222</v>
      </c>
      <c r="D105" s="15">
        <v>11354.199999999993</v>
      </c>
      <c r="F105" s="13" t="s">
        <v>19</v>
      </c>
      <c r="G105" t="s">
        <v>331</v>
      </c>
      <c r="H105">
        <v>59</v>
      </c>
      <c r="O105" s="13" t="s">
        <v>19</v>
      </c>
      <c r="P105" t="s">
        <v>331</v>
      </c>
      <c r="Q105">
        <v>2661.5999999999995</v>
      </c>
    </row>
    <row r="106" spans="1:17" x14ac:dyDescent="0.3">
      <c r="A106" t="s">
        <v>19</v>
      </c>
      <c r="B106" t="s">
        <v>334</v>
      </c>
      <c r="C106" s="15">
        <v>36</v>
      </c>
      <c r="D106" s="15">
        <v>1558.4</v>
      </c>
      <c r="F106" s="13" t="s">
        <v>19</v>
      </c>
      <c r="G106" t="s">
        <v>86</v>
      </c>
      <c r="H106">
        <v>8</v>
      </c>
      <c r="O106" s="13" t="s">
        <v>19</v>
      </c>
      <c r="P106" t="s">
        <v>86</v>
      </c>
      <c r="Q106">
        <v>887.5</v>
      </c>
    </row>
    <row r="107" spans="1:17" x14ac:dyDescent="0.3">
      <c r="A107" t="s">
        <v>19</v>
      </c>
      <c r="B107" t="s">
        <v>949</v>
      </c>
      <c r="C107" s="15">
        <v>30</v>
      </c>
      <c r="D107" s="15">
        <v>2223.9</v>
      </c>
      <c r="F107" s="13" t="s">
        <v>19</v>
      </c>
      <c r="G107" t="s">
        <v>147</v>
      </c>
      <c r="H107">
        <v>222</v>
      </c>
      <c r="O107" s="13" t="s">
        <v>19</v>
      </c>
      <c r="P107" t="s">
        <v>147</v>
      </c>
      <c r="Q107">
        <v>11354.199999999993</v>
      </c>
    </row>
    <row r="108" spans="1:17" x14ac:dyDescent="0.3">
      <c r="A108" t="s">
        <v>19</v>
      </c>
      <c r="B108" t="s">
        <v>1426</v>
      </c>
      <c r="C108" s="15">
        <v>1</v>
      </c>
      <c r="D108" s="15">
        <v>26.2</v>
      </c>
      <c r="F108" s="13" t="s">
        <v>19</v>
      </c>
      <c r="G108" t="s">
        <v>334</v>
      </c>
      <c r="H108">
        <v>36</v>
      </c>
      <c r="O108" s="13" t="s">
        <v>19</v>
      </c>
      <c r="P108" t="s">
        <v>334</v>
      </c>
      <c r="Q108">
        <v>1558.4</v>
      </c>
    </row>
    <row r="109" spans="1:17" x14ac:dyDescent="0.3">
      <c r="A109" t="s">
        <v>19</v>
      </c>
      <c r="B109" t="s">
        <v>33</v>
      </c>
      <c r="C109" s="15">
        <v>3991</v>
      </c>
      <c r="D109" s="15">
        <v>215551.19999999981</v>
      </c>
      <c r="F109" s="13" t="s">
        <v>19</v>
      </c>
      <c r="G109" t="s">
        <v>949</v>
      </c>
      <c r="H109">
        <v>30</v>
      </c>
      <c r="O109" s="13" t="s">
        <v>19</v>
      </c>
      <c r="P109" t="s">
        <v>949</v>
      </c>
      <c r="Q109">
        <v>2223.9</v>
      </c>
    </row>
    <row r="110" spans="1:17" x14ac:dyDescent="0.3">
      <c r="A110" t="s">
        <v>19</v>
      </c>
      <c r="B110" t="s">
        <v>364</v>
      </c>
      <c r="C110" s="15">
        <v>45</v>
      </c>
      <c r="D110" s="15">
        <v>2687.3999999999996</v>
      </c>
      <c r="F110" s="13" t="s">
        <v>19</v>
      </c>
      <c r="G110" t="s">
        <v>1426</v>
      </c>
      <c r="H110">
        <v>1</v>
      </c>
      <c r="O110" s="13" t="s">
        <v>19</v>
      </c>
      <c r="P110" t="s">
        <v>1426</v>
      </c>
      <c r="Q110">
        <v>26.2</v>
      </c>
    </row>
    <row r="111" spans="1:17" x14ac:dyDescent="0.3">
      <c r="A111" t="s">
        <v>19</v>
      </c>
      <c r="B111" t="s">
        <v>545</v>
      </c>
      <c r="C111" s="15">
        <v>39</v>
      </c>
      <c r="D111" s="15">
        <v>1463.3000000000002</v>
      </c>
      <c r="F111" s="13" t="s">
        <v>19</v>
      </c>
      <c r="G111" t="s">
        <v>33</v>
      </c>
      <c r="H111">
        <v>3991</v>
      </c>
      <c r="O111" s="13" t="s">
        <v>19</v>
      </c>
      <c r="P111" t="s">
        <v>33</v>
      </c>
      <c r="Q111">
        <v>215551.19999999981</v>
      </c>
    </row>
    <row r="112" spans="1:17" x14ac:dyDescent="0.3">
      <c r="A112" t="s">
        <v>19</v>
      </c>
      <c r="B112" t="s">
        <v>416</v>
      </c>
      <c r="C112" s="15">
        <v>6</v>
      </c>
      <c r="D112" s="15">
        <v>445.79999999999995</v>
      </c>
      <c r="F112" s="13" t="s">
        <v>19</v>
      </c>
      <c r="G112" t="s">
        <v>364</v>
      </c>
      <c r="H112">
        <v>45</v>
      </c>
      <c r="O112" s="13" t="s">
        <v>19</v>
      </c>
      <c r="P112" t="s">
        <v>364</v>
      </c>
      <c r="Q112">
        <v>2687.3999999999996</v>
      </c>
    </row>
    <row r="113" spans="1:17" x14ac:dyDescent="0.3">
      <c r="A113" t="s">
        <v>19</v>
      </c>
      <c r="B113" t="s">
        <v>258</v>
      </c>
      <c r="C113" s="15">
        <v>9</v>
      </c>
      <c r="D113" s="15">
        <v>273.59999999999997</v>
      </c>
      <c r="F113" s="13" t="s">
        <v>19</v>
      </c>
      <c r="G113" t="s">
        <v>545</v>
      </c>
      <c r="H113">
        <v>39</v>
      </c>
      <c r="O113" s="13" t="s">
        <v>19</v>
      </c>
      <c r="P113" t="s">
        <v>545</v>
      </c>
      <c r="Q113">
        <v>1463.3000000000002</v>
      </c>
    </row>
    <row r="114" spans="1:17" x14ac:dyDescent="0.3">
      <c r="A114" t="s">
        <v>19</v>
      </c>
      <c r="B114" t="s">
        <v>186</v>
      </c>
      <c r="C114" s="15">
        <v>60</v>
      </c>
      <c r="D114" s="15">
        <v>2690.4</v>
      </c>
      <c r="F114" s="13" t="s">
        <v>19</v>
      </c>
      <c r="G114" t="s">
        <v>416</v>
      </c>
      <c r="H114">
        <v>6</v>
      </c>
      <c r="O114" s="13" t="s">
        <v>19</v>
      </c>
      <c r="P114" t="s">
        <v>416</v>
      </c>
      <c r="Q114">
        <v>445.79999999999995</v>
      </c>
    </row>
    <row r="115" spans="1:17" x14ac:dyDescent="0.3">
      <c r="A115" t="s">
        <v>19</v>
      </c>
      <c r="B115" t="s">
        <v>392</v>
      </c>
      <c r="C115" s="15">
        <v>2</v>
      </c>
      <c r="D115" s="15">
        <v>28.4</v>
      </c>
      <c r="F115" s="13" t="s">
        <v>19</v>
      </c>
      <c r="G115" t="s">
        <v>258</v>
      </c>
      <c r="H115">
        <v>9</v>
      </c>
      <c r="O115" s="13" t="s">
        <v>19</v>
      </c>
      <c r="P115" t="s">
        <v>258</v>
      </c>
      <c r="Q115">
        <v>273.59999999999997</v>
      </c>
    </row>
    <row r="116" spans="1:17" x14ac:dyDescent="0.3">
      <c r="A116" t="s">
        <v>19</v>
      </c>
      <c r="B116" t="s">
        <v>670</v>
      </c>
      <c r="C116" s="15">
        <v>4</v>
      </c>
      <c r="D116" s="15">
        <v>204.8</v>
      </c>
      <c r="F116" s="13" t="s">
        <v>19</v>
      </c>
      <c r="G116" t="s">
        <v>186</v>
      </c>
      <c r="H116">
        <v>60</v>
      </c>
      <c r="O116" s="13" t="s">
        <v>19</v>
      </c>
      <c r="P116" t="s">
        <v>186</v>
      </c>
      <c r="Q116">
        <v>2690.4</v>
      </c>
    </row>
    <row r="117" spans="1:17" x14ac:dyDescent="0.3">
      <c r="A117" t="s">
        <v>19</v>
      </c>
      <c r="B117" t="s">
        <v>802</v>
      </c>
      <c r="C117" s="15">
        <v>31</v>
      </c>
      <c r="D117" s="15">
        <v>1607.8999999999999</v>
      </c>
      <c r="F117" s="13" t="s">
        <v>19</v>
      </c>
      <c r="G117" t="s">
        <v>392</v>
      </c>
      <c r="H117">
        <v>2</v>
      </c>
      <c r="O117" s="13" t="s">
        <v>19</v>
      </c>
      <c r="P117" t="s">
        <v>392</v>
      </c>
      <c r="Q117">
        <v>28.4</v>
      </c>
    </row>
    <row r="118" spans="1:17" x14ac:dyDescent="0.3">
      <c r="A118" t="s">
        <v>19</v>
      </c>
      <c r="B118" t="s">
        <v>98</v>
      </c>
      <c r="C118" s="15">
        <v>88</v>
      </c>
      <c r="D118" s="15">
        <v>6444.9</v>
      </c>
      <c r="F118" s="13" t="s">
        <v>19</v>
      </c>
      <c r="G118" t="s">
        <v>670</v>
      </c>
      <c r="H118">
        <v>4</v>
      </c>
      <c r="O118" s="13" t="s">
        <v>19</v>
      </c>
      <c r="P118" t="s">
        <v>670</v>
      </c>
      <c r="Q118">
        <v>204.8</v>
      </c>
    </row>
    <row r="119" spans="1:17" x14ac:dyDescent="0.3">
      <c r="A119" t="s">
        <v>19</v>
      </c>
      <c r="B119" t="s">
        <v>49</v>
      </c>
      <c r="C119" s="15">
        <v>25</v>
      </c>
      <c r="D119" s="15">
        <v>1809.3</v>
      </c>
      <c r="F119" s="13" t="s">
        <v>19</v>
      </c>
      <c r="G119" t="s">
        <v>802</v>
      </c>
      <c r="H119">
        <v>31</v>
      </c>
      <c r="O119" s="13" t="s">
        <v>19</v>
      </c>
      <c r="P119" t="s">
        <v>802</v>
      </c>
      <c r="Q119">
        <v>1607.8999999999999</v>
      </c>
    </row>
    <row r="120" spans="1:17" x14ac:dyDescent="0.3">
      <c r="A120" t="s">
        <v>19</v>
      </c>
      <c r="B120" t="s">
        <v>188</v>
      </c>
      <c r="C120" s="15">
        <v>178</v>
      </c>
      <c r="D120" s="15">
        <v>9680.399999999996</v>
      </c>
      <c r="F120" s="13" t="s">
        <v>19</v>
      </c>
      <c r="G120" t="s">
        <v>98</v>
      </c>
      <c r="H120">
        <v>88</v>
      </c>
      <c r="O120" s="13" t="s">
        <v>19</v>
      </c>
      <c r="P120" t="s">
        <v>98</v>
      </c>
      <c r="Q120">
        <v>6444.9</v>
      </c>
    </row>
    <row r="121" spans="1:17" x14ac:dyDescent="0.3">
      <c r="A121" t="s">
        <v>19</v>
      </c>
      <c r="B121" t="s">
        <v>52</v>
      </c>
      <c r="C121" s="15">
        <v>141</v>
      </c>
      <c r="D121" s="15">
        <v>9414.7999999999993</v>
      </c>
      <c r="F121" s="13" t="s">
        <v>19</v>
      </c>
      <c r="G121" t="s">
        <v>49</v>
      </c>
      <c r="H121">
        <v>25</v>
      </c>
      <c r="O121" s="13" t="s">
        <v>19</v>
      </c>
      <c r="P121" t="s">
        <v>49</v>
      </c>
      <c r="Q121">
        <v>1809.3</v>
      </c>
    </row>
    <row r="122" spans="1:17" x14ac:dyDescent="0.3">
      <c r="A122" t="s">
        <v>19</v>
      </c>
      <c r="B122" t="s">
        <v>338</v>
      </c>
      <c r="C122" s="15">
        <v>6</v>
      </c>
      <c r="D122" s="15">
        <v>206.1</v>
      </c>
      <c r="F122" s="13" t="s">
        <v>19</v>
      </c>
      <c r="G122" t="s">
        <v>188</v>
      </c>
      <c r="H122">
        <v>178</v>
      </c>
      <c r="O122" s="13" t="s">
        <v>19</v>
      </c>
      <c r="P122" t="s">
        <v>188</v>
      </c>
      <c r="Q122">
        <v>9680.399999999996</v>
      </c>
    </row>
    <row r="123" spans="1:17" x14ac:dyDescent="0.3">
      <c r="A123" t="s">
        <v>19</v>
      </c>
      <c r="B123" t="s">
        <v>158</v>
      </c>
      <c r="C123" s="15">
        <v>178</v>
      </c>
      <c r="D123" s="15">
        <v>7691.3</v>
      </c>
      <c r="F123" s="13" t="s">
        <v>19</v>
      </c>
      <c r="G123" t="s">
        <v>52</v>
      </c>
      <c r="H123">
        <v>141</v>
      </c>
      <c r="O123" s="13" t="s">
        <v>19</v>
      </c>
      <c r="P123" t="s">
        <v>52</v>
      </c>
      <c r="Q123">
        <v>9414.7999999999993</v>
      </c>
    </row>
    <row r="124" spans="1:17" x14ac:dyDescent="0.3">
      <c r="A124" t="s">
        <v>19</v>
      </c>
      <c r="B124" t="s">
        <v>55</v>
      </c>
      <c r="C124" s="15">
        <v>699</v>
      </c>
      <c r="D124" s="15">
        <v>37784.900000000016</v>
      </c>
      <c r="F124" s="13" t="s">
        <v>19</v>
      </c>
      <c r="G124" t="s">
        <v>338</v>
      </c>
      <c r="H124">
        <v>6</v>
      </c>
      <c r="O124" s="13" t="s">
        <v>19</v>
      </c>
      <c r="P124" t="s">
        <v>338</v>
      </c>
      <c r="Q124">
        <v>206.1</v>
      </c>
    </row>
    <row r="125" spans="1:17" x14ac:dyDescent="0.3">
      <c r="A125" t="s">
        <v>19</v>
      </c>
      <c r="B125" t="s">
        <v>342</v>
      </c>
      <c r="C125" s="15">
        <v>23</v>
      </c>
      <c r="D125" s="15">
        <v>1129.7</v>
      </c>
      <c r="F125" s="13" t="s">
        <v>19</v>
      </c>
      <c r="G125" t="s">
        <v>158</v>
      </c>
      <c r="H125">
        <v>178</v>
      </c>
      <c r="O125" s="13" t="s">
        <v>19</v>
      </c>
      <c r="P125" t="s">
        <v>158</v>
      </c>
      <c r="Q125">
        <v>7691.3</v>
      </c>
    </row>
    <row r="126" spans="1:17" x14ac:dyDescent="0.3">
      <c r="A126" t="s">
        <v>19</v>
      </c>
      <c r="B126" t="s">
        <v>59</v>
      </c>
      <c r="C126" s="15">
        <v>356</v>
      </c>
      <c r="D126" s="15">
        <v>20988.9</v>
      </c>
      <c r="F126" s="13" t="s">
        <v>19</v>
      </c>
      <c r="G126" t="s">
        <v>55</v>
      </c>
      <c r="H126">
        <v>699</v>
      </c>
      <c r="O126" s="13" t="s">
        <v>19</v>
      </c>
      <c r="P126" t="s">
        <v>55</v>
      </c>
      <c r="Q126">
        <v>37784.900000000016</v>
      </c>
    </row>
    <row r="127" spans="1:17" x14ac:dyDescent="0.3">
      <c r="A127" t="s">
        <v>19</v>
      </c>
      <c r="B127" t="s">
        <v>62</v>
      </c>
      <c r="C127" s="15">
        <v>1768</v>
      </c>
      <c r="D127" s="15">
        <v>98367.099999999977</v>
      </c>
      <c r="F127" s="13" t="s">
        <v>19</v>
      </c>
      <c r="G127" t="s">
        <v>342</v>
      </c>
      <c r="H127">
        <v>23</v>
      </c>
      <c r="O127" s="13" t="s">
        <v>19</v>
      </c>
      <c r="P127" t="s">
        <v>342</v>
      </c>
      <c r="Q127">
        <v>1129.7</v>
      </c>
    </row>
    <row r="128" spans="1:17" x14ac:dyDescent="0.3">
      <c r="A128" t="s">
        <v>19</v>
      </c>
      <c r="B128" t="s">
        <v>103</v>
      </c>
      <c r="C128" s="15">
        <v>307</v>
      </c>
      <c r="D128" s="15">
        <v>21911.9</v>
      </c>
      <c r="F128" s="13" t="s">
        <v>19</v>
      </c>
      <c r="G128" t="s">
        <v>59</v>
      </c>
      <c r="H128">
        <v>356</v>
      </c>
      <c r="O128" s="13" t="s">
        <v>19</v>
      </c>
      <c r="P128" t="s">
        <v>59</v>
      </c>
      <c r="Q128">
        <v>20988.9</v>
      </c>
    </row>
    <row r="129" spans="1:17" x14ac:dyDescent="0.3">
      <c r="A129" t="s">
        <v>19</v>
      </c>
      <c r="B129" t="s">
        <v>201</v>
      </c>
      <c r="C129" s="15">
        <v>117</v>
      </c>
      <c r="D129" s="15">
        <v>5441.2</v>
      </c>
      <c r="F129" s="13" t="s">
        <v>19</v>
      </c>
      <c r="G129" t="s">
        <v>62</v>
      </c>
      <c r="H129">
        <v>1768</v>
      </c>
      <c r="O129" s="13" t="s">
        <v>19</v>
      </c>
      <c r="P129" t="s">
        <v>62</v>
      </c>
      <c r="Q129">
        <v>98367.099999999977</v>
      </c>
    </row>
    <row r="130" spans="1:17" x14ac:dyDescent="0.3">
      <c r="A130" t="s">
        <v>19</v>
      </c>
      <c r="B130" t="s">
        <v>429</v>
      </c>
      <c r="C130" s="15">
        <v>13</v>
      </c>
      <c r="D130" s="15">
        <v>392.8</v>
      </c>
      <c r="F130" s="13" t="s">
        <v>19</v>
      </c>
      <c r="G130" t="s">
        <v>103</v>
      </c>
      <c r="H130">
        <v>307</v>
      </c>
      <c r="O130" s="13" t="s">
        <v>19</v>
      </c>
      <c r="P130" t="s">
        <v>103</v>
      </c>
      <c r="Q130">
        <v>21911.9</v>
      </c>
    </row>
    <row r="131" spans="1:17" x14ac:dyDescent="0.3">
      <c r="A131" t="s">
        <v>19</v>
      </c>
      <c r="B131" t="s">
        <v>72</v>
      </c>
      <c r="C131" s="15">
        <v>364</v>
      </c>
      <c r="D131" s="15">
        <v>16172.000000000005</v>
      </c>
      <c r="F131" s="13" t="s">
        <v>19</v>
      </c>
      <c r="G131" t="s">
        <v>201</v>
      </c>
      <c r="H131">
        <v>117</v>
      </c>
      <c r="O131" s="13" t="s">
        <v>19</v>
      </c>
      <c r="P131" t="s">
        <v>201</v>
      </c>
      <c r="Q131">
        <v>5441.2</v>
      </c>
    </row>
    <row r="132" spans="1:17" x14ac:dyDescent="0.3">
      <c r="A132" t="s">
        <v>19</v>
      </c>
      <c r="B132" t="s">
        <v>74</v>
      </c>
      <c r="C132" s="15">
        <v>95</v>
      </c>
      <c r="D132" s="15">
        <v>4334.9999999999991</v>
      </c>
      <c r="F132" s="13" t="s">
        <v>19</v>
      </c>
      <c r="G132" t="s">
        <v>429</v>
      </c>
      <c r="H132">
        <v>13</v>
      </c>
      <c r="O132" s="13" t="s">
        <v>19</v>
      </c>
      <c r="P132" t="s">
        <v>429</v>
      </c>
      <c r="Q132">
        <v>392.8</v>
      </c>
    </row>
    <row r="133" spans="1:17" x14ac:dyDescent="0.3">
      <c r="A133" t="s">
        <v>19</v>
      </c>
      <c r="B133" t="s">
        <v>77</v>
      </c>
      <c r="C133" s="15">
        <v>737</v>
      </c>
      <c r="D133" s="15">
        <v>37449.000000000007</v>
      </c>
      <c r="F133" s="13" t="s">
        <v>19</v>
      </c>
      <c r="G133" t="s">
        <v>72</v>
      </c>
      <c r="H133">
        <v>364</v>
      </c>
      <c r="O133" s="13" t="s">
        <v>19</v>
      </c>
      <c r="P133" t="s">
        <v>72</v>
      </c>
      <c r="Q133">
        <v>16172.000000000005</v>
      </c>
    </row>
    <row r="134" spans="1:17" x14ac:dyDescent="0.3">
      <c r="A134" t="s">
        <v>19</v>
      </c>
      <c r="B134" t="s">
        <v>309</v>
      </c>
      <c r="C134" s="15">
        <v>39</v>
      </c>
      <c r="D134" s="15">
        <v>2447.5</v>
      </c>
      <c r="F134" s="13" t="s">
        <v>19</v>
      </c>
      <c r="G134" t="s">
        <v>74</v>
      </c>
      <c r="H134">
        <v>95</v>
      </c>
      <c r="O134" s="13" t="s">
        <v>19</v>
      </c>
      <c r="P134" t="s">
        <v>74</v>
      </c>
      <c r="Q134">
        <v>4334.9999999999991</v>
      </c>
    </row>
    <row r="135" spans="1:17" x14ac:dyDescent="0.3">
      <c r="A135" t="s">
        <v>19</v>
      </c>
      <c r="B135" t="s">
        <v>1116</v>
      </c>
      <c r="C135" s="15">
        <v>56</v>
      </c>
      <c r="D135" s="15">
        <v>3391.1</v>
      </c>
      <c r="F135" s="13" t="s">
        <v>19</v>
      </c>
      <c r="G135" t="s">
        <v>77</v>
      </c>
      <c r="H135">
        <v>737</v>
      </c>
      <c r="O135" s="13" t="s">
        <v>19</v>
      </c>
      <c r="P135" t="s">
        <v>77</v>
      </c>
      <c r="Q135">
        <v>37449.000000000007</v>
      </c>
    </row>
    <row r="136" spans="1:17" x14ac:dyDescent="0.3">
      <c r="A136" t="s">
        <v>19</v>
      </c>
      <c r="B136" t="s">
        <v>700</v>
      </c>
      <c r="C136" s="15">
        <v>2</v>
      </c>
      <c r="D136" s="15">
        <v>30.8</v>
      </c>
      <c r="F136" s="13" t="s">
        <v>19</v>
      </c>
      <c r="G136" t="s">
        <v>309</v>
      </c>
      <c r="H136">
        <v>39</v>
      </c>
      <c r="O136" s="13" t="s">
        <v>19</v>
      </c>
      <c r="P136" t="s">
        <v>309</v>
      </c>
      <c r="Q136">
        <v>2447.5</v>
      </c>
    </row>
    <row r="137" spans="1:17" x14ac:dyDescent="0.3">
      <c r="A137" t="s">
        <v>19</v>
      </c>
      <c r="B137" t="s">
        <v>268</v>
      </c>
      <c r="C137" s="15">
        <v>8</v>
      </c>
      <c r="D137" s="15">
        <v>332.3</v>
      </c>
      <c r="F137" s="13" t="s">
        <v>19</v>
      </c>
      <c r="G137" t="s">
        <v>1116</v>
      </c>
      <c r="H137">
        <v>56</v>
      </c>
      <c r="O137" s="13" t="s">
        <v>19</v>
      </c>
      <c r="P137" t="s">
        <v>1116</v>
      </c>
      <c r="Q137">
        <v>3391.1</v>
      </c>
    </row>
    <row r="138" spans="1:17" x14ac:dyDescent="0.3">
      <c r="A138" t="s">
        <v>19</v>
      </c>
      <c r="B138" t="s">
        <v>377</v>
      </c>
      <c r="C138" s="15">
        <v>52</v>
      </c>
      <c r="D138" s="15">
        <v>3175.9999999999995</v>
      </c>
      <c r="F138" s="13" t="s">
        <v>19</v>
      </c>
      <c r="G138" t="s">
        <v>700</v>
      </c>
      <c r="H138">
        <v>2</v>
      </c>
      <c r="O138" s="13" t="s">
        <v>19</v>
      </c>
      <c r="P138" t="s">
        <v>700</v>
      </c>
      <c r="Q138">
        <v>30.8</v>
      </c>
    </row>
    <row r="139" spans="1:17" x14ac:dyDescent="0.3">
      <c r="A139" t="s">
        <v>19</v>
      </c>
      <c r="B139" t="s">
        <v>108</v>
      </c>
      <c r="C139" s="15">
        <v>295</v>
      </c>
      <c r="D139" s="15">
        <v>20939.600000000002</v>
      </c>
      <c r="F139" s="13" t="s">
        <v>19</v>
      </c>
      <c r="G139" t="s">
        <v>268</v>
      </c>
      <c r="H139">
        <v>8</v>
      </c>
      <c r="O139" s="13" t="s">
        <v>19</v>
      </c>
      <c r="P139" t="s">
        <v>268</v>
      </c>
      <c r="Q139">
        <v>332.3</v>
      </c>
    </row>
    <row r="140" spans="1:17" x14ac:dyDescent="0.3">
      <c r="A140" t="s">
        <v>19</v>
      </c>
      <c r="B140" t="s">
        <v>110</v>
      </c>
      <c r="C140" s="15">
        <v>195</v>
      </c>
      <c r="D140" s="15">
        <v>10185.899999999996</v>
      </c>
      <c r="F140" s="13" t="s">
        <v>19</v>
      </c>
      <c r="G140" t="s">
        <v>377</v>
      </c>
      <c r="H140">
        <v>52</v>
      </c>
      <c r="O140" s="13" t="s">
        <v>19</v>
      </c>
      <c r="P140" t="s">
        <v>377</v>
      </c>
      <c r="Q140">
        <v>3175.9999999999995</v>
      </c>
    </row>
    <row r="141" spans="1:17" x14ac:dyDescent="0.3">
      <c r="A141" t="s">
        <v>19</v>
      </c>
      <c r="B141" t="s">
        <v>292</v>
      </c>
      <c r="C141" s="15">
        <v>20</v>
      </c>
      <c r="D141" s="15">
        <v>958.7</v>
      </c>
      <c r="F141" s="13" t="s">
        <v>19</v>
      </c>
      <c r="G141" t="s">
        <v>108</v>
      </c>
      <c r="H141">
        <v>295</v>
      </c>
      <c r="O141" s="13" t="s">
        <v>19</v>
      </c>
      <c r="P141" t="s">
        <v>108</v>
      </c>
      <c r="Q141">
        <v>20939.600000000002</v>
      </c>
    </row>
    <row r="142" spans="1:17" x14ac:dyDescent="0.3">
      <c r="A142" t="s">
        <v>19</v>
      </c>
      <c r="B142" t="s">
        <v>79</v>
      </c>
      <c r="C142" s="15">
        <v>6</v>
      </c>
      <c r="D142" s="15">
        <v>323</v>
      </c>
      <c r="F142" s="13" t="s">
        <v>19</v>
      </c>
      <c r="G142" t="s">
        <v>110</v>
      </c>
      <c r="H142">
        <v>195</v>
      </c>
      <c r="O142" s="13" t="s">
        <v>19</v>
      </c>
      <c r="P142" t="s">
        <v>110</v>
      </c>
      <c r="Q142">
        <v>10185.899999999996</v>
      </c>
    </row>
    <row r="143" spans="1:17" x14ac:dyDescent="0.3">
      <c r="A143" t="s">
        <v>19</v>
      </c>
      <c r="B143" t="s">
        <v>608</v>
      </c>
      <c r="C143" s="15">
        <v>5</v>
      </c>
      <c r="D143" s="15">
        <v>167.70000000000002</v>
      </c>
      <c r="F143" s="13" t="s">
        <v>19</v>
      </c>
      <c r="G143" t="s">
        <v>292</v>
      </c>
      <c r="H143">
        <v>20</v>
      </c>
      <c r="O143" s="13" t="s">
        <v>19</v>
      </c>
      <c r="P143" t="s">
        <v>292</v>
      </c>
      <c r="Q143">
        <v>958.7</v>
      </c>
    </row>
    <row r="144" spans="1:17" x14ac:dyDescent="0.3">
      <c r="A144" t="s">
        <v>19</v>
      </c>
      <c r="B144" t="s">
        <v>113</v>
      </c>
      <c r="C144" s="15">
        <v>94</v>
      </c>
      <c r="D144" s="15">
        <v>3978.5</v>
      </c>
      <c r="F144" s="13" t="s">
        <v>19</v>
      </c>
      <c r="G144" t="s">
        <v>79</v>
      </c>
      <c r="H144">
        <v>6</v>
      </c>
      <c r="O144" s="13" t="s">
        <v>19</v>
      </c>
      <c r="P144" t="s">
        <v>79</v>
      </c>
      <c r="Q144">
        <v>323</v>
      </c>
    </row>
    <row r="145" spans="1:17" x14ac:dyDescent="0.3">
      <c r="A145" t="s">
        <v>19</v>
      </c>
      <c r="B145" t="s">
        <v>997</v>
      </c>
      <c r="C145" s="15">
        <v>28</v>
      </c>
      <c r="D145" s="15">
        <v>1405</v>
      </c>
      <c r="F145" s="13" t="s">
        <v>19</v>
      </c>
      <c r="G145" t="s">
        <v>608</v>
      </c>
      <c r="H145">
        <v>5</v>
      </c>
      <c r="O145" s="13" t="s">
        <v>19</v>
      </c>
      <c r="P145" t="s">
        <v>608</v>
      </c>
      <c r="Q145">
        <v>167.70000000000002</v>
      </c>
    </row>
    <row r="146" spans="1:17" x14ac:dyDescent="0.3">
      <c r="A146" t="s">
        <v>19</v>
      </c>
      <c r="B146" t="s">
        <v>82</v>
      </c>
      <c r="C146" s="15">
        <v>179</v>
      </c>
      <c r="D146" s="15">
        <v>9869.0999999999985</v>
      </c>
      <c r="F146" s="13" t="s">
        <v>19</v>
      </c>
      <c r="G146" t="s">
        <v>113</v>
      </c>
      <c r="H146">
        <v>94</v>
      </c>
      <c r="O146" s="13" t="s">
        <v>19</v>
      </c>
      <c r="P146" t="s">
        <v>113</v>
      </c>
      <c r="Q146">
        <v>3978.5</v>
      </c>
    </row>
    <row r="147" spans="1:17" x14ac:dyDescent="0.3">
      <c r="A147" t="s">
        <v>19</v>
      </c>
      <c r="B147" t="s">
        <v>243</v>
      </c>
      <c r="C147" s="15">
        <v>15</v>
      </c>
      <c r="D147" s="15">
        <v>615.29999999999995</v>
      </c>
      <c r="F147" s="13" t="s">
        <v>19</v>
      </c>
      <c r="G147" t="s">
        <v>997</v>
      </c>
      <c r="H147">
        <v>28</v>
      </c>
      <c r="O147" s="13" t="s">
        <v>19</v>
      </c>
      <c r="P147" t="s">
        <v>997</v>
      </c>
      <c r="Q147">
        <v>1405</v>
      </c>
    </row>
    <row r="148" spans="1:17" x14ac:dyDescent="0.3">
      <c r="A148" t="s">
        <v>19</v>
      </c>
      <c r="B148" t="s">
        <v>1911</v>
      </c>
      <c r="C148" s="15">
        <v>3</v>
      </c>
      <c r="D148" s="15">
        <v>285</v>
      </c>
      <c r="F148" s="13" t="s">
        <v>19</v>
      </c>
      <c r="G148" t="s">
        <v>82</v>
      </c>
      <c r="H148">
        <v>179</v>
      </c>
      <c r="O148" s="13" t="s">
        <v>19</v>
      </c>
      <c r="P148" t="s">
        <v>82</v>
      </c>
      <c r="Q148">
        <v>9869.0999999999985</v>
      </c>
    </row>
    <row r="149" spans="1:17" x14ac:dyDescent="0.3">
      <c r="A149" t="s">
        <v>2527</v>
      </c>
      <c r="C149" s="15">
        <v>11997</v>
      </c>
      <c r="D149" s="15">
        <v>649019.79999999981</v>
      </c>
      <c r="F149" s="13" t="s">
        <v>19</v>
      </c>
      <c r="G149" t="s">
        <v>243</v>
      </c>
      <c r="H149">
        <v>15</v>
      </c>
      <c r="O149" s="13" t="s">
        <v>19</v>
      </c>
      <c r="P149" t="s">
        <v>243</v>
      </c>
      <c r="Q149">
        <v>615.29999999999995</v>
      </c>
    </row>
    <row r="150" spans="1:17" x14ac:dyDescent="0.3">
      <c r="A150" t="s">
        <v>2518</v>
      </c>
      <c r="C150" s="15">
        <v>11997</v>
      </c>
      <c r="D150" s="15">
        <v>649019.79999999981</v>
      </c>
      <c r="F150" s="14" t="s">
        <v>19</v>
      </c>
      <c r="G150" t="s">
        <v>1911</v>
      </c>
      <c r="H150">
        <v>3</v>
      </c>
      <c r="O150" s="14" t="s">
        <v>19</v>
      </c>
      <c r="P150" t="s">
        <v>1911</v>
      </c>
      <c r="Q150">
        <v>285</v>
      </c>
    </row>
    <row r="168" spans="1:2" x14ac:dyDescent="0.3">
      <c r="A168" s="13" t="s">
        <v>2541</v>
      </c>
    </row>
    <row r="170" spans="1:2" x14ac:dyDescent="0.3">
      <c r="A170" s="3" t="s">
        <v>2517</v>
      </c>
      <c r="B170" t="s">
        <v>2508</v>
      </c>
    </row>
    <row r="171" spans="1:2" x14ac:dyDescent="0.3">
      <c r="A171" s="4">
        <v>0</v>
      </c>
      <c r="B171" s="15">
        <v>175</v>
      </c>
    </row>
    <row r="172" spans="1:2" x14ac:dyDescent="0.3">
      <c r="A172" s="4">
        <v>1</v>
      </c>
      <c r="B172" s="15">
        <v>888</v>
      </c>
    </row>
    <row r="173" spans="1:2" x14ac:dyDescent="0.3">
      <c r="A173" s="4">
        <v>2</v>
      </c>
      <c r="B173" s="15">
        <v>538</v>
      </c>
    </row>
    <row r="174" spans="1:2" x14ac:dyDescent="0.3">
      <c r="A174" s="4">
        <v>3</v>
      </c>
      <c r="B174" s="15">
        <v>344</v>
      </c>
    </row>
    <row r="175" spans="1:2" x14ac:dyDescent="0.3">
      <c r="A175" s="4">
        <v>4</v>
      </c>
      <c r="B175" s="15">
        <v>200</v>
      </c>
    </row>
    <row r="176" spans="1:2" x14ac:dyDescent="0.3">
      <c r="A176" s="4">
        <v>5</v>
      </c>
      <c r="B176" s="15">
        <v>94</v>
      </c>
    </row>
    <row r="177" spans="1:2" x14ac:dyDescent="0.3">
      <c r="A177" s="4">
        <v>6</v>
      </c>
      <c r="B177" s="15">
        <v>51</v>
      </c>
    </row>
    <row r="178" spans="1:2" x14ac:dyDescent="0.3">
      <c r="A178" s="4">
        <v>7</v>
      </c>
      <c r="B178" s="15">
        <v>32</v>
      </c>
    </row>
    <row r="179" spans="1:2" x14ac:dyDescent="0.3">
      <c r="A179" s="4">
        <v>8</v>
      </c>
      <c r="B179" s="15">
        <v>23</v>
      </c>
    </row>
    <row r="180" spans="1:2" x14ac:dyDescent="0.3">
      <c r="A180" s="4">
        <v>9</v>
      </c>
      <c r="B180" s="15">
        <v>9</v>
      </c>
    </row>
    <row r="181" spans="1:2" x14ac:dyDescent="0.3">
      <c r="A181" s="4">
        <v>10</v>
      </c>
      <c r="B181" s="15">
        <v>8</v>
      </c>
    </row>
    <row r="182" spans="1:2" x14ac:dyDescent="0.3">
      <c r="A182" s="4">
        <v>11</v>
      </c>
      <c r="B182" s="15">
        <v>11</v>
      </c>
    </row>
    <row r="183" spans="1:2" x14ac:dyDescent="0.3">
      <c r="A183" s="4">
        <v>12</v>
      </c>
      <c r="B183" s="15">
        <v>4</v>
      </c>
    </row>
    <row r="184" spans="1:2" x14ac:dyDescent="0.3">
      <c r="A184" s="4">
        <v>13</v>
      </c>
      <c r="B184" s="15">
        <v>10</v>
      </c>
    </row>
    <row r="185" spans="1:2" x14ac:dyDescent="0.3">
      <c r="A185" s="4">
        <v>14</v>
      </c>
      <c r="B185" s="15">
        <v>13</v>
      </c>
    </row>
    <row r="186" spans="1:2" x14ac:dyDescent="0.3">
      <c r="A186" s="4" t="s">
        <v>2518</v>
      </c>
      <c r="B186" s="15">
        <v>2400</v>
      </c>
    </row>
    <row r="192" spans="1:2" x14ac:dyDescent="0.3">
      <c r="A192" s="13" t="s">
        <v>2542</v>
      </c>
    </row>
    <row r="194" spans="1:7" x14ac:dyDescent="0.3">
      <c r="A194" s="3" t="s">
        <v>2508</v>
      </c>
      <c r="B194" s="3" t="s">
        <v>2519</v>
      </c>
    </row>
    <row r="195" spans="1:7" x14ac:dyDescent="0.3">
      <c r="A195" s="3" t="s">
        <v>2517</v>
      </c>
      <c r="B195">
        <v>1</v>
      </c>
      <c r="C195">
        <v>2</v>
      </c>
      <c r="D195">
        <v>3</v>
      </c>
      <c r="E195">
        <v>4</v>
      </c>
      <c r="F195">
        <v>5</v>
      </c>
      <c r="G195" t="s">
        <v>2518</v>
      </c>
    </row>
    <row r="196" spans="1:7" x14ac:dyDescent="0.3">
      <c r="A196" s="4" t="s">
        <v>2530</v>
      </c>
      <c r="B196" s="15">
        <v>7</v>
      </c>
      <c r="C196" s="15">
        <v>37</v>
      </c>
      <c r="D196" s="15">
        <v>150</v>
      </c>
      <c r="E196" s="15">
        <v>312</v>
      </c>
      <c r="F196" s="15">
        <v>224</v>
      </c>
      <c r="G196" s="15">
        <v>730</v>
      </c>
    </row>
    <row r="197" spans="1:7" x14ac:dyDescent="0.3">
      <c r="A197" s="4" t="s">
        <v>2531</v>
      </c>
      <c r="B197" s="15">
        <v>8</v>
      </c>
      <c r="C197" s="15">
        <v>51</v>
      </c>
      <c r="D197" s="15">
        <v>182</v>
      </c>
      <c r="E197" s="15">
        <v>373</v>
      </c>
      <c r="F197" s="15">
        <v>247</v>
      </c>
      <c r="G197" s="15">
        <v>861</v>
      </c>
    </row>
    <row r="198" spans="1:7" x14ac:dyDescent="0.3">
      <c r="A198" s="4" t="s">
        <v>2532</v>
      </c>
      <c r="B198" s="15">
        <v>6</v>
      </c>
      <c r="C198" s="15">
        <v>39</v>
      </c>
      <c r="D198" s="15">
        <v>163</v>
      </c>
      <c r="E198" s="15">
        <v>351</v>
      </c>
      <c r="F198" s="15">
        <v>250</v>
      </c>
      <c r="G198" s="15">
        <v>809</v>
      </c>
    </row>
    <row r="199" spans="1:7" x14ac:dyDescent="0.3">
      <c r="A199" s="4" t="s">
        <v>2518</v>
      </c>
      <c r="B199" s="15">
        <v>21</v>
      </c>
      <c r="C199" s="15">
        <v>127</v>
      </c>
      <c r="D199" s="15">
        <v>495</v>
      </c>
      <c r="E199" s="15">
        <v>1036</v>
      </c>
      <c r="F199" s="15">
        <v>721</v>
      </c>
      <c r="G199" s="15">
        <v>2400</v>
      </c>
    </row>
    <row r="202" spans="1:7" x14ac:dyDescent="0.3">
      <c r="B202" s="13" t="s">
        <v>2533</v>
      </c>
    </row>
  </sheetData>
  <conditionalFormatting sqref="S35:V39">
    <cfRule type="colorScale" priority="1">
      <colorScale>
        <cfvo type="min"/>
        <cfvo type="max"/>
        <color theme="8" tint="0.79998168889431442"/>
        <color theme="8" tint="0.39997558519241921"/>
      </colorScale>
    </cfRule>
    <cfRule type="colorScale" priority="2">
      <colorScale>
        <cfvo type="min"/>
        <cfvo type="max"/>
        <color theme="8" tint="0.79998168889431442"/>
        <color theme="8" tint="-0.249977111117893"/>
      </colorScale>
    </cfRule>
    <cfRule type="colorScale" priority="3">
      <colorScale>
        <cfvo type="min"/>
        <cfvo type="max"/>
        <color theme="8" tint="0.59999389629810485"/>
        <color theme="8" tint="-0.499984740745262"/>
      </colorScale>
    </cfRule>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66BAF-C1FB-45B6-AA0A-B8B4E3731943}">
  <dimension ref="A1"/>
  <sheetViews>
    <sheetView tabSelected="1" zoomScale="54" zoomScaleNormal="50" workbookViewId="0">
      <selection activeCell="AB16" sqref="AB16"/>
    </sheetView>
  </sheetViews>
  <sheetFormatPr defaultRowHeight="14.4" x14ac:dyDescent="0.3"/>
  <cols>
    <col min="1" max="1" width="3.5546875" customWidth="1"/>
    <col min="2" max="2" width="14.21875" customWidth="1"/>
    <col min="3" max="3" width="3.5546875" customWidth="1"/>
    <col min="26" max="26" width="13.33203125" customWidth="1"/>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PivoteTable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charudatta Patil</cp:lastModifiedBy>
  <dcterms:created xsi:type="dcterms:W3CDTF">2025-06-13T02:42:26Z</dcterms:created>
  <dcterms:modified xsi:type="dcterms:W3CDTF">2026-06-27T11:54:25Z</dcterms:modified>
</cp:coreProperties>
</file>